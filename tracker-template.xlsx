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Boulder" sheetId="2" state="visible" r:id="rId2"/>
    <sheet xmlns:r="http://schemas.openxmlformats.org/officeDocument/2006/relationships" name="Daily Dispatch" sheetId="3" state="visible" r:id="rId3"/>
    <sheet xmlns:r="http://schemas.openxmlformats.org/officeDocument/2006/relationships" name="Hours &amp; Remarks" sheetId="4" state="visible" r:id="rId4"/>
    <sheet xmlns:r="http://schemas.openxmlformats.org/officeDocument/2006/relationships" name="Diesel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Chart Data" sheetId="7" state="hidden" r:id="rId7"/>
  </sheets>
  <definedNames>
    <definedName name="_xlnm.Print_Area" localSheetId="0">'Dashboard'!$A$1:$I$88</definedName>
  </definedNames>
  <calcPr calcId="124519" fullCalcOnLoad="1"/>
</workbook>
</file>

<file path=xl/styles.xml><?xml version="1.0" encoding="utf-8"?>
<styleSheet xmlns="http://schemas.openxmlformats.org/spreadsheetml/2006/main">
  <numFmts count="19">
    <numFmt numFmtId="164" formatCode="yyyy-mm-dd"/>
    <numFmt numFmtId="165" formatCode="dd-mmm-yyyy"/>
    <numFmt numFmtId="166" formatCode="0.000"/>
    <numFmt numFmtId="167" formatCode="0.000;-0.000;&quot;-&quot;"/>
    <numFmt numFmtId="168" formatCode="0.0"/>
    <numFmt numFmtId="169" formatCode="0.000;-0.000;&quot;NIL&quot;"/>
    <numFmt numFmtId="170" formatCode="00;-00;&quot;NIL&quot;"/>
    <numFmt numFmtId="171" formatCode="0;-0;&quot;NIL&quot;"/>
    <numFmt numFmtId="172" formatCode="dd-mmm"/>
    <numFmt numFmtId="173" formatCode="00"/>
    <numFmt numFmtId="174" formatCode="0.000 &quot;MT Approx.&quot;"/>
    <numFmt numFmtId="175" formatCode="0.000 &quot;MT&quot;"/>
    <numFmt numFmtId="176" formatCode="0 &quot;Trips&quot;"/>
    <numFmt numFmtId="177" formatCode="0.0 &quot;Hrs approx.&quot;"/>
    <numFmt numFmtId="178" formatCode="0.0 &quot;Hrs.&quot;"/>
    <numFmt numFmtId="179" formatCode="0.0 &quot;km&quot;"/>
    <numFmt numFmtId="180" formatCode="0 &quot;Ltr&quot;"/>
    <numFmt numFmtId="181" formatCode="0 &quot;Ltr&quot;;-0;&quot;NIL&quot;"/>
    <numFmt numFmtId="182" formatCode="0 &quot;Litres&quot;"/>
  </numFmts>
  <fonts count="2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color rgb="000000FF"/>
    </font>
    <font>
      <name val="Arial"/>
      <i val="1"/>
      <color rgb="00666666"/>
      <sz val="9"/>
    </font>
    <font>
      <name val="Arial"/>
      <b val="1"/>
    </font>
    <font>
      <name val="Arial"/>
      <i val="1"/>
      <color rgb="00444444"/>
    </font>
    <font>
      <name val="Arial"/>
      <b val="1"/>
      <color rgb="00FFFFFF"/>
    </font>
    <font>
      <name val="Arial"/>
      <b val="1"/>
      <color rgb="001F3864"/>
      <sz val="24"/>
    </font>
    <font>
      <name val="Arial"/>
      <b val="1"/>
      <color rgb="001F3864"/>
      <sz val="16"/>
    </font>
    <font>
      <name val="Arial"/>
      <b val="1"/>
      <color rgb="00C55A11"/>
      <sz val="16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404040"/>
      <sz val="10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sz val="8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sz val="9"/>
    </font>
    <font>
      <name val="Arial"/>
      <b val="1"/>
      <color rgb="00000000"/>
      <sz val="12"/>
    </font>
    <font>
      <name val="Arial"/>
      <b val="1"/>
      <color rgb="001F3864"/>
      <sz val="26"/>
    </font>
    <font>
      <name val="Arial"/>
      <b val="1"/>
      <color rgb="001F3864"/>
      <sz val="11"/>
    </font>
  </fonts>
  <fills count="2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1F6F3F"/>
      </patternFill>
    </fill>
    <fill>
      <patternFill patternType="solid">
        <fgColor rgb="002F5597"/>
      </patternFill>
    </fill>
    <fill>
      <patternFill patternType="solid">
        <fgColor rgb="007F7F7F"/>
      </patternFill>
    </fill>
    <fill>
      <patternFill patternType="solid">
        <fgColor rgb="00DDEBF7"/>
      </patternFill>
    </fill>
    <fill>
      <patternFill patternType="solid">
        <fgColor rgb="007030A0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ED7D31"/>
      </patternFill>
    </fill>
    <fill>
      <patternFill patternType="solid">
        <fgColor rgb="00FBE5D6"/>
      </patternFill>
    </fill>
    <fill>
      <patternFill patternType="solid">
        <fgColor rgb="00E4DFEC"/>
      </patternFill>
    </fill>
    <fill>
      <patternFill patternType="solid">
        <fgColor rgb="0000808C"/>
      </patternFill>
    </fill>
    <fill>
      <patternFill patternType="solid">
        <fgColor rgb="00DDF0F0"/>
      </patternFill>
    </fill>
    <fill>
      <patternFill patternType="solid">
        <fgColor rgb="001F3864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 indent="1"/>
    </xf>
    <xf numFmtId="0" fontId="14" fillId="1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166" fontId="15" fillId="0" borderId="1" applyAlignment="1" pivotButton="0" quotePrefix="0" xfId="0">
      <alignment horizontal="left" vertical="center" wrapText="1"/>
    </xf>
    <xf numFmtId="166" fontId="15" fillId="0" borderId="1" applyAlignment="1" pivotButton="0" quotePrefix="0" xfId="0">
      <alignment horizontal="center" vertical="center" wrapText="1"/>
    </xf>
    <xf numFmtId="173" fontId="15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169" fontId="18" fillId="0" borderId="1" applyAlignment="1" pivotButton="0" quotePrefix="0" xfId="0">
      <alignment horizontal="center" vertical="center" wrapText="1"/>
    </xf>
    <xf numFmtId="170" fontId="18" fillId="0" borderId="1" applyAlignment="1" pivotButton="0" quotePrefix="0" xfId="0">
      <alignment horizontal="center" vertical="center" wrapText="1"/>
    </xf>
    <xf numFmtId="174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175" fontId="15" fillId="0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left" vertical="center" wrapText="1"/>
    </xf>
    <xf numFmtId="169" fontId="19" fillId="13" borderId="1" applyAlignment="1" pivotButton="0" quotePrefix="0" xfId="0">
      <alignment horizontal="center" vertical="center" wrapText="1"/>
    </xf>
    <xf numFmtId="170" fontId="19" fillId="13" borderId="1" applyAlignment="1" pivotButton="0" quotePrefix="0" xfId="0">
      <alignment horizontal="center" vertical="center" wrapText="1"/>
    </xf>
    <xf numFmtId="166" fontId="16" fillId="10" borderId="1" applyAlignment="1" pivotButton="0" quotePrefix="0" xfId="0">
      <alignment horizontal="left" vertical="center" wrapText="1"/>
    </xf>
    <xf numFmtId="175" fontId="16" fillId="10" borderId="1" applyAlignment="1" pivotButton="0" quotePrefix="0" xfId="0">
      <alignment horizontal="center" vertical="center" wrapText="1"/>
    </xf>
    <xf numFmtId="173" fontId="16" fillId="10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left" vertical="center" wrapText="1"/>
    </xf>
    <xf numFmtId="169" fontId="20" fillId="12" borderId="1" applyAlignment="1" pivotButton="0" quotePrefix="0" xfId="0">
      <alignment horizontal="center" vertical="center" wrapText="1"/>
    </xf>
    <xf numFmtId="170" fontId="20" fillId="12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 indent="1"/>
    </xf>
    <xf numFmtId="166" fontId="15" fillId="11" borderId="1" applyAlignment="1" pivotButton="0" quotePrefix="0" xfId="0">
      <alignment horizontal="left" vertical="center" wrapText="1"/>
    </xf>
    <xf numFmtId="175" fontId="15" fillId="11" borderId="1" applyAlignment="1" pivotButton="0" quotePrefix="0" xfId="0">
      <alignment horizontal="center" vertical="center" wrapText="1"/>
    </xf>
    <xf numFmtId="176" fontId="15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1" fontId="15" fillId="0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166" fontId="16" fillId="8" borderId="1" applyAlignment="1" pivotButton="0" quotePrefix="0" xfId="0">
      <alignment horizontal="center" vertical="center" wrapText="1"/>
    </xf>
    <xf numFmtId="1" fontId="16" fillId="8" borderId="1" applyAlignment="1" pivotButton="0" quotePrefix="0" xfId="0">
      <alignment horizontal="center" vertical="center" wrapText="1"/>
    </xf>
    <xf numFmtId="0" fontId="14" fillId="14" borderId="0" applyAlignment="1" pivotButton="0" quotePrefix="0" xfId="0">
      <alignment horizontal="left" vertical="center" indent="1"/>
    </xf>
    <xf numFmtId="0" fontId="14" fillId="9" borderId="0" applyAlignment="1" pivotButton="0" quotePrefix="0" xfId="0">
      <alignment horizontal="left" vertical="center" indent="1"/>
    </xf>
    <xf numFmtId="0" fontId="5" fillId="1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1" fillId="16" borderId="0" applyAlignment="1" pivotButton="0" quotePrefix="0" xfId="0">
      <alignment horizontal="left" vertical="center" wrapText="1"/>
    </xf>
    <xf numFmtId="177" fontId="18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top" wrapText="1"/>
    </xf>
    <xf numFmtId="178" fontId="18" fillId="0" borderId="1" applyAlignment="1" pivotButton="0" quotePrefix="0" xfId="0">
      <alignment horizontal="center" vertical="center" wrapText="1"/>
    </xf>
    <xf numFmtId="179" fontId="18" fillId="0" borderId="1" applyAlignment="1" pivotButton="0" quotePrefix="0" xfId="0">
      <alignment horizontal="center" vertical="center" wrapText="1"/>
    </xf>
    <xf numFmtId="0" fontId="14" fillId="17" borderId="0" applyAlignment="1" pivotButton="0" quotePrefix="0" xfId="0">
      <alignment horizontal="left" vertical="center" indent="1"/>
    </xf>
    <xf numFmtId="0" fontId="5" fillId="18" borderId="1" applyAlignment="1" pivotButton="0" quotePrefix="0" xfId="0">
      <alignment horizontal="center" vertical="center" wrapText="1"/>
    </xf>
    <xf numFmtId="0" fontId="21" fillId="18" borderId="1" applyAlignment="1" pivotButton="0" quotePrefix="0" xfId="0">
      <alignment horizontal="center" vertical="center" wrapText="1"/>
    </xf>
    <xf numFmtId="0" fontId="0" fillId="0" borderId="1" pivotButton="0" quotePrefix="0" xfId="0"/>
    <xf numFmtId="180" fontId="15" fillId="0" borderId="1" applyAlignment="1" pivotButton="0" quotePrefix="0" xfId="0">
      <alignment horizontal="center" vertical="center" wrapText="1"/>
    </xf>
    <xf numFmtId="182" fontId="24" fillId="0" borderId="1" applyAlignment="1" pivotButton="0" quotePrefix="0" xfId="0">
      <alignment horizontal="center" vertical="center" wrapText="1"/>
    </xf>
    <xf numFmtId="0" fontId="23" fillId="18" borderId="1" applyAlignment="1" pivotButton="0" quotePrefix="0" xfId="0">
      <alignment horizontal="left" vertical="center" wrapText="1"/>
    </xf>
    <xf numFmtId="181" fontId="23" fillId="18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right"/>
    </xf>
    <xf numFmtId="0" fontId="14" fillId="19" borderId="0" applyAlignment="1" pivotButton="0" quotePrefix="0" xfId="0">
      <alignment horizontal="left" vertical="center" indent="1"/>
    </xf>
    <xf numFmtId="0" fontId="1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5" fontId="3" fillId="2" borderId="1" pivotButton="0" quotePrefix="0" xfId="0"/>
    <xf numFmtId="166" fontId="3" fillId="2" borderId="1" pivotButton="0" quotePrefix="0" xfId="0"/>
    <xf numFmtId="1" fontId="3" fillId="2" borderId="1" pivotButton="0" quotePrefix="0" xfId="0"/>
    <xf numFmtId="166" fontId="2" fillId="3" borderId="1" pivotButton="0" quotePrefix="0" xfId="0"/>
    <xf numFmtId="1" fontId="2" fillId="3" borderId="1" pivotButton="0" quotePrefix="0" xfId="0"/>
    <xf numFmtId="166" fontId="5" fillId="8" borderId="1" pivotButton="0" quotePrefix="0" xfId="0"/>
    <xf numFmtId="167" fontId="2" fillId="3" borderId="1" pivotButton="0" quotePrefix="0" xfId="0"/>
    <xf numFmtId="168" fontId="2" fillId="3" borderId="1" pivotButton="0" quotePrefix="0" xfId="0"/>
    <xf numFmtId="169" fontId="3" fillId="2" borderId="1" pivotButton="0" quotePrefix="0" xfId="0"/>
    <xf numFmtId="170" fontId="3" fillId="2" borderId="1" pivotButton="0" quotePrefix="0" xfId="0"/>
    <xf numFmtId="169" fontId="2" fillId="3" borderId="1" pivotButton="0" quotePrefix="0" xfId="0"/>
    <xf numFmtId="170" fontId="2" fillId="3" borderId="1" pivotButton="0" quotePrefix="0" xfId="0"/>
    <xf numFmtId="169" fontId="5" fillId="8" borderId="1" pivotButton="0" quotePrefix="0" xfId="0"/>
    <xf numFmtId="170" fontId="5" fillId="8" borderId="1" pivotButton="0" quotePrefix="0" xfId="0"/>
    <xf numFmtId="0" fontId="7" fillId="9" borderId="0" applyAlignment="1" pivotButton="0" quotePrefix="0" xfId="0">
      <alignment horizontal="center" vertical="center" wrapText="1"/>
    </xf>
    <xf numFmtId="168" fontId="3" fillId="2" borderId="1" pivotButton="0" quotePrefix="0" xfId="0"/>
    <xf numFmtId="49" fontId="3" fillId="2" borderId="1" applyAlignment="1" pivotButton="0" quotePrefix="0" xfId="0">
      <alignment horizontal="left" vertical="center" wrapText="1"/>
    </xf>
    <xf numFmtId="171" fontId="2" fillId="3" borderId="1" pivotButton="0" quotePrefix="0" xfId="0"/>
    <xf numFmtId="1" fontId="5" fillId="8" borderId="1" pivotButton="0" quotePrefix="0" xfId="0"/>
    <xf numFmtId="0" fontId="2" fillId="0" borderId="0" pivotButton="0" quotePrefix="0" xfId="0"/>
    <xf numFmtId="0" fontId="4" fillId="0" borderId="0" pivotButton="0" quotePrefix="0" xfId="0"/>
    <xf numFmtId="49" fontId="3" fillId="2" borderId="1" pivotButton="0" quotePrefix="0" xfId="0"/>
    <xf numFmtId="0" fontId="5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172" fontId="0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C00000"/>
      </font>
      <fill>
        <patternFill patternType="solid">
          <fgColor rgb="00F8CBAD"/>
        </patternFill>
      </fill>
    </dxf>
    <dxf>
      <fill>
        <patternFill patternType="solid">
          <fgColor rgb="00F8CBAD"/>
        </patternFill>
      </fill>
    </dxf>
    <dxf>
      <font>
        <name val="Arial"/>
        <b val="1"/>
      </font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Boulder Crushing per Day (MT)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 Data'!B1</f>
            </strRef>
          </tx>
          <spPr>
            <a:solidFill xmlns:a="http://schemas.openxmlformats.org/drawingml/2006/main">
              <a:srgbClr val="1F6F3F"/>
            </a:solidFill>
            <a:ln xmlns:a="http://schemas.openxmlformats.org/drawingml/2006/main">
              <a:solidFill>
                <a:srgbClr val="1F6F3F"/>
              </a:solidFill>
              <a:prstDash val="solid"/>
            </a:ln>
          </spPr>
          <cat>
            <numRef>
              <f>'Chart Data'!$A$2:$A$16</f>
            </numRef>
          </cat>
          <val>
            <numRef>
              <f>'Chart Data'!$B$2:$B$16</f>
            </numRef>
          </val>
        </ser>
        <ser>
          <idx val="1"/>
          <order val="1"/>
          <tx>
            <strRef>
              <f>'Chart Data'!C1</f>
            </strRef>
          </tx>
          <spPr>
            <a:solidFill xmlns:a="http://schemas.openxmlformats.org/drawingml/2006/main">
              <a:srgbClr val="A9D18E"/>
            </a:solidFill>
            <a:ln xmlns:a="http://schemas.openxmlformats.org/drawingml/2006/main">
              <a:solidFill>
                <a:srgbClr val="A9D18E"/>
              </a:solidFill>
              <a:prstDash val="solid"/>
            </a:ln>
          </spPr>
          <cat>
            <numRef>
              <f>'Chart Data'!$A$2:$A$16</f>
            </numRef>
          </cat>
          <val>
            <numRef>
              <f>'Chart Data'!$C$2:$C$16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Closing Boulder Stock (MT)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Data'!D1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solidFill>
                <a:srgbClr val="548235"/>
              </a:solidFill>
              <a:prstDash val="solid"/>
            </a:ln>
          </spPr>
          <cat>
            <numRef>
              <f>'Chart Data'!$A$2:$A$16</f>
            </numRef>
          </cat>
          <val>
            <numRef>
              <f>'Chart Data'!$D$2:$D$16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by Material per Day (MT)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 Data'!E1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solidFill>
                <a:srgbClr val="2F5597"/>
              </a:solidFill>
              <a:prstDash val="solid"/>
            </a:ln>
          </spPr>
          <cat>
            <numRef>
              <f>'Chart Data'!$A$2:$A$16</f>
            </numRef>
          </cat>
          <val>
            <numRef>
              <f>'Chart Data'!$E$2:$E$16</f>
            </numRef>
          </val>
        </ser>
        <ser>
          <idx val="1"/>
          <order val="1"/>
          <tx>
            <strRef>
              <f>'Chart Data'!F1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'Chart Data'!$A$2:$A$16</f>
            </numRef>
          </cat>
          <val>
            <numRef>
              <f>'Chart Data'!$F$2:$F$16</f>
            </numRef>
          </val>
        </ser>
        <ser>
          <idx val="2"/>
          <order val="2"/>
          <tx>
            <strRef>
              <f>'Chart Data'!G1</f>
            </strRef>
          </tx>
          <spPr>
            <a:solidFill xmlns:a="http://schemas.openxmlformats.org/drawingml/2006/main">
              <a:srgbClr val="BDD7EE"/>
            </a:solidFill>
            <a:ln xmlns:a="http://schemas.openxmlformats.org/drawingml/2006/main">
              <a:solidFill>
                <a:srgbClr val="BDD7EE"/>
              </a:solidFill>
              <a:prstDash val="solid"/>
            </a:ln>
          </spPr>
          <cat>
            <numRef>
              <f>'Chart Data'!$A$2:$A$16</f>
            </numRef>
          </cat>
          <val>
            <numRef>
              <f>'Chart Data'!$G$2:$G$16</f>
            </numRef>
          </val>
        </ser>
        <ser>
          <idx val="3"/>
          <order val="3"/>
          <tx>
            <strRef>
              <f>'Chart Data'!H1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'Chart Data'!$A$2:$A$16</f>
            </numRef>
          </cat>
          <val>
            <numRef>
              <f>'Chart Data'!$H$2:$H$16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This Month Dispatch Mix (MT)</a:t>
            </a:r>
          </a:p>
        </rich>
      </tx>
    </title>
    <plotArea>
      <pieChart>
        <varyColors val="1"/>
        <ser>
          <idx val="0"/>
          <order val="0"/>
          <tx>
            <strRef>
              <f>'Chart Data'!N1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'Chart Data'!$M$2:$M$3</f>
            </numRef>
          </cat>
          <val>
            <numRef>
              <f>'Chart Data'!$N$2:$N$3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Hours per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Data'!I1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'Chart Data'!$A$2:$A$16</f>
            </numRef>
          </cat>
          <val>
            <numRef>
              <f>'Chart Data'!$I$2:$I$16</f>
            </numRef>
          </val>
        </ser>
        <ser>
          <idx val="1"/>
          <order val="1"/>
          <tx>
            <strRef>
              <f>'Chart Data'!J1</f>
            </strRef>
          </tx>
          <spPr>
            <a:solidFill xmlns:a="http://schemas.openxmlformats.org/drawingml/2006/main">
              <a:srgbClr val="F8CBAD"/>
            </a:solidFill>
            <a:ln xmlns:a="http://schemas.openxmlformats.org/drawingml/2006/main">
              <a:solidFill>
                <a:srgbClr val="F8CBAD"/>
              </a:solidFill>
              <a:prstDash val="solid"/>
            </a:ln>
          </spPr>
          <cat>
            <numRef>
              <f>'Chart Data'!$A$2:$A$16</f>
            </numRef>
          </cat>
          <val>
            <numRef>
              <f>'Chart Data'!$J$2:$J$16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Hrs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Diesel Received per Day (Ltr)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Data'!K1</f>
            </strRef>
          </tx>
          <spPr>
            <a:solidFill xmlns:a="http://schemas.openxmlformats.org/drawingml/2006/main">
              <a:srgbClr val="00808C"/>
            </a:solidFill>
            <a:ln xmlns:a="http://schemas.openxmlformats.org/drawingml/2006/main">
              <a:solidFill>
                <a:srgbClr val="00808C"/>
              </a:solidFill>
              <a:prstDash val="solid"/>
            </a:ln>
          </spPr>
          <cat>
            <numRef>
              <f>'Chart Data'!$A$2:$A$16</f>
            </numRef>
          </cat>
          <val>
            <numRef>
              <f>'Chart Data'!$K$2:$K$16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Ltr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Tracker</author>
  </authors>
  <commentList>
    <comment ref="G2" authorId="0" shapeId="0">
      <text>
        <t>Tap here and pick a day from the list (newest first). 'Latest' always shows the newest day entered.</t>
      </text>
    </comment>
  </commentList>
</comments>
</file>

<file path=xl/comments/comment2.xml><?xml version="1.0" encoding="utf-8"?>
<comments xmlns="http://schemas.openxmlformats.org/spreadsheetml/2006/main">
  <authors>
    <author>Tracker</author>
  </authors>
  <commentList>
    <comment ref="H4" authorId="0" shapeId="0">
      <text>
        <t>Type only when the real/approx stock differs from the calculated book stock (e.g. more crushed from stock than the book showed). Leave blank otherwise.</t>
      </text>
    </comment>
    <comment ref="R4" authorId="0" shapeId="0">
      <text>
        <t>Physical stock if typed, otherwise Book stock (= Opening + Went to stock − Crushed from stock). Becomes next day's opening.</t>
      </text>
    </comment>
  </commentList>
</comments>
</file>

<file path=xl/comments/comment3.xml><?xml version="1.0" encoding="utf-8"?>
<comments xmlns="http://schemas.openxmlformats.org/spreadsheetml/2006/main">
  <authors>
    <author>Tracker</author>
  </authors>
  <commentList>
    <comment ref="F4" authorId="0" shapeId="0">
      <text>
        <t>Sum of diesel received this month (+ opening balance from Settings in the start month).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39</row>
      <rowOff>0</rowOff>
    </from>
    <ext cx="48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39</row>
      <rowOff>0</rowOff>
    </from>
    <ext cx="43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55</row>
      <rowOff>0</rowOff>
    </from>
    <ext cx="48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55</row>
      <rowOff>0</rowOff>
    </from>
    <ext cx="43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71</row>
      <rowOff>0</rowOff>
    </from>
    <ext cx="48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71</row>
      <rowOff>0</rowOff>
    </from>
    <ext cx="43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7" customWidth="1" min="3" max="3"/>
    <col width="10" customWidth="1" min="4" max="4"/>
    <col width="3" customWidth="1" min="5" max="5"/>
    <col width="40" customWidth="1" min="6" max="6"/>
    <col width="16" customWidth="1" min="7" max="7"/>
    <col width="10" customWidth="1" min="8" max="8"/>
    <col width="2" customWidth="1" min="9" max="9"/>
  </cols>
  <sheetData>
    <row r="1" ht="34" customHeight="1">
      <c r="B1" s="1" t="inlineStr">
        <is>
          <t>SNEH BUILDCON PVT. LTD.</t>
        </is>
      </c>
    </row>
    <row r="2" ht="26" customHeight="1">
      <c r="B2" s="2" t="inlineStr">
        <is>
          <t>DATE :</t>
        </is>
      </c>
      <c r="E2" s="3">
        <f>IF(OR(G2="",G2="Latest"),MAX('Daily Boulder'!$A$5:$A$800),IF(ISNUMBER(G2),G2,IFERROR(DATEVALUE(G2),MAX('Daily Boulder'!$A$5:$A$800))))</f>
        <v/>
      </c>
      <c r="G2" s="4" t="inlineStr">
        <is>
          <t>Latest</t>
        </is>
      </c>
    </row>
    <row r="3" ht="24" customHeight="1">
      <c r="B3" s="5" t="inlineStr">
        <is>
          <t>CRUSHER PLANT PRODUCTION &amp; DISPATCH REPORT</t>
        </is>
      </c>
      <c r="G3" s="6" t="inlineStr">
        <is>
          <t>▲ tap to choose day</t>
        </is>
      </c>
    </row>
    <row r="4">
      <c r="B4" s="7" t="inlineStr">
        <is>
          <t>TOGETHER WE BUILD   |   TOGETHER WE GROW   |   TOGETHER WE CREATE</t>
        </is>
      </c>
    </row>
    <row r="6" ht="24" customHeight="1">
      <c r="B6" s="8" t="inlineStr">
        <is>
          <t>1. BOULDER RECEIPT &amp; CRUSHING</t>
        </is>
      </c>
      <c r="F6" s="9" t="inlineStr">
        <is>
          <t>2. TODAY'S DISPATCH</t>
        </is>
      </c>
    </row>
    <row r="7">
      <c r="B7" s="10" t="inlineStr">
        <is>
          <t>Particular</t>
        </is>
      </c>
      <c r="C7" s="10" t="inlineStr">
        <is>
          <t>Quantity (MT)</t>
        </is>
      </c>
      <c r="D7" s="10" t="inlineStr">
        <is>
          <t>Trips</t>
        </is>
      </c>
      <c r="F7" s="11" t="inlineStr">
        <is>
          <t>Material</t>
        </is>
      </c>
      <c r="G7" s="11" t="inlineStr">
        <is>
          <t>Quantity (MT)</t>
        </is>
      </c>
      <c r="H7" s="11" t="inlineStr">
        <is>
          <t>Trips</t>
        </is>
      </c>
    </row>
    <row r="8" ht="19" customHeight="1">
      <c r="B8" s="12" t="inlineStr">
        <is>
          <t>Total Boulder Received at Crusher</t>
        </is>
      </c>
      <c r="C8" s="13">
        <f>IFERROR(INDEX('Daily Boulder'!$B$5:$B$800,MATCH(Dashboard!$E$2,'Daily Boulder'!$A$5:$A$800,0)),"")</f>
        <v/>
      </c>
      <c r="D8" s="14">
        <f>IFERROR(INDEX('Daily Boulder'!$J$5:$J$800,MATCH(Dashboard!$E$2,'Daily Boulder'!$A$5:$A$800,0)),"")</f>
        <v/>
      </c>
      <c r="F8" s="15" t="inlineStr">
        <is>
          <t>10 MM Aggregate</t>
        </is>
      </c>
      <c r="G8" s="16">
        <f>IFERROR(INDEX('Daily Dispatch'!$B$5:$B$800,MATCH(Dashboard!$E$2,'Daily Dispatch'!$A$5:$A$800,0)),"")</f>
        <v/>
      </c>
      <c r="H8" s="17">
        <f>IFERROR(INDEX('Daily Dispatch'!$C$5:$C$800,MATCH(Dashboard!$E$2,'Daily Dispatch'!$A$5:$A$800,0)),"")</f>
        <v/>
      </c>
    </row>
    <row r="9" ht="19" customHeight="1">
      <c r="B9" s="12" t="inlineStr">
        <is>
          <t>Boulder Received at Crusher Hopper</t>
        </is>
      </c>
      <c r="C9" s="13">
        <f>IFERROR(INDEX('Daily Boulder'!$D$5:$D$800,MATCH(Dashboard!$E$2,'Daily Boulder'!$A$5:$A$800,0)),"")</f>
        <v/>
      </c>
      <c r="D9" s="14">
        <f>IFERROR(INDEX('Daily Boulder'!$K$5:$K$800,MATCH(Dashboard!$E$2,'Daily Boulder'!$A$5:$A$800,0)),"")</f>
        <v/>
      </c>
      <c r="F9" s="15" t="inlineStr">
        <is>
          <t>20 MM Aggregate</t>
        </is>
      </c>
      <c r="G9" s="16">
        <f>IFERROR(INDEX('Daily Dispatch'!$D$5:$D$800,MATCH(Dashboard!$E$2,'Daily Dispatch'!$A$5:$A$800,0)),"")</f>
        <v/>
      </c>
      <c r="H9" s="17">
        <f>IFERROR(INDEX('Daily Dispatch'!$E$5:$E$800,MATCH(Dashboard!$E$2,'Daily Dispatch'!$A$5:$A$800,0)),"")</f>
        <v/>
      </c>
    </row>
    <row r="10" ht="19" customHeight="1">
      <c r="B10" s="12" t="inlineStr">
        <is>
          <t>Boulder Received at Crusher Stock</t>
        </is>
      </c>
      <c r="C10" s="18">
        <f>IFERROR(INDEX('Daily Boulder'!$L$5:$L$800,MATCH(Dashboard!$E$2,'Daily Boulder'!$A$5:$A$800,0)),"")</f>
        <v/>
      </c>
      <c r="D10" s="14">
        <f>IFERROR(INDEX('Daily Boulder'!$M$5:$M$800,MATCH(Dashboard!$E$2,'Daily Boulder'!$A$5:$A$800,0)),"")</f>
        <v/>
      </c>
      <c r="F10" s="15" t="inlineStr">
        <is>
          <t>30 MM Aggregate</t>
        </is>
      </c>
      <c r="G10" s="16">
        <f>IFERROR(INDEX('Daily Dispatch'!$F$5:$F$800,MATCH(Dashboard!$E$2,'Daily Dispatch'!$A$5:$A$800,0)),"")</f>
        <v/>
      </c>
      <c r="H10" s="17">
        <f>IFERROR(INDEX('Daily Dispatch'!$G$5:$G$800,MATCH(Dashboard!$E$2,'Daily Dispatch'!$A$5:$A$800,0)),"")</f>
        <v/>
      </c>
    </row>
    <row r="11" ht="19" customHeight="1">
      <c r="B11" s="12" t="inlineStr">
        <is>
          <t>Stock Boulder Up to Date</t>
        </is>
      </c>
      <c r="C11" s="18">
        <f>IFERROR(INDEX('Daily Boulder'!$R$5:$R$800,MATCH(Dashboard!$E$2,'Daily Boulder'!$A$5:$A$800,0)),"")</f>
        <v/>
      </c>
      <c r="D11" s="19" t="inlineStr">
        <is>
          <t>Daily</t>
        </is>
      </c>
      <c r="F11" s="15" t="inlineStr">
        <is>
          <t>M-Sand</t>
        </is>
      </c>
      <c r="G11" s="16">
        <f>IFERROR(INDEX('Daily Dispatch'!$H$5:$H$800,MATCH(Dashboard!$E$2,'Daily Dispatch'!$A$5:$A$800,0)),"")</f>
        <v/>
      </c>
      <c r="H11" s="17">
        <f>IFERROR(INDEX('Daily Dispatch'!$I$5:$I$800,MATCH(Dashboard!$E$2,'Daily Dispatch'!$A$5:$A$800,0)),"")</f>
        <v/>
      </c>
    </row>
    <row r="12" ht="19" customHeight="1">
      <c r="B12" s="12" t="inlineStr">
        <is>
          <t>Boulder Crushing from Stock</t>
        </is>
      </c>
      <c r="C12" s="20">
        <f>IFERROR(INDEX('Daily Boulder'!$F$5:$F$800,MATCH(Dashboard!$E$2,'Daily Boulder'!$A$5:$A$800,0)),"")</f>
        <v/>
      </c>
      <c r="D12" s="14">
        <f>IFERROR(INDEX('Daily Boulder'!$N$5:$N$800,MATCH(Dashboard!$E$2,'Daily Boulder'!$A$5:$A$800,0)),"")</f>
        <v/>
      </c>
      <c r="F12" s="21" t="inlineStr">
        <is>
          <t>Total Aggregate Dispatch</t>
        </is>
      </c>
      <c r="G12" s="22">
        <f>IFERROR(INDEX('Daily Dispatch'!$J$5:$J$800,MATCH(Dashboard!$E$2,'Daily Dispatch'!$A$5:$A$800,0)),"")</f>
        <v/>
      </c>
      <c r="H12" s="23">
        <f>IFERROR(INDEX('Daily Dispatch'!$K$5:$K$800,MATCH(Dashboard!$E$2,'Daily Dispatch'!$A$5:$A$800,0)),"")</f>
        <v/>
      </c>
    </row>
    <row r="13" ht="19" customHeight="1">
      <c r="B13" s="24" t="inlineStr">
        <is>
          <t>Total Boulder Crushing Today</t>
        </is>
      </c>
      <c r="C13" s="25">
        <f>IFERROR(INDEX('Daily Boulder'!$O$5:$O$800,MATCH(Dashboard!$E$2,'Daily Boulder'!$A$5:$A$800,0)),"")</f>
        <v/>
      </c>
      <c r="D13" s="26">
        <f>IFERROR(INDEX('Daily Boulder'!$P$5:$P$800,MATCH(Dashboard!$E$2,'Daily Boulder'!$A$5:$A$800,0)),"")</f>
        <v/>
      </c>
      <c r="F13" s="27" t="inlineStr">
        <is>
          <t>Total Dispatch – All Material</t>
        </is>
      </c>
      <c r="G13" s="28">
        <f>IFERROR(INDEX('Daily Dispatch'!$L$5:$L$800,MATCH(Dashboard!$E$2,'Daily Dispatch'!$A$5:$A$800,0)),"")</f>
        <v/>
      </c>
      <c r="H13" s="29">
        <f>IFERROR(INDEX('Daily Dispatch'!$M$5:$M$800,MATCH(Dashboard!$E$2,'Daily Dispatch'!$A$5:$A$800,0)),"")</f>
        <v/>
      </c>
    </row>
    <row r="14">
      <c r="B14" s="30">
        <f>"Note: • Boulder crushing from stock is based on an average of "&amp;TEXT(IFERROR(INDEX('Daily Boulder'!$X$5:$X$800,MATCH(Dashboard!$E$2,'Daily Boulder'!$A$5:$A$800,0)),Settings!$B$5),"0")&amp;" MT per vehicle."</f>
        <v/>
      </c>
    </row>
    <row r="15" ht="24" customHeight="1">
      <c r="B15" s="30">
        <f>"• Boulder received at crusher stock is based on today's average of "&amp;TEXT(IFERROR(INDEX('Daily Boulder'!$Y$5:$Y$800,MATCH(Dashboard!$E$2,'Daily Boulder'!$A$5:$A$800,0)),Settings!$B$5),"0.0")&amp;" MT per vehicle."</f>
        <v/>
      </c>
      <c r="F15" s="31" t="inlineStr">
        <is>
          <t>3. MONTHLY DISPATCH STATUS</t>
        </is>
      </c>
    </row>
    <row r="16" ht="19" customHeight="1">
      <c r="B16" s="32" t="inlineStr">
        <is>
          <t>Boulder Received at Crusher – This Month</t>
        </is>
      </c>
      <c r="C16" s="33">
        <f>IFERROR(INDEX('Daily Boulder'!$T$5:$T$800,MATCH(Dashboard!$E$2,'Daily Boulder'!$A$5:$A$800,0)),"")</f>
        <v/>
      </c>
      <c r="D16" s="34">
        <f>IFERROR(INDEX('Daily Boulder'!$U$5:$U$800,MATCH(Dashboard!$E$2,'Daily Boulder'!$A$5:$A$800,0)),"")</f>
        <v/>
      </c>
      <c r="F16" s="35" t="inlineStr">
        <is>
          <t>Particular</t>
        </is>
      </c>
      <c r="G16" s="35" t="inlineStr">
        <is>
          <t>Quantity (MT)</t>
        </is>
      </c>
      <c r="H16" s="35" t="inlineStr">
        <is>
          <t>Trips</t>
        </is>
      </c>
    </row>
    <row r="17" ht="19" customHeight="1">
      <c r="B17" s="32" t="inlineStr">
        <is>
          <t>Total Cumulative Production Up to Date</t>
        </is>
      </c>
      <c r="C17" s="33">
        <f>IFERROR(INDEX('Daily Boulder'!$V$5:$V$800,MATCH(Dashboard!$E$2,'Daily Boulder'!$A$5:$A$800,0)),"")</f>
        <v/>
      </c>
      <c r="D17" s="34">
        <f>IFERROR(INDEX('Daily Boulder'!$W$5:$W$800,MATCH(Dashboard!$E$2,'Daily Boulder'!$A$5:$A$800,0)),"")</f>
        <v/>
      </c>
      <c r="F17" s="36" t="inlineStr">
        <is>
          <t>Total Aggregate Dispatch – This Month</t>
        </is>
      </c>
      <c r="G17" s="13">
        <f>IFERROR(INDEX('Daily Dispatch'!$N$5:$N$800,MATCH(Dashboard!$E$2,'Daily Dispatch'!$A$5:$A$800,0)),"")</f>
        <v/>
      </c>
      <c r="H17" s="37">
        <f>IFERROR(INDEX('Daily Dispatch'!$O$5:$O$800,MATCH(Dashboard!$E$2,'Daily Dispatch'!$A$5:$A$800,0)),"")</f>
        <v/>
      </c>
    </row>
    <row r="18" ht="19" customHeight="1">
      <c r="F18" s="36" t="inlineStr">
        <is>
          <t>Total M-Sand Dispatch – This Month</t>
        </is>
      </c>
      <c r="G18" s="13">
        <f>IFERROR(INDEX('Daily Dispatch'!$P$5:$P$800,MATCH(Dashboard!$E$2,'Daily Dispatch'!$A$5:$A$800,0)),"")</f>
        <v/>
      </c>
      <c r="H18" s="37">
        <f>IFERROR(INDEX('Daily Dispatch'!$Q$5:$Q$800,MATCH(Dashboard!$E$2,'Daily Dispatch'!$A$5:$A$800,0)),"")</f>
        <v/>
      </c>
    </row>
    <row r="19" ht="19" customHeight="1">
      <c r="F19" s="38" t="inlineStr">
        <is>
          <t>Total Dispatch – All Material This Month</t>
        </is>
      </c>
      <c r="G19" s="39">
        <f>IFERROR(INDEX('Daily Dispatch'!$R$5:$R$800,MATCH(Dashboard!$E$2,'Daily Dispatch'!$A$5:$A$800,0)),"")</f>
        <v/>
      </c>
      <c r="H19" s="40">
        <f>IFERROR(INDEX('Daily Dispatch'!$S$5:$S$800,MATCH(Dashboard!$E$2,'Daily Dispatch'!$A$5:$A$800,0)),"")</f>
        <v/>
      </c>
    </row>
    <row r="21" ht="24" customHeight="1">
      <c r="B21" s="41" t="inlineStr">
        <is>
          <t>4. PLANT AND EQUIPMENT'S RUNNING HOURS/KM</t>
        </is>
      </c>
      <c r="F21" s="42" t="inlineStr">
        <is>
          <t>6. REMARKS</t>
        </is>
      </c>
    </row>
    <row r="22">
      <c r="B22" s="43" t="inlineStr">
        <is>
          <t>Section / Equipment</t>
        </is>
      </c>
      <c r="C22" s="43" t="inlineStr">
        <is>
          <t>Running Hours / KM</t>
        </is>
      </c>
      <c r="D22" s="44" t="n"/>
      <c r="F22" s="45" t="inlineStr">
        <is>
          <t>Primary Section :</t>
        </is>
      </c>
    </row>
    <row r="23" ht="24" customHeight="1">
      <c r="B23" s="15" t="inlineStr">
        <is>
          <t>Primary Section</t>
        </is>
      </c>
      <c r="C23" s="46">
        <f>IFERROR(INDEX('Hours &amp; Remarks'!$B$5:$B$800,MATCH(Dashboard!$E$2,'Hours &amp; Remarks'!$A$5:$A$800,0)),"")</f>
        <v/>
      </c>
      <c r="D23" s="44" t="n"/>
      <c r="F23" s="47">
        <f>IFERROR(INDEX('Hours &amp; Remarks'!$F$5:$F$800,MATCH(Dashboard!$E$2,'Hours &amp; Remarks'!$A$5:$A$800,0))&amp;"","")</f>
        <v/>
      </c>
    </row>
    <row r="24" ht="24" customHeight="1">
      <c r="B24" s="15" t="inlineStr">
        <is>
          <t>Secondary Section</t>
        </is>
      </c>
      <c r="C24" s="48">
        <f>IFERROR(INDEX('Hours &amp; Remarks'!$C$5:$C$800,MATCH(Dashboard!$E$2,'Hours &amp; Remarks'!$A$5:$A$800,0)),"")</f>
        <v/>
      </c>
      <c r="D24" s="44" t="n"/>
    </row>
    <row r="25" ht="24" customHeight="1">
      <c r="B25" s="15" t="inlineStr">
        <is>
          <t>Hyundai Excavator R230</t>
        </is>
      </c>
      <c r="C25" s="48">
        <f>IFERROR(INDEX('Hours &amp; Remarks'!$D$5:$D$800,MATCH(Dashboard!$E$2,'Hours &amp; Remarks'!$A$5:$A$800,0)),"")</f>
        <v/>
      </c>
      <c r="D25" s="44" t="n"/>
      <c r="F25" s="45" t="inlineStr">
        <is>
          <t>Secondary Section :</t>
        </is>
      </c>
    </row>
    <row r="26" ht="24" customHeight="1">
      <c r="B26" s="15" t="inlineStr">
        <is>
          <t>JCB UP92T7813</t>
        </is>
      </c>
      <c r="C26" s="48">
        <f>IFERROR(INDEX('Hours &amp; Remarks'!$E$5:$E$800,MATCH(Dashboard!$E$2,'Hours &amp; Remarks'!$A$5:$A$800,0)),"")</f>
        <v/>
      </c>
      <c r="D26" s="44" t="n"/>
      <c r="F26" s="47">
        <f>IFERROR(INDEX('Hours &amp; Remarks'!$G$5:$G$800,MATCH(Dashboard!$E$2,'Hours &amp; Remarks'!$A$5:$A$800,0))&amp;"","")</f>
        <v/>
      </c>
    </row>
    <row r="27" ht="30" customHeight="1">
      <c r="B27" s="15" t="inlineStr">
        <is>
          <t>Camper MP07ZM6345</t>
        </is>
      </c>
      <c r="C27" s="49">
        <f>IFERROR(INDEX('Hours &amp; Remarks'!$H$5:$H$800,MATCH(Dashboard!$E$2,'Hours &amp; Remarks'!$A$5:$A$800,0)),"")</f>
        <v/>
      </c>
      <c r="D27" s="44" t="n"/>
    </row>
    <row r="29" ht="24" customHeight="1">
      <c r="B29" s="50" t="inlineStr">
        <is>
          <t>5. FUEL (DIESEL)</t>
        </is>
      </c>
    </row>
    <row r="30">
      <c r="B30" s="51" t="inlineStr">
        <is>
          <t>Equipment / Vehicle</t>
        </is>
      </c>
      <c r="C30" s="51" t="inlineStr">
        <is>
          <t>Diesel Received Today</t>
        </is>
      </c>
      <c r="D30" s="44" t="n"/>
      <c r="F30" s="52" t="inlineStr">
        <is>
          <t>Total Diesel Consumption This Month</t>
        </is>
      </c>
      <c r="G30" s="53" t="n"/>
      <c r="H30" s="53" t="n"/>
    </row>
    <row r="31" ht="19" customHeight="1">
      <c r="B31" s="36" t="inlineStr">
        <is>
          <t>Camper MP07ZM6345</t>
        </is>
      </c>
      <c r="C31" s="54">
        <f>IFERROR(INDEX('Diesel'!$B$5:$B$800,MATCH(Dashboard!$E$2,'Diesel'!$A$5:$A$800,0)),"")</f>
        <v/>
      </c>
      <c r="D31" s="44" t="n"/>
      <c r="F31" s="55">
        <f>IFERROR(INDEX('Diesel'!$F$5:$F$800,MATCH(Dashboard!$E$2,'Diesel'!$A$5:$A$800,0)),"")</f>
        <v/>
      </c>
      <c r="G31" s="53" t="n"/>
      <c r="H31" s="53" t="n"/>
    </row>
    <row r="32" ht="19" customHeight="1">
      <c r="B32" s="36" t="inlineStr">
        <is>
          <t>JCB UP92T7813</t>
        </is>
      </c>
      <c r="C32" s="54">
        <f>IFERROR(INDEX('Diesel'!$C$5:$C$800,MATCH(Dashboard!$E$2,'Diesel'!$A$5:$A$800,0)),"")</f>
        <v/>
      </c>
      <c r="D32" s="44" t="n"/>
      <c r="F32" s="53" t="n"/>
      <c r="G32" s="53" t="n"/>
      <c r="H32" s="53" t="n"/>
    </row>
    <row r="33" ht="19" customHeight="1">
      <c r="B33" s="36" t="inlineStr">
        <is>
          <t>Hyundai Excavator R230</t>
        </is>
      </c>
      <c r="C33" s="54">
        <f>IFERROR(INDEX('Diesel'!$D$5:$D$800,MATCH(Dashboard!$E$2,'Diesel'!$A$5:$A$800,0)),"")</f>
        <v/>
      </c>
      <c r="D33" s="44" t="n"/>
      <c r="F33" s="53" t="n"/>
      <c r="G33" s="53" t="n"/>
      <c r="H33" s="53" t="n"/>
    </row>
    <row r="34" ht="19" customHeight="1">
      <c r="B34" s="56" t="inlineStr">
        <is>
          <t>Diesel Received Today (Total)</t>
        </is>
      </c>
      <c r="C34" s="57">
        <f>IFERROR(INDEX('Diesel'!$E$5:$E$800,MATCH(Dashboard!$E$2,'Diesel'!$A$5:$A$800,0)),"")</f>
        <v/>
      </c>
      <c r="D34" s="44" t="n"/>
      <c r="F34" s="53" t="n"/>
      <c r="G34" s="53" t="n"/>
      <c r="H34" s="53" t="n"/>
    </row>
    <row r="36">
      <c r="F36" s="58">
        <f>"Prepared by: "&amp;Settings!$B$15</f>
        <v/>
      </c>
    </row>
    <row r="38" ht="24" customHeight="1">
      <c r="B38" s="59" t="inlineStr">
        <is>
          <t>DASHBOARD – LAST 15 DAYS (ending on the report date)</t>
        </is>
      </c>
    </row>
  </sheetData>
  <mergeCells count="34">
    <mergeCell ref="C34:D34"/>
    <mergeCell ref="B14:D14"/>
    <mergeCell ref="C24:D24"/>
    <mergeCell ref="F21:H21"/>
    <mergeCell ref="C30:D30"/>
    <mergeCell ref="G2:H2"/>
    <mergeCell ref="C33:D33"/>
    <mergeCell ref="F36:H36"/>
    <mergeCell ref="B3:F3"/>
    <mergeCell ref="C26:D26"/>
    <mergeCell ref="F22:H22"/>
    <mergeCell ref="B4:H4"/>
    <mergeCell ref="C25:D25"/>
    <mergeCell ref="C22:D22"/>
    <mergeCell ref="B15:D15"/>
    <mergeCell ref="C31:D31"/>
    <mergeCell ref="B6:D6"/>
    <mergeCell ref="G3:H3"/>
    <mergeCell ref="E2:F2"/>
    <mergeCell ref="C27:D27"/>
    <mergeCell ref="F26:H27"/>
    <mergeCell ref="C23:D23"/>
    <mergeCell ref="F25:H25"/>
    <mergeCell ref="F23:H24"/>
    <mergeCell ref="F6:H6"/>
    <mergeCell ref="C32:D32"/>
    <mergeCell ref="B1:H1"/>
    <mergeCell ref="F31:H34"/>
    <mergeCell ref="B38:H38"/>
    <mergeCell ref="B21:D21"/>
    <mergeCell ref="B29:H29"/>
    <mergeCell ref="F30:H30"/>
    <mergeCell ref="F15:H15"/>
    <mergeCell ref="B2:D2"/>
  </mergeCells>
  <dataValidations count="1">
    <dataValidation sqref="G2" showDropDown="0" showInputMessage="0" showErrorMessage="1" allowBlank="0" errorTitle="Pick a day" error="Choose a day from the list." type="list">
      <formula1>='Chart Data'!$P$1:$P$400</formula1>
    </dataValidation>
  </dataValidations>
  <pageMargins left="0.3" right="0.3" top="1" bottom="1" header="0.5" footer="0.5"/>
  <pageSetup orientation="portrait" fitToHeight="0" fitToWidth="1"/>
  <rowBreaks count="1" manualBreakCount="1">
    <brk id="37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0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2" customWidth="1" min="4" max="4"/>
    <col width="10" customWidth="1" min="5" max="5"/>
    <col width="13" customWidth="1" min="6" max="6"/>
    <col width="10" customWidth="1" min="7" max="7"/>
    <col width="13" customWidth="1" min="8" max="8"/>
    <col width="14" customWidth="1" min="9" max="9"/>
    <col width="9" customWidth="1" min="10" max="10"/>
    <col width="9" customWidth="1" min="11" max="11"/>
    <col width="12" customWidth="1" min="12" max="12"/>
    <col width="8" customWidth="1" min="13" max="13"/>
    <col width="10" customWidth="1" min="14" max="14"/>
    <col width="13" customWidth="1" min="15" max="15"/>
    <col width="11" customWidth="1" min="16" max="16"/>
    <col width="13" customWidth="1" min="17" max="17"/>
    <col width="15" customWidth="1" min="18" max="18"/>
    <col width="13" customWidth="1" min="19" max="19"/>
    <col width="14" customWidth="1" min="20" max="20"/>
    <col width="11" customWidth="1" min="21" max="21"/>
    <col width="15" customWidth="1" min="22" max="22"/>
    <col width="12" customWidth="1" min="23" max="23"/>
    <col width="11" customWidth="1" min="24" max="24"/>
    <col width="11" customWidth="1" min="25" max="25"/>
  </cols>
  <sheetData>
    <row r="1">
      <c r="A1" s="60" t="inlineStr">
        <is>
          <t>BLOCK 1 – BOULDER RECEIPT, STOCK &amp; CRUSHING (one row per day)</t>
        </is>
      </c>
    </row>
    <row r="2">
      <c r="A2" s="61" t="inlineStr">
        <is>
          <t>Yellow = you type. Trips and Physical stock are OPTIONAL: leave trips blank to calculate MT ÷ avg; type physical stock only when the real stock differs from the calculated (book) stock.</t>
        </is>
      </c>
    </row>
    <row r="3">
      <c r="B3" s="62" t="inlineStr">
        <is>
          <t>YOU TYPE</t>
        </is>
      </c>
      <c r="I3" s="63" t="inlineStr">
        <is>
          <t>CALCULATED</t>
        </is>
      </c>
      <c r="T3" s="64" t="inlineStr">
        <is>
          <t>MONTH &amp; CUMULATIVE</t>
        </is>
      </c>
      <c r="X3" s="65" t="inlineStr">
        <is>
          <t>REPORT NOTE</t>
        </is>
      </c>
    </row>
    <row r="4" ht="58" customHeight="1">
      <c r="A4" s="66" t="inlineStr">
        <is>
          <t>Date</t>
        </is>
      </c>
      <c r="B4" s="66" t="inlineStr">
        <is>
          <t>Total Received
at Crusher
MT</t>
        </is>
      </c>
      <c r="C4" s="66" t="inlineStr">
        <is>
          <t>Received
Trips
(optional)</t>
        </is>
      </c>
      <c r="D4" s="66" t="inlineStr">
        <is>
          <t>Direct to
Hopper
MT</t>
        </is>
      </c>
      <c r="E4" s="66" t="inlineStr">
        <is>
          <t>Hopper
Trips
(optional)</t>
        </is>
      </c>
      <c r="F4" s="66" t="inlineStr">
        <is>
          <t>Crushed from
Stock
MT</t>
        </is>
      </c>
      <c r="G4" s="66" t="inlineStr">
        <is>
          <t>From-Stock
Trips
(optional)</t>
        </is>
      </c>
      <c r="H4" s="66" t="inlineStr">
        <is>
          <t>Physical
Closing Stock
(optional) MT</t>
        </is>
      </c>
      <c r="I4" s="66" t="inlineStr">
        <is>
          <t>Opening Stock
(prev day closing)
MT</t>
        </is>
      </c>
      <c r="J4" s="66" t="inlineStr">
        <is>
          <t>Received
Trips</t>
        </is>
      </c>
      <c r="K4" s="66" t="inlineStr">
        <is>
          <t>Hopper
Trips</t>
        </is>
      </c>
      <c r="L4" s="66" t="inlineStr">
        <is>
          <t>Went to Stock
MT</t>
        </is>
      </c>
      <c r="M4" s="66" t="inlineStr">
        <is>
          <t>Stock
Trips</t>
        </is>
      </c>
      <c r="N4" s="66" t="inlineStr">
        <is>
          <t>From-Stock
Trips</t>
        </is>
      </c>
      <c r="O4" s="66" t="inlineStr">
        <is>
          <t>Total Crushing
Today
MT</t>
        </is>
      </c>
      <c r="P4" s="66" t="inlineStr">
        <is>
          <t>Total Crushing
Trips</t>
        </is>
      </c>
      <c r="Q4" s="66" t="inlineStr">
        <is>
          <t>Book Closing
Stock
MT</t>
        </is>
      </c>
      <c r="R4" s="66" t="inlineStr">
        <is>
          <t>Closing Stock
(Stock up to date)
MT</t>
        </is>
      </c>
      <c r="S4" s="66" t="inlineStr">
        <is>
          <t>Physical − Book
Difference
MT</t>
        </is>
      </c>
      <c r="T4" s="66" t="inlineStr">
        <is>
          <t>Received
This Month
MT</t>
        </is>
      </c>
      <c r="U4" s="66" t="inlineStr">
        <is>
          <t>Received
This Month
Trips</t>
        </is>
      </c>
      <c r="V4" s="66" t="inlineStr">
        <is>
          <t>Cumulative
Production
MT</t>
        </is>
      </c>
      <c r="W4" s="66" t="inlineStr">
        <is>
          <t>Cumulative
Production
Trips</t>
        </is>
      </c>
      <c r="X4" s="66" t="inlineStr">
        <is>
          <t>Note avg
from stock
MT/vehicle</t>
        </is>
      </c>
      <c r="Y4" s="66" t="inlineStr">
        <is>
          <t>Note avg
at stock
MT/vehicle</t>
        </is>
      </c>
    </row>
    <row r="5">
      <c r="A5" s="67" t="n"/>
      <c r="B5" s="68" t="n"/>
      <c r="C5" s="69" t="n"/>
      <c r="D5" s="68" t="n"/>
      <c r="E5" s="69" t="n"/>
      <c r="F5" s="68" t="n"/>
      <c r="G5" s="69" t="n"/>
      <c r="H5" s="68" t="n"/>
      <c r="I5" s="70">
        <f>IF($A5="","",Settings!$B$4)</f>
        <v/>
      </c>
      <c r="J5" s="71">
        <f>IF($A5="","",IF(C5="",0,C5))</f>
        <v/>
      </c>
      <c r="K5" s="71">
        <f>IF($A5="","",IF(E5="",0,E5))</f>
        <v/>
      </c>
      <c r="L5" s="70">
        <f>IF($A5="","",B5-D5)</f>
        <v/>
      </c>
      <c r="M5" s="71">
        <f>IF($A5="","",J5-K5)</f>
        <v/>
      </c>
      <c r="N5" s="71">
        <f>IF($A5="","",IF(G5="",0,G5))</f>
        <v/>
      </c>
      <c r="O5" s="70">
        <f>IF($A5="","",D5+F5)</f>
        <v/>
      </c>
      <c r="P5" s="71">
        <f>IF($A5="","",K5+N5)</f>
        <v/>
      </c>
      <c r="Q5" s="70">
        <f>IF($A5="","",I5+L5-F5)</f>
        <v/>
      </c>
      <c r="R5" s="72">
        <f>IF($A5="","",IF(H5="",Q5,H5))</f>
        <v/>
      </c>
      <c r="S5" s="73">
        <f>IF($A5="","",R5-Q5)</f>
        <v/>
      </c>
      <c r="T5" s="70">
        <f>IF($A5="","",SUMIFS($B$5:$B$800,$A$5:$A$800,"&gt;="&amp;DATE(YEAR($A5),MONTH($A5),1),$A$5:$A$800,"&lt;="&amp;$A5)+IF(AND(YEAR($A5)=YEAR(Settings!$B$3),MONTH($A5)=MONTH(Settings!$B$3)),Settings!$B$6,0))</f>
        <v/>
      </c>
      <c r="U5" s="71">
        <f>IF($A5="","",SUMIFS($J$5:$J$800,$A$5:$A$800,"&gt;="&amp;DATE(YEAR($A5),MONTH($A5),1),$A$5:$A$800,"&lt;="&amp;$A5)+IF(AND(YEAR($A5)=YEAR(Settings!$B$3),MONTH($A5)=MONTH(Settings!$B$3)),Settings!$B$7,0))</f>
        <v/>
      </c>
      <c r="V5" s="70">
        <f>IF($A5="","",Settings!$B$8+SUM($B$5:B5))</f>
        <v/>
      </c>
      <c r="W5" s="71">
        <f>IF($A5="","",Settings!$B$9+SUM($J$5:J5))</f>
        <v/>
      </c>
      <c r="X5" s="71">
        <f>IF($A5="","",IF(AND(N5&gt;0,F5&gt;0),ROUND(F5/N5,0),Settings!$B$5))</f>
        <v/>
      </c>
      <c r="Y5" s="74">
        <f>IF($A5="","",IF(AND(M5&gt;0,L5&gt;0),ROUND(L5/M5,0),IF(AND(J5&gt;0,B5&gt;0),ROUND(B5/J5,0),Settings!$B$5)))</f>
        <v/>
      </c>
    </row>
    <row r="6">
      <c r="A6" s="67" t="n"/>
      <c r="B6" s="68" t="n"/>
      <c r="C6" s="69" t="n"/>
      <c r="D6" s="68" t="n"/>
      <c r="E6" s="69" t="n"/>
      <c r="F6" s="68" t="n"/>
      <c r="G6" s="69" t="n"/>
      <c r="H6" s="68" t="n"/>
      <c r="I6" s="70">
        <f>IF($A6="","",R5)</f>
        <v/>
      </c>
      <c r="J6" s="71">
        <f>IF($A6="","",IF(C6="",0,C6))</f>
        <v/>
      </c>
      <c r="K6" s="71">
        <f>IF($A6="","",IF(E6="",0,E6))</f>
        <v/>
      </c>
      <c r="L6" s="70">
        <f>IF($A6="","",B6-D6)</f>
        <v/>
      </c>
      <c r="M6" s="71">
        <f>IF($A6="","",J6-K6)</f>
        <v/>
      </c>
      <c r="N6" s="71">
        <f>IF($A6="","",IF(G6="",0,G6))</f>
        <v/>
      </c>
      <c r="O6" s="70">
        <f>IF($A6="","",D6+F6)</f>
        <v/>
      </c>
      <c r="P6" s="71">
        <f>IF($A6="","",K6+N6)</f>
        <v/>
      </c>
      <c r="Q6" s="70">
        <f>IF($A6="","",I6+L6-F6)</f>
        <v/>
      </c>
      <c r="R6" s="72">
        <f>IF($A6="","",IF(H6="",Q6,H6))</f>
        <v/>
      </c>
      <c r="S6" s="73">
        <f>IF($A6="","",R6-Q6)</f>
        <v/>
      </c>
      <c r="T6" s="70">
        <f>IF($A6="","",SUMIFS($B$5:$B$800,$A$5:$A$800,"&gt;="&amp;DATE(YEAR($A6),MONTH($A6),1),$A$5:$A$800,"&lt;="&amp;$A6)+IF(AND(YEAR($A6)=YEAR(Settings!$B$3),MONTH($A6)=MONTH(Settings!$B$3)),Settings!$B$6,0))</f>
        <v/>
      </c>
      <c r="U6" s="71">
        <f>IF($A6="","",SUMIFS($J$5:$J$800,$A$5:$A$800,"&gt;="&amp;DATE(YEAR($A6),MONTH($A6),1),$A$5:$A$800,"&lt;="&amp;$A6)+IF(AND(YEAR($A6)=YEAR(Settings!$B$3),MONTH($A6)=MONTH(Settings!$B$3)),Settings!$B$7,0))</f>
        <v/>
      </c>
      <c r="V6" s="70">
        <f>IF($A6="","",Settings!$B$8+SUM($B$5:B6))</f>
        <v/>
      </c>
      <c r="W6" s="71">
        <f>IF($A6="","",Settings!$B$9+SUM($J$5:J6))</f>
        <v/>
      </c>
      <c r="X6" s="71">
        <f>IF($A6="","",IF(AND(N6&gt;0,F6&gt;0),ROUND(F6/N6,0),X5))</f>
        <v/>
      </c>
      <c r="Y6" s="74">
        <f>IF($A6="","",IF(AND(M6&gt;0,L6&gt;0),ROUND(L6/M6,0),IF(AND(J6&gt;0,B6&gt;0),ROUND(B6/J6,0),Y5)))</f>
        <v/>
      </c>
    </row>
    <row r="7">
      <c r="A7" s="67" t="n"/>
      <c r="B7" s="68" t="n"/>
      <c r="C7" s="69" t="n"/>
      <c r="D7" s="68" t="n"/>
      <c r="E7" s="69" t="n"/>
      <c r="F7" s="68" t="n"/>
      <c r="G7" s="69" t="n"/>
      <c r="H7" s="68" t="n"/>
      <c r="I7" s="70">
        <f>IF($A7="","",R6)</f>
        <v/>
      </c>
      <c r="J7" s="71">
        <f>IF($A7="","",IF(C7="",0,C7))</f>
        <v/>
      </c>
      <c r="K7" s="71">
        <f>IF($A7="","",IF(E7="",0,E7))</f>
        <v/>
      </c>
      <c r="L7" s="70">
        <f>IF($A7="","",B7-D7)</f>
        <v/>
      </c>
      <c r="M7" s="71">
        <f>IF($A7="","",J7-K7)</f>
        <v/>
      </c>
      <c r="N7" s="71">
        <f>IF($A7="","",IF(G7="",0,G7))</f>
        <v/>
      </c>
      <c r="O7" s="70">
        <f>IF($A7="","",D7+F7)</f>
        <v/>
      </c>
      <c r="P7" s="71">
        <f>IF($A7="","",K7+N7)</f>
        <v/>
      </c>
      <c r="Q7" s="70">
        <f>IF($A7="","",I7+L7-F7)</f>
        <v/>
      </c>
      <c r="R7" s="72">
        <f>IF($A7="","",IF(H7="",Q7,H7))</f>
        <v/>
      </c>
      <c r="S7" s="73">
        <f>IF($A7="","",R7-Q7)</f>
        <v/>
      </c>
      <c r="T7" s="70">
        <f>IF($A7="","",SUMIFS($B$5:$B$800,$A$5:$A$800,"&gt;="&amp;DATE(YEAR($A7),MONTH($A7),1),$A$5:$A$800,"&lt;="&amp;$A7)+IF(AND(YEAR($A7)=YEAR(Settings!$B$3),MONTH($A7)=MONTH(Settings!$B$3)),Settings!$B$6,0))</f>
        <v/>
      </c>
      <c r="U7" s="71">
        <f>IF($A7="","",SUMIFS($J$5:$J$800,$A$5:$A$800,"&gt;="&amp;DATE(YEAR($A7),MONTH($A7),1),$A$5:$A$800,"&lt;="&amp;$A7)+IF(AND(YEAR($A7)=YEAR(Settings!$B$3),MONTH($A7)=MONTH(Settings!$B$3)),Settings!$B$7,0))</f>
        <v/>
      </c>
      <c r="V7" s="70">
        <f>IF($A7="","",Settings!$B$8+SUM($B$5:B7))</f>
        <v/>
      </c>
      <c r="W7" s="71">
        <f>IF($A7="","",Settings!$B$9+SUM($J$5:J7))</f>
        <v/>
      </c>
      <c r="X7" s="71">
        <f>IF($A7="","",IF(AND(N7&gt;0,F7&gt;0),ROUND(F7/N7,0),X6))</f>
        <v/>
      </c>
      <c r="Y7" s="74">
        <f>IF($A7="","",IF(AND(M7&gt;0,L7&gt;0),ROUND(L7/M7,0),IF(AND(J7&gt;0,B7&gt;0),ROUND(B7/J7,0),Y6)))</f>
        <v/>
      </c>
    </row>
    <row r="8">
      <c r="A8" s="67" t="n"/>
      <c r="B8" s="68" t="n"/>
      <c r="C8" s="69" t="n"/>
      <c r="D8" s="68" t="n"/>
      <c r="E8" s="69" t="n"/>
      <c r="F8" s="68" t="n"/>
      <c r="G8" s="69" t="n"/>
      <c r="H8" s="68" t="n"/>
      <c r="I8" s="70">
        <f>IF($A8="","",R7)</f>
        <v/>
      </c>
      <c r="J8" s="71">
        <f>IF($A8="","",IF(C8="",0,C8))</f>
        <v/>
      </c>
      <c r="K8" s="71">
        <f>IF($A8="","",IF(E8="",0,E8))</f>
        <v/>
      </c>
      <c r="L8" s="70">
        <f>IF($A8="","",B8-D8)</f>
        <v/>
      </c>
      <c r="M8" s="71">
        <f>IF($A8="","",J8-K8)</f>
        <v/>
      </c>
      <c r="N8" s="71">
        <f>IF($A8="","",IF(G8="",0,G8))</f>
        <v/>
      </c>
      <c r="O8" s="70">
        <f>IF($A8="","",D8+F8)</f>
        <v/>
      </c>
      <c r="P8" s="71">
        <f>IF($A8="","",K8+N8)</f>
        <v/>
      </c>
      <c r="Q8" s="70">
        <f>IF($A8="","",I8+L8-F8)</f>
        <v/>
      </c>
      <c r="R8" s="72">
        <f>IF($A8="","",IF(H8="",Q8,H8))</f>
        <v/>
      </c>
      <c r="S8" s="73">
        <f>IF($A8="","",R8-Q8)</f>
        <v/>
      </c>
      <c r="T8" s="70">
        <f>IF($A8="","",SUMIFS($B$5:$B$800,$A$5:$A$800,"&gt;="&amp;DATE(YEAR($A8),MONTH($A8),1),$A$5:$A$800,"&lt;="&amp;$A8)+IF(AND(YEAR($A8)=YEAR(Settings!$B$3),MONTH($A8)=MONTH(Settings!$B$3)),Settings!$B$6,0))</f>
        <v/>
      </c>
      <c r="U8" s="71">
        <f>IF($A8="","",SUMIFS($J$5:$J$800,$A$5:$A$800,"&gt;="&amp;DATE(YEAR($A8),MONTH($A8),1),$A$5:$A$800,"&lt;="&amp;$A8)+IF(AND(YEAR($A8)=YEAR(Settings!$B$3),MONTH($A8)=MONTH(Settings!$B$3)),Settings!$B$7,0))</f>
        <v/>
      </c>
      <c r="V8" s="70">
        <f>IF($A8="","",Settings!$B$8+SUM($B$5:B8))</f>
        <v/>
      </c>
      <c r="W8" s="71">
        <f>IF($A8="","",Settings!$B$9+SUM($J$5:J8))</f>
        <v/>
      </c>
      <c r="X8" s="71">
        <f>IF($A8="","",IF(AND(N8&gt;0,F8&gt;0),ROUND(F8/N8,0),X7))</f>
        <v/>
      </c>
      <c r="Y8" s="74">
        <f>IF($A8="","",IF(AND(M8&gt;0,L8&gt;0),ROUND(L8/M8,0),IF(AND(J8&gt;0,B8&gt;0),ROUND(B8/J8,0),Y7)))</f>
        <v/>
      </c>
    </row>
    <row r="9">
      <c r="A9" s="67" t="n"/>
      <c r="B9" s="68" t="n"/>
      <c r="C9" s="69" t="n"/>
      <c r="D9" s="68" t="n"/>
      <c r="E9" s="69" t="n"/>
      <c r="F9" s="68" t="n"/>
      <c r="G9" s="69" t="n"/>
      <c r="H9" s="68" t="n"/>
      <c r="I9" s="70">
        <f>IF($A9="","",R8)</f>
        <v/>
      </c>
      <c r="J9" s="71">
        <f>IF($A9="","",IF(C9="",0,C9))</f>
        <v/>
      </c>
      <c r="K9" s="71">
        <f>IF($A9="","",IF(E9="",0,E9))</f>
        <v/>
      </c>
      <c r="L9" s="70">
        <f>IF($A9="","",B9-D9)</f>
        <v/>
      </c>
      <c r="M9" s="71">
        <f>IF($A9="","",J9-K9)</f>
        <v/>
      </c>
      <c r="N9" s="71">
        <f>IF($A9="","",IF(G9="",0,G9))</f>
        <v/>
      </c>
      <c r="O9" s="70">
        <f>IF($A9="","",D9+F9)</f>
        <v/>
      </c>
      <c r="P9" s="71">
        <f>IF($A9="","",K9+N9)</f>
        <v/>
      </c>
      <c r="Q9" s="70">
        <f>IF($A9="","",I9+L9-F9)</f>
        <v/>
      </c>
      <c r="R9" s="72">
        <f>IF($A9="","",IF(H9="",Q9,H9))</f>
        <v/>
      </c>
      <c r="S9" s="73">
        <f>IF($A9="","",R9-Q9)</f>
        <v/>
      </c>
      <c r="T9" s="70">
        <f>IF($A9="","",SUMIFS($B$5:$B$800,$A$5:$A$800,"&gt;="&amp;DATE(YEAR($A9),MONTH($A9),1),$A$5:$A$800,"&lt;="&amp;$A9)+IF(AND(YEAR($A9)=YEAR(Settings!$B$3),MONTH($A9)=MONTH(Settings!$B$3)),Settings!$B$6,0))</f>
        <v/>
      </c>
      <c r="U9" s="71">
        <f>IF($A9="","",SUMIFS($J$5:$J$800,$A$5:$A$800,"&gt;="&amp;DATE(YEAR($A9),MONTH($A9),1),$A$5:$A$800,"&lt;="&amp;$A9)+IF(AND(YEAR($A9)=YEAR(Settings!$B$3),MONTH($A9)=MONTH(Settings!$B$3)),Settings!$B$7,0))</f>
        <v/>
      </c>
      <c r="V9" s="70">
        <f>IF($A9="","",Settings!$B$8+SUM($B$5:B9))</f>
        <v/>
      </c>
      <c r="W9" s="71">
        <f>IF($A9="","",Settings!$B$9+SUM($J$5:J9))</f>
        <v/>
      </c>
      <c r="X9" s="71">
        <f>IF($A9="","",IF(AND(N9&gt;0,F9&gt;0),ROUND(F9/N9,0),X8))</f>
        <v/>
      </c>
      <c r="Y9" s="74">
        <f>IF($A9="","",IF(AND(M9&gt;0,L9&gt;0),ROUND(L9/M9,0),IF(AND(J9&gt;0,B9&gt;0),ROUND(B9/J9,0),Y8)))</f>
        <v/>
      </c>
    </row>
    <row r="10">
      <c r="A10" s="67" t="n"/>
      <c r="B10" s="68" t="n"/>
      <c r="C10" s="69" t="n"/>
      <c r="D10" s="68" t="n"/>
      <c r="E10" s="69" t="n"/>
      <c r="F10" s="68" t="n"/>
      <c r="G10" s="69" t="n"/>
      <c r="H10" s="68" t="n"/>
      <c r="I10" s="70">
        <f>IF($A10="","",R9)</f>
        <v/>
      </c>
      <c r="J10" s="71">
        <f>IF($A10="","",IF(C10="",0,C10))</f>
        <v/>
      </c>
      <c r="K10" s="71">
        <f>IF($A10="","",IF(E10="",0,E10))</f>
        <v/>
      </c>
      <c r="L10" s="70">
        <f>IF($A10="","",B10-D10)</f>
        <v/>
      </c>
      <c r="M10" s="71">
        <f>IF($A10="","",J10-K10)</f>
        <v/>
      </c>
      <c r="N10" s="71">
        <f>IF($A10="","",IF(G10="",0,G10))</f>
        <v/>
      </c>
      <c r="O10" s="70">
        <f>IF($A10="","",D10+F10)</f>
        <v/>
      </c>
      <c r="P10" s="71">
        <f>IF($A10="","",K10+N10)</f>
        <v/>
      </c>
      <c r="Q10" s="70">
        <f>IF($A10="","",I10+L10-F10)</f>
        <v/>
      </c>
      <c r="R10" s="72">
        <f>IF($A10="","",IF(H10="",Q10,H10))</f>
        <v/>
      </c>
      <c r="S10" s="73">
        <f>IF($A10="","",R10-Q10)</f>
        <v/>
      </c>
      <c r="T10" s="70">
        <f>IF($A10="","",SUMIFS($B$5:$B$800,$A$5:$A$800,"&gt;="&amp;DATE(YEAR($A10),MONTH($A10),1),$A$5:$A$800,"&lt;="&amp;$A10)+IF(AND(YEAR($A10)=YEAR(Settings!$B$3),MONTH($A10)=MONTH(Settings!$B$3)),Settings!$B$6,0))</f>
        <v/>
      </c>
      <c r="U10" s="71">
        <f>IF($A10="","",SUMIFS($J$5:$J$800,$A$5:$A$800,"&gt;="&amp;DATE(YEAR($A10),MONTH($A10),1),$A$5:$A$800,"&lt;="&amp;$A10)+IF(AND(YEAR($A10)=YEAR(Settings!$B$3),MONTH($A10)=MONTH(Settings!$B$3)),Settings!$B$7,0))</f>
        <v/>
      </c>
      <c r="V10" s="70">
        <f>IF($A10="","",Settings!$B$8+SUM($B$5:B10))</f>
        <v/>
      </c>
      <c r="W10" s="71">
        <f>IF($A10="","",Settings!$B$9+SUM($J$5:J10))</f>
        <v/>
      </c>
      <c r="X10" s="71">
        <f>IF($A10="","",IF(AND(N10&gt;0,F10&gt;0),ROUND(F10/N10,0),X9))</f>
        <v/>
      </c>
      <c r="Y10" s="74">
        <f>IF($A10="","",IF(AND(M10&gt;0,L10&gt;0),ROUND(L10/M10,0),IF(AND(J10&gt;0,B10&gt;0),ROUND(B10/J10,0),Y9)))</f>
        <v/>
      </c>
    </row>
    <row r="11">
      <c r="A11" s="67" t="n"/>
      <c r="B11" s="68" t="n"/>
      <c r="C11" s="69" t="n"/>
      <c r="D11" s="68" t="n"/>
      <c r="E11" s="69" t="n"/>
      <c r="F11" s="68" t="n"/>
      <c r="G11" s="69" t="n"/>
      <c r="H11" s="68" t="n"/>
      <c r="I11" s="70">
        <f>IF($A11="","",R10)</f>
        <v/>
      </c>
      <c r="J11" s="71">
        <f>IF($A11="","",IF(C11="",0,C11))</f>
        <v/>
      </c>
      <c r="K11" s="71">
        <f>IF($A11="","",IF(E11="",0,E11))</f>
        <v/>
      </c>
      <c r="L11" s="70">
        <f>IF($A11="","",B11-D11)</f>
        <v/>
      </c>
      <c r="M11" s="71">
        <f>IF($A11="","",J11-K11)</f>
        <v/>
      </c>
      <c r="N11" s="71">
        <f>IF($A11="","",IF(G11="",0,G11))</f>
        <v/>
      </c>
      <c r="O11" s="70">
        <f>IF($A11="","",D11+F11)</f>
        <v/>
      </c>
      <c r="P11" s="71">
        <f>IF($A11="","",K11+N11)</f>
        <v/>
      </c>
      <c r="Q11" s="70">
        <f>IF($A11="","",I11+L11-F11)</f>
        <v/>
      </c>
      <c r="R11" s="72">
        <f>IF($A11="","",IF(H11="",Q11,H11))</f>
        <v/>
      </c>
      <c r="S11" s="73">
        <f>IF($A11="","",R11-Q11)</f>
        <v/>
      </c>
      <c r="T11" s="70">
        <f>IF($A11="","",SUMIFS($B$5:$B$800,$A$5:$A$800,"&gt;="&amp;DATE(YEAR($A11),MONTH($A11),1),$A$5:$A$800,"&lt;="&amp;$A11)+IF(AND(YEAR($A11)=YEAR(Settings!$B$3),MONTH($A11)=MONTH(Settings!$B$3)),Settings!$B$6,0))</f>
        <v/>
      </c>
      <c r="U11" s="71">
        <f>IF($A11="","",SUMIFS($J$5:$J$800,$A$5:$A$800,"&gt;="&amp;DATE(YEAR($A11),MONTH($A11),1),$A$5:$A$800,"&lt;="&amp;$A11)+IF(AND(YEAR($A11)=YEAR(Settings!$B$3),MONTH($A11)=MONTH(Settings!$B$3)),Settings!$B$7,0))</f>
        <v/>
      </c>
      <c r="V11" s="70">
        <f>IF($A11="","",Settings!$B$8+SUM($B$5:B11))</f>
        <v/>
      </c>
      <c r="W11" s="71">
        <f>IF($A11="","",Settings!$B$9+SUM($J$5:J11))</f>
        <v/>
      </c>
      <c r="X11" s="71">
        <f>IF($A11="","",IF(AND(N11&gt;0,F11&gt;0),ROUND(F11/N11,0),X10))</f>
        <v/>
      </c>
      <c r="Y11" s="74">
        <f>IF($A11="","",IF(AND(M11&gt;0,L11&gt;0),ROUND(L11/M11,0),IF(AND(J11&gt;0,B11&gt;0),ROUND(B11/J11,0),Y10)))</f>
        <v/>
      </c>
    </row>
    <row r="12">
      <c r="A12" s="67" t="n"/>
      <c r="B12" s="68" t="n"/>
      <c r="C12" s="69" t="n"/>
      <c r="D12" s="68" t="n"/>
      <c r="E12" s="69" t="n"/>
      <c r="F12" s="68" t="n"/>
      <c r="G12" s="69" t="n"/>
      <c r="H12" s="68" t="n"/>
      <c r="I12" s="70">
        <f>IF($A12="","",R11)</f>
        <v/>
      </c>
      <c r="J12" s="71">
        <f>IF($A12="","",IF(C12="",0,C12))</f>
        <v/>
      </c>
      <c r="K12" s="71">
        <f>IF($A12="","",IF(E12="",0,E12))</f>
        <v/>
      </c>
      <c r="L12" s="70">
        <f>IF($A12="","",B12-D12)</f>
        <v/>
      </c>
      <c r="M12" s="71">
        <f>IF($A12="","",J12-K12)</f>
        <v/>
      </c>
      <c r="N12" s="71">
        <f>IF($A12="","",IF(G12="",0,G12))</f>
        <v/>
      </c>
      <c r="O12" s="70">
        <f>IF($A12="","",D12+F12)</f>
        <v/>
      </c>
      <c r="P12" s="71">
        <f>IF($A12="","",K12+N12)</f>
        <v/>
      </c>
      <c r="Q12" s="70">
        <f>IF($A12="","",I12+L12-F12)</f>
        <v/>
      </c>
      <c r="R12" s="72">
        <f>IF($A12="","",IF(H12="",Q12,H12))</f>
        <v/>
      </c>
      <c r="S12" s="73">
        <f>IF($A12="","",R12-Q12)</f>
        <v/>
      </c>
      <c r="T12" s="70">
        <f>IF($A12="","",SUMIFS($B$5:$B$800,$A$5:$A$800,"&gt;="&amp;DATE(YEAR($A12),MONTH($A12),1),$A$5:$A$800,"&lt;="&amp;$A12)+IF(AND(YEAR($A12)=YEAR(Settings!$B$3),MONTH($A12)=MONTH(Settings!$B$3)),Settings!$B$6,0))</f>
        <v/>
      </c>
      <c r="U12" s="71">
        <f>IF($A12="","",SUMIFS($J$5:$J$800,$A$5:$A$800,"&gt;="&amp;DATE(YEAR($A12),MONTH($A12),1),$A$5:$A$800,"&lt;="&amp;$A12)+IF(AND(YEAR($A12)=YEAR(Settings!$B$3),MONTH($A12)=MONTH(Settings!$B$3)),Settings!$B$7,0))</f>
        <v/>
      </c>
      <c r="V12" s="70">
        <f>IF($A12="","",Settings!$B$8+SUM($B$5:B12))</f>
        <v/>
      </c>
      <c r="W12" s="71">
        <f>IF($A12="","",Settings!$B$9+SUM($J$5:J12))</f>
        <v/>
      </c>
      <c r="X12" s="71">
        <f>IF($A12="","",IF(AND(N12&gt;0,F12&gt;0),ROUND(F12/N12,0),X11))</f>
        <v/>
      </c>
      <c r="Y12" s="74">
        <f>IF($A12="","",IF(AND(M12&gt;0,L12&gt;0),ROUND(L12/M12,0),IF(AND(J12&gt;0,B12&gt;0),ROUND(B12/J12,0),Y11)))</f>
        <v/>
      </c>
    </row>
    <row r="13">
      <c r="A13" s="67" t="n"/>
      <c r="B13" s="68" t="n"/>
      <c r="C13" s="69" t="n"/>
      <c r="D13" s="68" t="n"/>
      <c r="E13" s="69" t="n"/>
      <c r="F13" s="68" t="n"/>
      <c r="G13" s="69" t="n"/>
      <c r="H13" s="68" t="n"/>
      <c r="I13" s="70">
        <f>IF($A13="","",R12)</f>
        <v/>
      </c>
      <c r="J13" s="71">
        <f>IF($A13="","",IF(C13="",0,C13))</f>
        <v/>
      </c>
      <c r="K13" s="71">
        <f>IF($A13="","",IF(E13="",0,E13))</f>
        <v/>
      </c>
      <c r="L13" s="70">
        <f>IF($A13="","",B13-D13)</f>
        <v/>
      </c>
      <c r="M13" s="71">
        <f>IF($A13="","",J13-K13)</f>
        <v/>
      </c>
      <c r="N13" s="71">
        <f>IF($A13="","",IF(G13="",0,G13))</f>
        <v/>
      </c>
      <c r="O13" s="70">
        <f>IF($A13="","",D13+F13)</f>
        <v/>
      </c>
      <c r="P13" s="71">
        <f>IF($A13="","",K13+N13)</f>
        <v/>
      </c>
      <c r="Q13" s="70">
        <f>IF($A13="","",I13+L13-F13)</f>
        <v/>
      </c>
      <c r="R13" s="72">
        <f>IF($A13="","",IF(H13="",Q13,H13))</f>
        <v/>
      </c>
      <c r="S13" s="73">
        <f>IF($A13="","",R13-Q13)</f>
        <v/>
      </c>
      <c r="T13" s="70">
        <f>IF($A13="","",SUMIFS($B$5:$B$800,$A$5:$A$800,"&gt;="&amp;DATE(YEAR($A13),MONTH($A13),1),$A$5:$A$800,"&lt;="&amp;$A13)+IF(AND(YEAR($A13)=YEAR(Settings!$B$3),MONTH($A13)=MONTH(Settings!$B$3)),Settings!$B$6,0))</f>
        <v/>
      </c>
      <c r="U13" s="71">
        <f>IF($A13="","",SUMIFS($J$5:$J$800,$A$5:$A$800,"&gt;="&amp;DATE(YEAR($A13),MONTH($A13),1),$A$5:$A$800,"&lt;="&amp;$A13)+IF(AND(YEAR($A13)=YEAR(Settings!$B$3),MONTH($A13)=MONTH(Settings!$B$3)),Settings!$B$7,0))</f>
        <v/>
      </c>
      <c r="V13" s="70">
        <f>IF($A13="","",Settings!$B$8+SUM($B$5:B13))</f>
        <v/>
      </c>
      <c r="W13" s="71">
        <f>IF($A13="","",Settings!$B$9+SUM($J$5:J13))</f>
        <v/>
      </c>
      <c r="X13" s="71">
        <f>IF($A13="","",IF(AND(N13&gt;0,F13&gt;0),ROUND(F13/N13,0),X12))</f>
        <v/>
      </c>
      <c r="Y13" s="74">
        <f>IF($A13="","",IF(AND(M13&gt;0,L13&gt;0),ROUND(L13/M13,0),IF(AND(J13&gt;0,B13&gt;0),ROUND(B13/J13,0),Y12)))</f>
        <v/>
      </c>
    </row>
    <row r="14">
      <c r="A14" s="67" t="n"/>
      <c r="B14" s="68" t="n"/>
      <c r="C14" s="69" t="n"/>
      <c r="D14" s="68" t="n"/>
      <c r="E14" s="69" t="n"/>
      <c r="F14" s="68" t="n"/>
      <c r="G14" s="69" t="n"/>
      <c r="H14" s="68" t="n"/>
      <c r="I14" s="70">
        <f>IF($A14="","",R13)</f>
        <v/>
      </c>
      <c r="J14" s="71">
        <f>IF($A14="","",IF(C14="",0,C14))</f>
        <v/>
      </c>
      <c r="K14" s="71">
        <f>IF($A14="","",IF(E14="",0,E14))</f>
        <v/>
      </c>
      <c r="L14" s="70">
        <f>IF($A14="","",B14-D14)</f>
        <v/>
      </c>
      <c r="M14" s="71">
        <f>IF($A14="","",J14-K14)</f>
        <v/>
      </c>
      <c r="N14" s="71">
        <f>IF($A14="","",IF(G14="",0,G14))</f>
        <v/>
      </c>
      <c r="O14" s="70">
        <f>IF($A14="","",D14+F14)</f>
        <v/>
      </c>
      <c r="P14" s="71">
        <f>IF($A14="","",K14+N14)</f>
        <v/>
      </c>
      <c r="Q14" s="70">
        <f>IF($A14="","",I14+L14-F14)</f>
        <v/>
      </c>
      <c r="R14" s="72">
        <f>IF($A14="","",IF(H14="",Q14,H14))</f>
        <v/>
      </c>
      <c r="S14" s="73">
        <f>IF($A14="","",R14-Q14)</f>
        <v/>
      </c>
      <c r="T14" s="70">
        <f>IF($A14="","",SUMIFS($B$5:$B$800,$A$5:$A$800,"&gt;="&amp;DATE(YEAR($A14),MONTH($A14),1),$A$5:$A$800,"&lt;="&amp;$A14)+IF(AND(YEAR($A14)=YEAR(Settings!$B$3),MONTH($A14)=MONTH(Settings!$B$3)),Settings!$B$6,0))</f>
        <v/>
      </c>
      <c r="U14" s="71">
        <f>IF($A14="","",SUMIFS($J$5:$J$800,$A$5:$A$800,"&gt;="&amp;DATE(YEAR($A14),MONTH($A14),1),$A$5:$A$800,"&lt;="&amp;$A14)+IF(AND(YEAR($A14)=YEAR(Settings!$B$3),MONTH($A14)=MONTH(Settings!$B$3)),Settings!$B$7,0))</f>
        <v/>
      </c>
      <c r="V14" s="70">
        <f>IF($A14="","",Settings!$B$8+SUM($B$5:B14))</f>
        <v/>
      </c>
      <c r="W14" s="71">
        <f>IF($A14="","",Settings!$B$9+SUM($J$5:J14))</f>
        <v/>
      </c>
      <c r="X14" s="71">
        <f>IF($A14="","",IF(AND(N14&gt;0,F14&gt;0),ROUND(F14/N14,0),X13))</f>
        <v/>
      </c>
      <c r="Y14" s="74">
        <f>IF($A14="","",IF(AND(M14&gt;0,L14&gt;0),ROUND(L14/M14,0),IF(AND(J14&gt;0,B14&gt;0),ROUND(B14/J14,0),Y13)))</f>
        <v/>
      </c>
    </row>
    <row r="15">
      <c r="A15" s="67" t="n"/>
      <c r="B15" s="68" t="n"/>
      <c r="C15" s="69" t="n"/>
      <c r="D15" s="68" t="n"/>
      <c r="E15" s="69" t="n"/>
      <c r="F15" s="68" t="n"/>
      <c r="G15" s="69" t="n"/>
      <c r="H15" s="68" t="n"/>
      <c r="I15" s="70">
        <f>IF($A15="","",R14)</f>
        <v/>
      </c>
      <c r="J15" s="71">
        <f>IF($A15="","",IF(C15="",0,C15))</f>
        <v/>
      </c>
      <c r="K15" s="71">
        <f>IF($A15="","",IF(E15="",0,E15))</f>
        <v/>
      </c>
      <c r="L15" s="70">
        <f>IF($A15="","",B15-D15)</f>
        <v/>
      </c>
      <c r="M15" s="71">
        <f>IF($A15="","",J15-K15)</f>
        <v/>
      </c>
      <c r="N15" s="71">
        <f>IF($A15="","",IF(G15="",0,G15))</f>
        <v/>
      </c>
      <c r="O15" s="70">
        <f>IF($A15="","",D15+F15)</f>
        <v/>
      </c>
      <c r="P15" s="71">
        <f>IF($A15="","",K15+N15)</f>
        <v/>
      </c>
      <c r="Q15" s="70">
        <f>IF($A15="","",I15+L15-F15)</f>
        <v/>
      </c>
      <c r="R15" s="72">
        <f>IF($A15="","",IF(H15="",Q15,H15))</f>
        <v/>
      </c>
      <c r="S15" s="73">
        <f>IF($A15="","",R15-Q15)</f>
        <v/>
      </c>
      <c r="T15" s="70">
        <f>IF($A15="","",SUMIFS($B$5:$B$800,$A$5:$A$800,"&gt;="&amp;DATE(YEAR($A15),MONTH($A15),1),$A$5:$A$800,"&lt;="&amp;$A15)+IF(AND(YEAR($A15)=YEAR(Settings!$B$3),MONTH($A15)=MONTH(Settings!$B$3)),Settings!$B$6,0))</f>
        <v/>
      </c>
      <c r="U15" s="71">
        <f>IF($A15="","",SUMIFS($J$5:$J$800,$A$5:$A$800,"&gt;="&amp;DATE(YEAR($A15),MONTH($A15),1),$A$5:$A$800,"&lt;="&amp;$A15)+IF(AND(YEAR($A15)=YEAR(Settings!$B$3),MONTH($A15)=MONTH(Settings!$B$3)),Settings!$B$7,0))</f>
        <v/>
      </c>
      <c r="V15" s="70">
        <f>IF($A15="","",Settings!$B$8+SUM($B$5:B15))</f>
        <v/>
      </c>
      <c r="W15" s="71">
        <f>IF($A15="","",Settings!$B$9+SUM($J$5:J15))</f>
        <v/>
      </c>
      <c r="X15" s="71">
        <f>IF($A15="","",IF(AND(N15&gt;0,F15&gt;0),ROUND(F15/N15,0),X14))</f>
        <v/>
      </c>
      <c r="Y15" s="74">
        <f>IF($A15="","",IF(AND(M15&gt;0,L15&gt;0),ROUND(L15/M15,0),IF(AND(J15&gt;0,B15&gt;0),ROUND(B15/J15,0),Y14)))</f>
        <v/>
      </c>
    </row>
    <row r="16">
      <c r="A16" s="67" t="n"/>
      <c r="B16" s="68" t="n"/>
      <c r="C16" s="69" t="n"/>
      <c r="D16" s="68" t="n"/>
      <c r="E16" s="69" t="n"/>
      <c r="F16" s="68" t="n"/>
      <c r="G16" s="69" t="n"/>
      <c r="H16" s="68" t="n"/>
      <c r="I16" s="70">
        <f>IF($A16="","",R15)</f>
        <v/>
      </c>
      <c r="J16" s="71">
        <f>IF($A16="","",IF(C16="",0,C16))</f>
        <v/>
      </c>
      <c r="K16" s="71">
        <f>IF($A16="","",IF(E16="",0,E16))</f>
        <v/>
      </c>
      <c r="L16" s="70">
        <f>IF($A16="","",B16-D16)</f>
        <v/>
      </c>
      <c r="M16" s="71">
        <f>IF($A16="","",J16-K16)</f>
        <v/>
      </c>
      <c r="N16" s="71">
        <f>IF($A16="","",IF(G16="",0,G16))</f>
        <v/>
      </c>
      <c r="O16" s="70">
        <f>IF($A16="","",D16+F16)</f>
        <v/>
      </c>
      <c r="P16" s="71">
        <f>IF($A16="","",K16+N16)</f>
        <v/>
      </c>
      <c r="Q16" s="70">
        <f>IF($A16="","",I16+L16-F16)</f>
        <v/>
      </c>
      <c r="R16" s="72">
        <f>IF($A16="","",IF(H16="",Q16,H16))</f>
        <v/>
      </c>
      <c r="S16" s="73">
        <f>IF($A16="","",R16-Q16)</f>
        <v/>
      </c>
      <c r="T16" s="70">
        <f>IF($A16="","",SUMIFS($B$5:$B$800,$A$5:$A$800,"&gt;="&amp;DATE(YEAR($A16),MONTH($A16),1),$A$5:$A$800,"&lt;="&amp;$A16)+IF(AND(YEAR($A16)=YEAR(Settings!$B$3),MONTH($A16)=MONTH(Settings!$B$3)),Settings!$B$6,0))</f>
        <v/>
      </c>
      <c r="U16" s="71">
        <f>IF($A16="","",SUMIFS($J$5:$J$800,$A$5:$A$800,"&gt;="&amp;DATE(YEAR($A16),MONTH($A16),1),$A$5:$A$800,"&lt;="&amp;$A16)+IF(AND(YEAR($A16)=YEAR(Settings!$B$3),MONTH($A16)=MONTH(Settings!$B$3)),Settings!$B$7,0))</f>
        <v/>
      </c>
      <c r="V16" s="70">
        <f>IF($A16="","",Settings!$B$8+SUM($B$5:B16))</f>
        <v/>
      </c>
      <c r="W16" s="71">
        <f>IF($A16="","",Settings!$B$9+SUM($J$5:J16))</f>
        <v/>
      </c>
      <c r="X16" s="71">
        <f>IF($A16="","",IF(AND(N16&gt;0,F16&gt;0),ROUND(F16/N16,0),X15))</f>
        <v/>
      </c>
      <c r="Y16" s="74">
        <f>IF($A16="","",IF(AND(M16&gt;0,L16&gt;0),ROUND(L16/M16,0),IF(AND(J16&gt;0,B16&gt;0),ROUND(B16/J16,0),Y15)))</f>
        <v/>
      </c>
    </row>
    <row r="17">
      <c r="A17" s="67" t="n"/>
      <c r="B17" s="68" t="n"/>
      <c r="C17" s="69" t="n"/>
      <c r="D17" s="68" t="n"/>
      <c r="E17" s="69" t="n"/>
      <c r="F17" s="68" t="n"/>
      <c r="G17" s="69" t="n"/>
      <c r="H17" s="68" t="n"/>
      <c r="I17" s="70">
        <f>IF($A17="","",R16)</f>
        <v/>
      </c>
      <c r="J17" s="71">
        <f>IF($A17="","",IF(C17="",0,C17))</f>
        <v/>
      </c>
      <c r="K17" s="71">
        <f>IF($A17="","",IF(E17="",0,E17))</f>
        <v/>
      </c>
      <c r="L17" s="70">
        <f>IF($A17="","",B17-D17)</f>
        <v/>
      </c>
      <c r="M17" s="71">
        <f>IF($A17="","",J17-K17)</f>
        <v/>
      </c>
      <c r="N17" s="71">
        <f>IF($A17="","",IF(G17="",0,G17))</f>
        <v/>
      </c>
      <c r="O17" s="70">
        <f>IF($A17="","",D17+F17)</f>
        <v/>
      </c>
      <c r="P17" s="71">
        <f>IF($A17="","",K17+N17)</f>
        <v/>
      </c>
      <c r="Q17" s="70">
        <f>IF($A17="","",I17+L17-F17)</f>
        <v/>
      </c>
      <c r="R17" s="72">
        <f>IF($A17="","",IF(H17="",Q17,H17))</f>
        <v/>
      </c>
      <c r="S17" s="73">
        <f>IF($A17="","",R17-Q17)</f>
        <v/>
      </c>
      <c r="T17" s="70">
        <f>IF($A17="","",SUMIFS($B$5:$B$800,$A$5:$A$800,"&gt;="&amp;DATE(YEAR($A17),MONTH($A17),1),$A$5:$A$800,"&lt;="&amp;$A17)+IF(AND(YEAR($A17)=YEAR(Settings!$B$3),MONTH($A17)=MONTH(Settings!$B$3)),Settings!$B$6,0))</f>
        <v/>
      </c>
      <c r="U17" s="71">
        <f>IF($A17="","",SUMIFS($J$5:$J$800,$A$5:$A$800,"&gt;="&amp;DATE(YEAR($A17),MONTH($A17),1),$A$5:$A$800,"&lt;="&amp;$A17)+IF(AND(YEAR($A17)=YEAR(Settings!$B$3),MONTH($A17)=MONTH(Settings!$B$3)),Settings!$B$7,0))</f>
        <v/>
      </c>
      <c r="V17" s="70">
        <f>IF($A17="","",Settings!$B$8+SUM($B$5:B17))</f>
        <v/>
      </c>
      <c r="W17" s="71">
        <f>IF($A17="","",Settings!$B$9+SUM($J$5:J17))</f>
        <v/>
      </c>
      <c r="X17" s="71">
        <f>IF($A17="","",IF(AND(N17&gt;0,F17&gt;0),ROUND(F17/N17,0),X16))</f>
        <v/>
      </c>
      <c r="Y17" s="74">
        <f>IF($A17="","",IF(AND(M17&gt;0,L17&gt;0),ROUND(L17/M17,0),IF(AND(J17&gt;0,B17&gt;0),ROUND(B17/J17,0),Y16)))</f>
        <v/>
      </c>
    </row>
    <row r="18">
      <c r="A18" s="67" t="n"/>
      <c r="B18" s="68" t="n"/>
      <c r="C18" s="69" t="n"/>
      <c r="D18" s="68" t="n"/>
      <c r="E18" s="69" t="n"/>
      <c r="F18" s="68" t="n"/>
      <c r="G18" s="69" t="n"/>
      <c r="H18" s="68" t="n"/>
      <c r="I18" s="70">
        <f>IF($A18="","",R17)</f>
        <v/>
      </c>
      <c r="J18" s="71">
        <f>IF($A18="","",IF(C18="",0,C18))</f>
        <v/>
      </c>
      <c r="K18" s="71">
        <f>IF($A18="","",IF(E18="",0,E18))</f>
        <v/>
      </c>
      <c r="L18" s="70">
        <f>IF($A18="","",B18-D18)</f>
        <v/>
      </c>
      <c r="M18" s="71">
        <f>IF($A18="","",J18-K18)</f>
        <v/>
      </c>
      <c r="N18" s="71">
        <f>IF($A18="","",IF(G18="",0,G18))</f>
        <v/>
      </c>
      <c r="O18" s="70">
        <f>IF($A18="","",D18+F18)</f>
        <v/>
      </c>
      <c r="P18" s="71">
        <f>IF($A18="","",K18+N18)</f>
        <v/>
      </c>
      <c r="Q18" s="70">
        <f>IF($A18="","",I18+L18-F18)</f>
        <v/>
      </c>
      <c r="R18" s="72">
        <f>IF($A18="","",IF(H18="",Q18,H18))</f>
        <v/>
      </c>
      <c r="S18" s="73">
        <f>IF($A18="","",R18-Q18)</f>
        <v/>
      </c>
      <c r="T18" s="70">
        <f>IF($A18="","",SUMIFS($B$5:$B$800,$A$5:$A$800,"&gt;="&amp;DATE(YEAR($A18),MONTH($A18),1),$A$5:$A$800,"&lt;="&amp;$A18)+IF(AND(YEAR($A18)=YEAR(Settings!$B$3),MONTH($A18)=MONTH(Settings!$B$3)),Settings!$B$6,0))</f>
        <v/>
      </c>
      <c r="U18" s="71">
        <f>IF($A18="","",SUMIFS($J$5:$J$800,$A$5:$A$800,"&gt;="&amp;DATE(YEAR($A18),MONTH($A18),1),$A$5:$A$800,"&lt;="&amp;$A18)+IF(AND(YEAR($A18)=YEAR(Settings!$B$3),MONTH($A18)=MONTH(Settings!$B$3)),Settings!$B$7,0))</f>
        <v/>
      </c>
      <c r="V18" s="70">
        <f>IF($A18="","",Settings!$B$8+SUM($B$5:B18))</f>
        <v/>
      </c>
      <c r="W18" s="71">
        <f>IF($A18="","",Settings!$B$9+SUM($J$5:J18))</f>
        <v/>
      </c>
      <c r="X18" s="71">
        <f>IF($A18="","",IF(AND(N18&gt;0,F18&gt;0),ROUND(F18/N18,0),X17))</f>
        <v/>
      </c>
      <c r="Y18" s="74">
        <f>IF($A18="","",IF(AND(M18&gt;0,L18&gt;0),ROUND(L18/M18,0),IF(AND(J18&gt;0,B18&gt;0),ROUND(B18/J18,0),Y17)))</f>
        <v/>
      </c>
    </row>
    <row r="19">
      <c r="A19" s="67" t="n"/>
      <c r="B19" s="68" t="n"/>
      <c r="C19" s="69" t="n"/>
      <c r="D19" s="68" t="n"/>
      <c r="E19" s="69" t="n"/>
      <c r="F19" s="68" t="n"/>
      <c r="G19" s="69" t="n"/>
      <c r="H19" s="68" t="n"/>
      <c r="I19" s="70">
        <f>IF($A19="","",R18)</f>
        <v/>
      </c>
      <c r="J19" s="71">
        <f>IF($A19="","",IF(C19="",0,C19))</f>
        <v/>
      </c>
      <c r="K19" s="71">
        <f>IF($A19="","",IF(E19="",0,E19))</f>
        <v/>
      </c>
      <c r="L19" s="70">
        <f>IF($A19="","",B19-D19)</f>
        <v/>
      </c>
      <c r="M19" s="71">
        <f>IF($A19="","",J19-K19)</f>
        <v/>
      </c>
      <c r="N19" s="71">
        <f>IF($A19="","",IF(G19="",0,G19))</f>
        <v/>
      </c>
      <c r="O19" s="70">
        <f>IF($A19="","",D19+F19)</f>
        <v/>
      </c>
      <c r="P19" s="71">
        <f>IF($A19="","",K19+N19)</f>
        <v/>
      </c>
      <c r="Q19" s="70">
        <f>IF($A19="","",I19+L19-F19)</f>
        <v/>
      </c>
      <c r="R19" s="72">
        <f>IF($A19="","",IF(H19="",Q19,H19))</f>
        <v/>
      </c>
      <c r="S19" s="73">
        <f>IF($A19="","",R19-Q19)</f>
        <v/>
      </c>
      <c r="T19" s="70">
        <f>IF($A19="","",SUMIFS($B$5:$B$800,$A$5:$A$800,"&gt;="&amp;DATE(YEAR($A19),MONTH($A19),1),$A$5:$A$800,"&lt;="&amp;$A19)+IF(AND(YEAR($A19)=YEAR(Settings!$B$3),MONTH($A19)=MONTH(Settings!$B$3)),Settings!$B$6,0))</f>
        <v/>
      </c>
      <c r="U19" s="71">
        <f>IF($A19="","",SUMIFS($J$5:$J$800,$A$5:$A$800,"&gt;="&amp;DATE(YEAR($A19),MONTH($A19),1),$A$5:$A$800,"&lt;="&amp;$A19)+IF(AND(YEAR($A19)=YEAR(Settings!$B$3),MONTH($A19)=MONTH(Settings!$B$3)),Settings!$B$7,0))</f>
        <v/>
      </c>
      <c r="V19" s="70">
        <f>IF($A19="","",Settings!$B$8+SUM($B$5:B19))</f>
        <v/>
      </c>
      <c r="W19" s="71">
        <f>IF($A19="","",Settings!$B$9+SUM($J$5:J19))</f>
        <v/>
      </c>
      <c r="X19" s="71">
        <f>IF($A19="","",IF(AND(N19&gt;0,F19&gt;0),ROUND(F19/N19,0),X18))</f>
        <v/>
      </c>
      <c r="Y19" s="74">
        <f>IF($A19="","",IF(AND(M19&gt;0,L19&gt;0),ROUND(L19/M19,0),IF(AND(J19&gt;0,B19&gt;0),ROUND(B19/J19,0),Y18)))</f>
        <v/>
      </c>
    </row>
    <row r="20">
      <c r="A20" s="67" t="n"/>
      <c r="B20" s="68" t="n"/>
      <c r="C20" s="69" t="n"/>
      <c r="D20" s="68" t="n"/>
      <c r="E20" s="69" t="n"/>
      <c r="F20" s="68" t="n"/>
      <c r="G20" s="69" t="n"/>
      <c r="H20" s="68" t="n"/>
      <c r="I20" s="70">
        <f>IF($A20="","",R19)</f>
        <v/>
      </c>
      <c r="J20" s="71">
        <f>IF($A20="","",IF(C20="",0,C20))</f>
        <v/>
      </c>
      <c r="K20" s="71">
        <f>IF($A20="","",IF(E20="",0,E20))</f>
        <v/>
      </c>
      <c r="L20" s="70">
        <f>IF($A20="","",B20-D20)</f>
        <v/>
      </c>
      <c r="M20" s="71">
        <f>IF($A20="","",J20-K20)</f>
        <v/>
      </c>
      <c r="N20" s="71">
        <f>IF($A20="","",IF(G20="",0,G20))</f>
        <v/>
      </c>
      <c r="O20" s="70">
        <f>IF($A20="","",D20+F20)</f>
        <v/>
      </c>
      <c r="P20" s="71">
        <f>IF($A20="","",K20+N20)</f>
        <v/>
      </c>
      <c r="Q20" s="70">
        <f>IF($A20="","",I20+L20-F20)</f>
        <v/>
      </c>
      <c r="R20" s="72">
        <f>IF($A20="","",IF(H20="",Q20,H20))</f>
        <v/>
      </c>
      <c r="S20" s="73">
        <f>IF($A20="","",R20-Q20)</f>
        <v/>
      </c>
      <c r="T20" s="70">
        <f>IF($A20="","",SUMIFS($B$5:$B$800,$A$5:$A$800,"&gt;="&amp;DATE(YEAR($A20),MONTH($A20),1),$A$5:$A$800,"&lt;="&amp;$A20)+IF(AND(YEAR($A20)=YEAR(Settings!$B$3),MONTH($A20)=MONTH(Settings!$B$3)),Settings!$B$6,0))</f>
        <v/>
      </c>
      <c r="U20" s="71">
        <f>IF($A20="","",SUMIFS($J$5:$J$800,$A$5:$A$800,"&gt;="&amp;DATE(YEAR($A20),MONTH($A20),1),$A$5:$A$800,"&lt;="&amp;$A20)+IF(AND(YEAR($A20)=YEAR(Settings!$B$3),MONTH($A20)=MONTH(Settings!$B$3)),Settings!$B$7,0))</f>
        <v/>
      </c>
      <c r="V20" s="70">
        <f>IF($A20="","",Settings!$B$8+SUM($B$5:B20))</f>
        <v/>
      </c>
      <c r="W20" s="71">
        <f>IF($A20="","",Settings!$B$9+SUM($J$5:J20))</f>
        <v/>
      </c>
      <c r="X20" s="71">
        <f>IF($A20="","",IF(AND(N20&gt;0,F20&gt;0),ROUND(F20/N20,0),X19))</f>
        <v/>
      </c>
      <c r="Y20" s="74">
        <f>IF($A20="","",IF(AND(M20&gt;0,L20&gt;0),ROUND(L20/M20,0),IF(AND(J20&gt;0,B20&gt;0),ROUND(B20/J20,0),Y19)))</f>
        <v/>
      </c>
    </row>
    <row r="21">
      <c r="A21" s="67" t="n"/>
      <c r="B21" s="68" t="n"/>
      <c r="C21" s="69" t="n"/>
      <c r="D21" s="68" t="n"/>
      <c r="E21" s="69" t="n"/>
      <c r="F21" s="68" t="n"/>
      <c r="G21" s="69" t="n"/>
      <c r="H21" s="68" t="n"/>
      <c r="I21" s="70">
        <f>IF($A21="","",R20)</f>
        <v/>
      </c>
      <c r="J21" s="71">
        <f>IF($A21="","",IF(C21="",0,C21))</f>
        <v/>
      </c>
      <c r="K21" s="71">
        <f>IF($A21="","",IF(E21="",0,E21))</f>
        <v/>
      </c>
      <c r="L21" s="70">
        <f>IF($A21="","",B21-D21)</f>
        <v/>
      </c>
      <c r="M21" s="71">
        <f>IF($A21="","",J21-K21)</f>
        <v/>
      </c>
      <c r="N21" s="71">
        <f>IF($A21="","",IF(G21="",0,G21))</f>
        <v/>
      </c>
      <c r="O21" s="70">
        <f>IF($A21="","",D21+F21)</f>
        <v/>
      </c>
      <c r="P21" s="71">
        <f>IF($A21="","",K21+N21)</f>
        <v/>
      </c>
      <c r="Q21" s="70">
        <f>IF($A21="","",I21+L21-F21)</f>
        <v/>
      </c>
      <c r="R21" s="72">
        <f>IF($A21="","",IF(H21="",Q21,H21))</f>
        <v/>
      </c>
      <c r="S21" s="73">
        <f>IF($A21="","",R21-Q21)</f>
        <v/>
      </c>
      <c r="T21" s="70">
        <f>IF($A21="","",SUMIFS($B$5:$B$800,$A$5:$A$800,"&gt;="&amp;DATE(YEAR($A21),MONTH($A21),1),$A$5:$A$800,"&lt;="&amp;$A21)+IF(AND(YEAR($A21)=YEAR(Settings!$B$3),MONTH($A21)=MONTH(Settings!$B$3)),Settings!$B$6,0))</f>
        <v/>
      </c>
      <c r="U21" s="71">
        <f>IF($A21="","",SUMIFS($J$5:$J$800,$A$5:$A$800,"&gt;="&amp;DATE(YEAR($A21),MONTH($A21),1),$A$5:$A$800,"&lt;="&amp;$A21)+IF(AND(YEAR($A21)=YEAR(Settings!$B$3),MONTH($A21)=MONTH(Settings!$B$3)),Settings!$B$7,0))</f>
        <v/>
      </c>
      <c r="V21" s="70">
        <f>IF($A21="","",Settings!$B$8+SUM($B$5:B21))</f>
        <v/>
      </c>
      <c r="W21" s="71">
        <f>IF($A21="","",Settings!$B$9+SUM($J$5:J21))</f>
        <v/>
      </c>
      <c r="X21" s="71">
        <f>IF($A21="","",IF(AND(N21&gt;0,F21&gt;0),ROUND(F21/N21,0),X20))</f>
        <v/>
      </c>
      <c r="Y21" s="74">
        <f>IF($A21="","",IF(AND(M21&gt;0,L21&gt;0),ROUND(L21/M21,0),IF(AND(J21&gt;0,B21&gt;0),ROUND(B21/J21,0),Y20)))</f>
        <v/>
      </c>
    </row>
    <row r="22">
      <c r="A22" s="67" t="n"/>
      <c r="B22" s="68" t="n"/>
      <c r="C22" s="69" t="n"/>
      <c r="D22" s="68" t="n"/>
      <c r="E22" s="69" t="n"/>
      <c r="F22" s="68" t="n"/>
      <c r="G22" s="69" t="n"/>
      <c r="H22" s="68" t="n"/>
      <c r="I22" s="70">
        <f>IF($A22="","",R21)</f>
        <v/>
      </c>
      <c r="J22" s="71">
        <f>IF($A22="","",IF(C22="",0,C22))</f>
        <v/>
      </c>
      <c r="K22" s="71">
        <f>IF($A22="","",IF(E22="",0,E22))</f>
        <v/>
      </c>
      <c r="L22" s="70">
        <f>IF($A22="","",B22-D22)</f>
        <v/>
      </c>
      <c r="M22" s="71">
        <f>IF($A22="","",J22-K22)</f>
        <v/>
      </c>
      <c r="N22" s="71">
        <f>IF($A22="","",IF(G22="",0,G22))</f>
        <v/>
      </c>
      <c r="O22" s="70">
        <f>IF($A22="","",D22+F22)</f>
        <v/>
      </c>
      <c r="P22" s="71">
        <f>IF($A22="","",K22+N22)</f>
        <v/>
      </c>
      <c r="Q22" s="70">
        <f>IF($A22="","",I22+L22-F22)</f>
        <v/>
      </c>
      <c r="R22" s="72">
        <f>IF($A22="","",IF(H22="",Q22,H22))</f>
        <v/>
      </c>
      <c r="S22" s="73">
        <f>IF($A22="","",R22-Q22)</f>
        <v/>
      </c>
      <c r="T22" s="70">
        <f>IF($A22="","",SUMIFS($B$5:$B$800,$A$5:$A$800,"&gt;="&amp;DATE(YEAR($A22),MONTH($A22),1),$A$5:$A$800,"&lt;="&amp;$A22)+IF(AND(YEAR($A22)=YEAR(Settings!$B$3),MONTH($A22)=MONTH(Settings!$B$3)),Settings!$B$6,0))</f>
        <v/>
      </c>
      <c r="U22" s="71">
        <f>IF($A22="","",SUMIFS($J$5:$J$800,$A$5:$A$800,"&gt;="&amp;DATE(YEAR($A22),MONTH($A22),1),$A$5:$A$800,"&lt;="&amp;$A22)+IF(AND(YEAR($A22)=YEAR(Settings!$B$3),MONTH($A22)=MONTH(Settings!$B$3)),Settings!$B$7,0))</f>
        <v/>
      </c>
      <c r="V22" s="70">
        <f>IF($A22="","",Settings!$B$8+SUM($B$5:B22))</f>
        <v/>
      </c>
      <c r="W22" s="71">
        <f>IF($A22="","",Settings!$B$9+SUM($J$5:J22))</f>
        <v/>
      </c>
      <c r="X22" s="71">
        <f>IF($A22="","",IF(AND(N22&gt;0,F22&gt;0),ROUND(F22/N22,0),X21))</f>
        <v/>
      </c>
      <c r="Y22" s="74">
        <f>IF($A22="","",IF(AND(M22&gt;0,L22&gt;0),ROUND(L22/M22,0),IF(AND(J22&gt;0,B22&gt;0),ROUND(B22/J22,0),Y21)))</f>
        <v/>
      </c>
    </row>
    <row r="23">
      <c r="A23" s="67" t="n"/>
      <c r="B23" s="68" t="n"/>
      <c r="C23" s="69" t="n"/>
      <c r="D23" s="68" t="n"/>
      <c r="E23" s="69" t="n"/>
      <c r="F23" s="68" t="n"/>
      <c r="G23" s="69" t="n"/>
      <c r="H23" s="68" t="n"/>
      <c r="I23" s="70">
        <f>IF($A23="","",R22)</f>
        <v/>
      </c>
      <c r="J23" s="71">
        <f>IF($A23="","",IF(C23="",0,C23))</f>
        <v/>
      </c>
      <c r="K23" s="71">
        <f>IF($A23="","",IF(E23="",0,E23))</f>
        <v/>
      </c>
      <c r="L23" s="70">
        <f>IF($A23="","",B23-D23)</f>
        <v/>
      </c>
      <c r="M23" s="71">
        <f>IF($A23="","",J23-K23)</f>
        <v/>
      </c>
      <c r="N23" s="71">
        <f>IF($A23="","",IF(G23="",0,G23))</f>
        <v/>
      </c>
      <c r="O23" s="70">
        <f>IF($A23="","",D23+F23)</f>
        <v/>
      </c>
      <c r="P23" s="71">
        <f>IF($A23="","",K23+N23)</f>
        <v/>
      </c>
      <c r="Q23" s="70">
        <f>IF($A23="","",I23+L23-F23)</f>
        <v/>
      </c>
      <c r="R23" s="72">
        <f>IF($A23="","",IF(H23="",Q23,H23))</f>
        <v/>
      </c>
      <c r="S23" s="73">
        <f>IF($A23="","",R23-Q23)</f>
        <v/>
      </c>
      <c r="T23" s="70">
        <f>IF($A23="","",SUMIFS($B$5:$B$800,$A$5:$A$800,"&gt;="&amp;DATE(YEAR($A23),MONTH($A23),1),$A$5:$A$800,"&lt;="&amp;$A23)+IF(AND(YEAR($A23)=YEAR(Settings!$B$3),MONTH($A23)=MONTH(Settings!$B$3)),Settings!$B$6,0))</f>
        <v/>
      </c>
      <c r="U23" s="71">
        <f>IF($A23="","",SUMIFS($J$5:$J$800,$A$5:$A$800,"&gt;="&amp;DATE(YEAR($A23),MONTH($A23),1),$A$5:$A$800,"&lt;="&amp;$A23)+IF(AND(YEAR($A23)=YEAR(Settings!$B$3),MONTH($A23)=MONTH(Settings!$B$3)),Settings!$B$7,0))</f>
        <v/>
      </c>
      <c r="V23" s="70">
        <f>IF($A23="","",Settings!$B$8+SUM($B$5:B23))</f>
        <v/>
      </c>
      <c r="W23" s="71">
        <f>IF($A23="","",Settings!$B$9+SUM($J$5:J23))</f>
        <v/>
      </c>
      <c r="X23" s="71">
        <f>IF($A23="","",IF(AND(N23&gt;0,F23&gt;0),ROUND(F23/N23,0),X22))</f>
        <v/>
      </c>
      <c r="Y23" s="74">
        <f>IF($A23="","",IF(AND(M23&gt;0,L23&gt;0),ROUND(L23/M23,0),IF(AND(J23&gt;0,B23&gt;0),ROUND(B23/J23,0),Y22)))</f>
        <v/>
      </c>
    </row>
    <row r="24">
      <c r="A24" s="67" t="n"/>
      <c r="B24" s="68" t="n"/>
      <c r="C24" s="69" t="n"/>
      <c r="D24" s="68" t="n"/>
      <c r="E24" s="69" t="n"/>
      <c r="F24" s="68" t="n"/>
      <c r="G24" s="69" t="n"/>
      <c r="H24" s="68" t="n"/>
      <c r="I24" s="70">
        <f>IF($A24="","",R23)</f>
        <v/>
      </c>
      <c r="J24" s="71">
        <f>IF($A24="","",IF(C24="",0,C24))</f>
        <v/>
      </c>
      <c r="K24" s="71">
        <f>IF($A24="","",IF(E24="",0,E24))</f>
        <v/>
      </c>
      <c r="L24" s="70">
        <f>IF($A24="","",B24-D24)</f>
        <v/>
      </c>
      <c r="M24" s="71">
        <f>IF($A24="","",J24-K24)</f>
        <v/>
      </c>
      <c r="N24" s="71">
        <f>IF($A24="","",IF(G24="",0,G24))</f>
        <v/>
      </c>
      <c r="O24" s="70">
        <f>IF($A24="","",D24+F24)</f>
        <v/>
      </c>
      <c r="P24" s="71">
        <f>IF($A24="","",K24+N24)</f>
        <v/>
      </c>
      <c r="Q24" s="70">
        <f>IF($A24="","",I24+L24-F24)</f>
        <v/>
      </c>
      <c r="R24" s="72">
        <f>IF($A24="","",IF(H24="",Q24,H24))</f>
        <v/>
      </c>
      <c r="S24" s="73">
        <f>IF($A24="","",R24-Q24)</f>
        <v/>
      </c>
      <c r="T24" s="70">
        <f>IF($A24="","",SUMIFS($B$5:$B$800,$A$5:$A$800,"&gt;="&amp;DATE(YEAR($A24),MONTH($A24),1),$A$5:$A$800,"&lt;="&amp;$A24)+IF(AND(YEAR($A24)=YEAR(Settings!$B$3),MONTH($A24)=MONTH(Settings!$B$3)),Settings!$B$6,0))</f>
        <v/>
      </c>
      <c r="U24" s="71">
        <f>IF($A24="","",SUMIFS($J$5:$J$800,$A$5:$A$800,"&gt;="&amp;DATE(YEAR($A24),MONTH($A24),1),$A$5:$A$800,"&lt;="&amp;$A24)+IF(AND(YEAR($A24)=YEAR(Settings!$B$3),MONTH($A24)=MONTH(Settings!$B$3)),Settings!$B$7,0))</f>
        <v/>
      </c>
      <c r="V24" s="70">
        <f>IF($A24="","",Settings!$B$8+SUM($B$5:B24))</f>
        <v/>
      </c>
      <c r="W24" s="71">
        <f>IF($A24="","",Settings!$B$9+SUM($J$5:J24))</f>
        <v/>
      </c>
      <c r="X24" s="71">
        <f>IF($A24="","",IF(AND(N24&gt;0,F24&gt;0),ROUND(F24/N24,0),X23))</f>
        <v/>
      </c>
      <c r="Y24" s="74">
        <f>IF($A24="","",IF(AND(M24&gt;0,L24&gt;0),ROUND(L24/M24,0),IF(AND(J24&gt;0,B24&gt;0),ROUND(B24/J24,0),Y23)))</f>
        <v/>
      </c>
    </row>
    <row r="25">
      <c r="A25" s="67" t="n"/>
      <c r="B25" s="68" t="n"/>
      <c r="C25" s="69" t="n"/>
      <c r="D25" s="68" t="n"/>
      <c r="E25" s="69" t="n"/>
      <c r="F25" s="68" t="n"/>
      <c r="G25" s="69" t="n"/>
      <c r="H25" s="68" t="n"/>
      <c r="I25" s="70">
        <f>IF($A25="","",R24)</f>
        <v/>
      </c>
      <c r="J25" s="71">
        <f>IF($A25="","",IF(C25="",0,C25))</f>
        <v/>
      </c>
      <c r="K25" s="71">
        <f>IF($A25="","",IF(E25="",0,E25))</f>
        <v/>
      </c>
      <c r="L25" s="70">
        <f>IF($A25="","",B25-D25)</f>
        <v/>
      </c>
      <c r="M25" s="71">
        <f>IF($A25="","",J25-K25)</f>
        <v/>
      </c>
      <c r="N25" s="71">
        <f>IF($A25="","",IF(G25="",0,G25))</f>
        <v/>
      </c>
      <c r="O25" s="70">
        <f>IF($A25="","",D25+F25)</f>
        <v/>
      </c>
      <c r="P25" s="71">
        <f>IF($A25="","",K25+N25)</f>
        <v/>
      </c>
      <c r="Q25" s="70">
        <f>IF($A25="","",I25+L25-F25)</f>
        <v/>
      </c>
      <c r="R25" s="72">
        <f>IF($A25="","",IF(H25="",Q25,H25))</f>
        <v/>
      </c>
      <c r="S25" s="73">
        <f>IF($A25="","",R25-Q25)</f>
        <v/>
      </c>
      <c r="T25" s="70">
        <f>IF($A25="","",SUMIFS($B$5:$B$800,$A$5:$A$800,"&gt;="&amp;DATE(YEAR($A25),MONTH($A25),1),$A$5:$A$800,"&lt;="&amp;$A25)+IF(AND(YEAR($A25)=YEAR(Settings!$B$3),MONTH($A25)=MONTH(Settings!$B$3)),Settings!$B$6,0))</f>
        <v/>
      </c>
      <c r="U25" s="71">
        <f>IF($A25="","",SUMIFS($J$5:$J$800,$A$5:$A$800,"&gt;="&amp;DATE(YEAR($A25),MONTH($A25),1),$A$5:$A$800,"&lt;="&amp;$A25)+IF(AND(YEAR($A25)=YEAR(Settings!$B$3),MONTH($A25)=MONTH(Settings!$B$3)),Settings!$B$7,0))</f>
        <v/>
      </c>
      <c r="V25" s="70">
        <f>IF($A25="","",Settings!$B$8+SUM($B$5:B25))</f>
        <v/>
      </c>
      <c r="W25" s="71">
        <f>IF($A25="","",Settings!$B$9+SUM($J$5:J25))</f>
        <v/>
      </c>
      <c r="X25" s="71">
        <f>IF($A25="","",IF(AND(N25&gt;0,F25&gt;0),ROUND(F25/N25,0),X24))</f>
        <v/>
      </c>
      <c r="Y25" s="74">
        <f>IF($A25="","",IF(AND(M25&gt;0,L25&gt;0),ROUND(L25/M25,0),IF(AND(J25&gt;0,B25&gt;0),ROUND(B25/J25,0),Y24)))</f>
        <v/>
      </c>
    </row>
    <row r="26">
      <c r="A26" s="67" t="n"/>
      <c r="B26" s="68" t="n"/>
      <c r="C26" s="69" t="n"/>
      <c r="D26" s="68" t="n"/>
      <c r="E26" s="69" t="n"/>
      <c r="F26" s="68" t="n"/>
      <c r="G26" s="69" t="n"/>
      <c r="H26" s="68" t="n"/>
      <c r="I26" s="70">
        <f>IF($A26="","",R25)</f>
        <v/>
      </c>
      <c r="J26" s="71">
        <f>IF($A26="","",IF(C26="",0,C26))</f>
        <v/>
      </c>
      <c r="K26" s="71">
        <f>IF($A26="","",IF(E26="",0,E26))</f>
        <v/>
      </c>
      <c r="L26" s="70">
        <f>IF($A26="","",B26-D26)</f>
        <v/>
      </c>
      <c r="M26" s="71">
        <f>IF($A26="","",J26-K26)</f>
        <v/>
      </c>
      <c r="N26" s="71">
        <f>IF($A26="","",IF(G26="",0,G26))</f>
        <v/>
      </c>
      <c r="O26" s="70">
        <f>IF($A26="","",D26+F26)</f>
        <v/>
      </c>
      <c r="P26" s="71">
        <f>IF($A26="","",K26+N26)</f>
        <v/>
      </c>
      <c r="Q26" s="70">
        <f>IF($A26="","",I26+L26-F26)</f>
        <v/>
      </c>
      <c r="R26" s="72">
        <f>IF($A26="","",IF(H26="",Q26,H26))</f>
        <v/>
      </c>
      <c r="S26" s="73">
        <f>IF($A26="","",R26-Q26)</f>
        <v/>
      </c>
      <c r="T26" s="70">
        <f>IF($A26="","",SUMIFS($B$5:$B$800,$A$5:$A$800,"&gt;="&amp;DATE(YEAR($A26),MONTH($A26),1),$A$5:$A$800,"&lt;="&amp;$A26)+IF(AND(YEAR($A26)=YEAR(Settings!$B$3),MONTH($A26)=MONTH(Settings!$B$3)),Settings!$B$6,0))</f>
        <v/>
      </c>
      <c r="U26" s="71">
        <f>IF($A26="","",SUMIFS($J$5:$J$800,$A$5:$A$800,"&gt;="&amp;DATE(YEAR($A26),MONTH($A26),1),$A$5:$A$800,"&lt;="&amp;$A26)+IF(AND(YEAR($A26)=YEAR(Settings!$B$3),MONTH($A26)=MONTH(Settings!$B$3)),Settings!$B$7,0))</f>
        <v/>
      </c>
      <c r="V26" s="70">
        <f>IF($A26="","",Settings!$B$8+SUM($B$5:B26))</f>
        <v/>
      </c>
      <c r="W26" s="71">
        <f>IF($A26="","",Settings!$B$9+SUM($J$5:J26))</f>
        <v/>
      </c>
      <c r="X26" s="71">
        <f>IF($A26="","",IF(AND(N26&gt;0,F26&gt;0),ROUND(F26/N26,0),X25))</f>
        <v/>
      </c>
      <c r="Y26" s="74">
        <f>IF($A26="","",IF(AND(M26&gt;0,L26&gt;0),ROUND(L26/M26,0),IF(AND(J26&gt;0,B26&gt;0),ROUND(B26/J26,0),Y25)))</f>
        <v/>
      </c>
    </row>
    <row r="27">
      <c r="A27" s="67" t="n"/>
      <c r="B27" s="68" t="n"/>
      <c r="C27" s="69" t="n"/>
      <c r="D27" s="68" t="n"/>
      <c r="E27" s="69" t="n"/>
      <c r="F27" s="68" t="n"/>
      <c r="G27" s="69" t="n"/>
      <c r="H27" s="68" t="n"/>
      <c r="I27" s="70">
        <f>IF($A27="","",R26)</f>
        <v/>
      </c>
      <c r="J27" s="71">
        <f>IF($A27="","",IF(C27="",0,C27))</f>
        <v/>
      </c>
      <c r="K27" s="71">
        <f>IF($A27="","",IF(E27="",0,E27))</f>
        <v/>
      </c>
      <c r="L27" s="70">
        <f>IF($A27="","",B27-D27)</f>
        <v/>
      </c>
      <c r="M27" s="71">
        <f>IF($A27="","",J27-K27)</f>
        <v/>
      </c>
      <c r="N27" s="71">
        <f>IF($A27="","",IF(G27="",0,G27))</f>
        <v/>
      </c>
      <c r="O27" s="70">
        <f>IF($A27="","",D27+F27)</f>
        <v/>
      </c>
      <c r="P27" s="71">
        <f>IF($A27="","",K27+N27)</f>
        <v/>
      </c>
      <c r="Q27" s="70">
        <f>IF($A27="","",I27+L27-F27)</f>
        <v/>
      </c>
      <c r="R27" s="72">
        <f>IF($A27="","",IF(H27="",Q27,H27))</f>
        <v/>
      </c>
      <c r="S27" s="73">
        <f>IF($A27="","",R27-Q27)</f>
        <v/>
      </c>
      <c r="T27" s="70">
        <f>IF($A27="","",SUMIFS($B$5:$B$800,$A$5:$A$800,"&gt;="&amp;DATE(YEAR($A27),MONTH($A27),1),$A$5:$A$800,"&lt;="&amp;$A27)+IF(AND(YEAR($A27)=YEAR(Settings!$B$3),MONTH($A27)=MONTH(Settings!$B$3)),Settings!$B$6,0))</f>
        <v/>
      </c>
      <c r="U27" s="71">
        <f>IF($A27="","",SUMIFS($J$5:$J$800,$A$5:$A$800,"&gt;="&amp;DATE(YEAR($A27),MONTH($A27),1),$A$5:$A$800,"&lt;="&amp;$A27)+IF(AND(YEAR($A27)=YEAR(Settings!$B$3),MONTH($A27)=MONTH(Settings!$B$3)),Settings!$B$7,0))</f>
        <v/>
      </c>
      <c r="V27" s="70">
        <f>IF($A27="","",Settings!$B$8+SUM($B$5:B27))</f>
        <v/>
      </c>
      <c r="W27" s="71">
        <f>IF($A27="","",Settings!$B$9+SUM($J$5:J27))</f>
        <v/>
      </c>
      <c r="X27" s="71">
        <f>IF($A27="","",IF(AND(N27&gt;0,F27&gt;0),ROUND(F27/N27,0),X26))</f>
        <v/>
      </c>
      <c r="Y27" s="74">
        <f>IF($A27="","",IF(AND(M27&gt;0,L27&gt;0),ROUND(L27/M27,0),IF(AND(J27&gt;0,B27&gt;0),ROUND(B27/J27,0),Y26)))</f>
        <v/>
      </c>
    </row>
    <row r="28">
      <c r="A28" s="67" t="n"/>
      <c r="B28" s="68" t="n"/>
      <c r="C28" s="69" t="n"/>
      <c r="D28" s="68" t="n"/>
      <c r="E28" s="69" t="n"/>
      <c r="F28" s="68" t="n"/>
      <c r="G28" s="69" t="n"/>
      <c r="H28" s="68" t="n"/>
      <c r="I28" s="70">
        <f>IF($A28="","",R27)</f>
        <v/>
      </c>
      <c r="J28" s="71">
        <f>IF($A28="","",IF(C28="",0,C28))</f>
        <v/>
      </c>
      <c r="K28" s="71">
        <f>IF($A28="","",IF(E28="",0,E28))</f>
        <v/>
      </c>
      <c r="L28" s="70">
        <f>IF($A28="","",B28-D28)</f>
        <v/>
      </c>
      <c r="M28" s="71">
        <f>IF($A28="","",J28-K28)</f>
        <v/>
      </c>
      <c r="N28" s="71">
        <f>IF($A28="","",IF(G28="",0,G28))</f>
        <v/>
      </c>
      <c r="O28" s="70">
        <f>IF($A28="","",D28+F28)</f>
        <v/>
      </c>
      <c r="P28" s="71">
        <f>IF($A28="","",K28+N28)</f>
        <v/>
      </c>
      <c r="Q28" s="70">
        <f>IF($A28="","",I28+L28-F28)</f>
        <v/>
      </c>
      <c r="R28" s="72">
        <f>IF($A28="","",IF(H28="",Q28,H28))</f>
        <v/>
      </c>
      <c r="S28" s="73">
        <f>IF($A28="","",R28-Q28)</f>
        <v/>
      </c>
      <c r="T28" s="70">
        <f>IF($A28="","",SUMIFS($B$5:$B$800,$A$5:$A$800,"&gt;="&amp;DATE(YEAR($A28),MONTH($A28),1),$A$5:$A$800,"&lt;="&amp;$A28)+IF(AND(YEAR($A28)=YEAR(Settings!$B$3),MONTH($A28)=MONTH(Settings!$B$3)),Settings!$B$6,0))</f>
        <v/>
      </c>
      <c r="U28" s="71">
        <f>IF($A28="","",SUMIFS($J$5:$J$800,$A$5:$A$800,"&gt;="&amp;DATE(YEAR($A28),MONTH($A28),1),$A$5:$A$800,"&lt;="&amp;$A28)+IF(AND(YEAR($A28)=YEAR(Settings!$B$3),MONTH($A28)=MONTH(Settings!$B$3)),Settings!$B$7,0))</f>
        <v/>
      </c>
      <c r="V28" s="70">
        <f>IF($A28="","",Settings!$B$8+SUM($B$5:B28))</f>
        <v/>
      </c>
      <c r="W28" s="71">
        <f>IF($A28="","",Settings!$B$9+SUM($J$5:J28))</f>
        <v/>
      </c>
      <c r="X28" s="71">
        <f>IF($A28="","",IF(AND(N28&gt;0,F28&gt;0),ROUND(F28/N28,0),X27))</f>
        <v/>
      </c>
      <c r="Y28" s="74">
        <f>IF($A28="","",IF(AND(M28&gt;0,L28&gt;0),ROUND(L28/M28,0),IF(AND(J28&gt;0,B28&gt;0),ROUND(B28/J28,0),Y27)))</f>
        <v/>
      </c>
    </row>
    <row r="29">
      <c r="A29" s="67" t="n"/>
      <c r="B29" s="68" t="n"/>
      <c r="C29" s="69" t="n"/>
      <c r="D29" s="68" t="n"/>
      <c r="E29" s="69" t="n"/>
      <c r="F29" s="68" t="n"/>
      <c r="G29" s="69" t="n"/>
      <c r="H29" s="68" t="n"/>
      <c r="I29" s="70">
        <f>IF($A29="","",R28)</f>
        <v/>
      </c>
      <c r="J29" s="71">
        <f>IF($A29="","",IF(C29="",0,C29))</f>
        <v/>
      </c>
      <c r="K29" s="71">
        <f>IF($A29="","",IF(E29="",0,E29))</f>
        <v/>
      </c>
      <c r="L29" s="70">
        <f>IF($A29="","",B29-D29)</f>
        <v/>
      </c>
      <c r="M29" s="71">
        <f>IF($A29="","",J29-K29)</f>
        <v/>
      </c>
      <c r="N29" s="71">
        <f>IF($A29="","",IF(G29="",0,G29))</f>
        <v/>
      </c>
      <c r="O29" s="70">
        <f>IF($A29="","",D29+F29)</f>
        <v/>
      </c>
      <c r="P29" s="71">
        <f>IF($A29="","",K29+N29)</f>
        <v/>
      </c>
      <c r="Q29" s="70">
        <f>IF($A29="","",I29+L29-F29)</f>
        <v/>
      </c>
      <c r="R29" s="72">
        <f>IF($A29="","",IF(H29="",Q29,H29))</f>
        <v/>
      </c>
      <c r="S29" s="73">
        <f>IF($A29="","",R29-Q29)</f>
        <v/>
      </c>
      <c r="T29" s="70">
        <f>IF($A29="","",SUMIFS($B$5:$B$800,$A$5:$A$800,"&gt;="&amp;DATE(YEAR($A29),MONTH($A29),1),$A$5:$A$800,"&lt;="&amp;$A29)+IF(AND(YEAR($A29)=YEAR(Settings!$B$3),MONTH($A29)=MONTH(Settings!$B$3)),Settings!$B$6,0))</f>
        <v/>
      </c>
      <c r="U29" s="71">
        <f>IF($A29="","",SUMIFS($J$5:$J$800,$A$5:$A$800,"&gt;="&amp;DATE(YEAR($A29),MONTH($A29),1),$A$5:$A$800,"&lt;="&amp;$A29)+IF(AND(YEAR($A29)=YEAR(Settings!$B$3),MONTH($A29)=MONTH(Settings!$B$3)),Settings!$B$7,0))</f>
        <v/>
      </c>
      <c r="V29" s="70">
        <f>IF($A29="","",Settings!$B$8+SUM($B$5:B29))</f>
        <v/>
      </c>
      <c r="W29" s="71">
        <f>IF($A29="","",Settings!$B$9+SUM($J$5:J29))</f>
        <v/>
      </c>
      <c r="X29" s="71">
        <f>IF($A29="","",IF(AND(N29&gt;0,F29&gt;0),ROUND(F29/N29,0),X28))</f>
        <v/>
      </c>
      <c r="Y29" s="74">
        <f>IF($A29="","",IF(AND(M29&gt;0,L29&gt;0),ROUND(L29/M29,0),IF(AND(J29&gt;0,B29&gt;0),ROUND(B29/J29,0),Y28)))</f>
        <v/>
      </c>
    </row>
    <row r="30">
      <c r="A30" s="67" t="n"/>
      <c r="B30" s="68" t="n"/>
      <c r="C30" s="69" t="n"/>
      <c r="D30" s="68" t="n"/>
      <c r="E30" s="69" t="n"/>
      <c r="F30" s="68" t="n"/>
      <c r="G30" s="69" t="n"/>
      <c r="H30" s="68" t="n"/>
      <c r="I30" s="70">
        <f>IF($A30="","",R29)</f>
        <v/>
      </c>
      <c r="J30" s="71">
        <f>IF($A30="","",IF(C30="",0,C30))</f>
        <v/>
      </c>
      <c r="K30" s="71">
        <f>IF($A30="","",IF(E30="",0,E30))</f>
        <v/>
      </c>
      <c r="L30" s="70">
        <f>IF($A30="","",B30-D30)</f>
        <v/>
      </c>
      <c r="M30" s="71">
        <f>IF($A30="","",J30-K30)</f>
        <v/>
      </c>
      <c r="N30" s="71">
        <f>IF($A30="","",IF(G30="",0,G30))</f>
        <v/>
      </c>
      <c r="O30" s="70">
        <f>IF($A30="","",D30+F30)</f>
        <v/>
      </c>
      <c r="P30" s="71">
        <f>IF($A30="","",K30+N30)</f>
        <v/>
      </c>
      <c r="Q30" s="70">
        <f>IF($A30="","",I30+L30-F30)</f>
        <v/>
      </c>
      <c r="R30" s="72">
        <f>IF($A30="","",IF(H30="",Q30,H30))</f>
        <v/>
      </c>
      <c r="S30" s="73">
        <f>IF($A30="","",R30-Q30)</f>
        <v/>
      </c>
      <c r="T30" s="70">
        <f>IF($A30="","",SUMIFS($B$5:$B$800,$A$5:$A$800,"&gt;="&amp;DATE(YEAR($A30),MONTH($A30),1),$A$5:$A$800,"&lt;="&amp;$A30)+IF(AND(YEAR($A30)=YEAR(Settings!$B$3),MONTH($A30)=MONTH(Settings!$B$3)),Settings!$B$6,0))</f>
        <v/>
      </c>
      <c r="U30" s="71">
        <f>IF($A30="","",SUMIFS($J$5:$J$800,$A$5:$A$800,"&gt;="&amp;DATE(YEAR($A30),MONTH($A30),1),$A$5:$A$800,"&lt;="&amp;$A30)+IF(AND(YEAR($A30)=YEAR(Settings!$B$3),MONTH($A30)=MONTH(Settings!$B$3)),Settings!$B$7,0))</f>
        <v/>
      </c>
      <c r="V30" s="70">
        <f>IF($A30="","",Settings!$B$8+SUM($B$5:B30))</f>
        <v/>
      </c>
      <c r="W30" s="71">
        <f>IF($A30="","",Settings!$B$9+SUM($J$5:J30))</f>
        <v/>
      </c>
      <c r="X30" s="71">
        <f>IF($A30="","",IF(AND(N30&gt;0,F30&gt;0),ROUND(F30/N30,0),X29))</f>
        <v/>
      </c>
      <c r="Y30" s="74">
        <f>IF($A30="","",IF(AND(M30&gt;0,L30&gt;0),ROUND(L30/M30,0),IF(AND(J30&gt;0,B30&gt;0),ROUND(B30/J30,0),Y29)))</f>
        <v/>
      </c>
    </row>
    <row r="31">
      <c r="A31" s="67" t="n"/>
      <c r="B31" s="68" t="n"/>
      <c r="C31" s="69" t="n"/>
      <c r="D31" s="68" t="n"/>
      <c r="E31" s="69" t="n"/>
      <c r="F31" s="68" t="n"/>
      <c r="G31" s="69" t="n"/>
      <c r="H31" s="68" t="n"/>
      <c r="I31" s="70">
        <f>IF($A31="","",R30)</f>
        <v/>
      </c>
      <c r="J31" s="71">
        <f>IF($A31="","",IF(C31="",0,C31))</f>
        <v/>
      </c>
      <c r="K31" s="71">
        <f>IF($A31="","",IF(E31="",0,E31))</f>
        <v/>
      </c>
      <c r="L31" s="70">
        <f>IF($A31="","",B31-D31)</f>
        <v/>
      </c>
      <c r="M31" s="71">
        <f>IF($A31="","",J31-K31)</f>
        <v/>
      </c>
      <c r="N31" s="71">
        <f>IF($A31="","",IF(G31="",0,G31))</f>
        <v/>
      </c>
      <c r="O31" s="70">
        <f>IF($A31="","",D31+F31)</f>
        <v/>
      </c>
      <c r="P31" s="71">
        <f>IF($A31="","",K31+N31)</f>
        <v/>
      </c>
      <c r="Q31" s="70">
        <f>IF($A31="","",I31+L31-F31)</f>
        <v/>
      </c>
      <c r="R31" s="72">
        <f>IF($A31="","",IF(H31="",Q31,H31))</f>
        <v/>
      </c>
      <c r="S31" s="73">
        <f>IF($A31="","",R31-Q31)</f>
        <v/>
      </c>
      <c r="T31" s="70">
        <f>IF($A31="","",SUMIFS($B$5:$B$800,$A$5:$A$800,"&gt;="&amp;DATE(YEAR($A31),MONTH($A31),1),$A$5:$A$800,"&lt;="&amp;$A31)+IF(AND(YEAR($A31)=YEAR(Settings!$B$3),MONTH($A31)=MONTH(Settings!$B$3)),Settings!$B$6,0))</f>
        <v/>
      </c>
      <c r="U31" s="71">
        <f>IF($A31="","",SUMIFS($J$5:$J$800,$A$5:$A$800,"&gt;="&amp;DATE(YEAR($A31),MONTH($A31),1),$A$5:$A$800,"&lt;="&amp;$A31)+IF(AND(YEAR($A31)=YEAR(Settings!$B$3),MONTH($A31)=MONTH(Settings!$B$3)),Settings!$B$7,0))</f>
        <v/>
      </c>
      <c r="V31" s="70">
        <f>IF($A31="","",Settings!$B$8+SUM($B$5:B31))</f>
        <v/>
      </c>
      <c r="W31" s="71">
        <f>IF($A31="","",Settings!$B$9+SUM($J$5:J31))</f>
        <v/>
      </c>
      <c r="X31" s="71">
        <f>IF($A31="","",IF(AND(N31&gt;0,F31&gt;0),ROUND(F31/N31,0),X30))</f>
        <v/>
      </c>
      <c r="Y31" s="74">
        <f>IF($A31="","",IF(AND(M31&gt;0,L31&gt;0),ROUND(L31/M31,0),IF(AND(J31&gt;0,B31&gt;0),ROUND(B31/J31,0),Y30)))</f>
        <v/>
      </c>
    </row>
    <row r="32">
      <c r="A32" s="67" t="n"/>
      <c r="B32" s="68" t="n"/>
      <c r="C32" s="69" t="n"/>
      <c r="D32" s="68" t="n"/>
      <c r="E32" s="69" t="n"/>
      <c r="F32" s="68" t="n"/>
      <c r="G32" s="69" t="n"/>
      <c r="H32" s="68" t="n"/>
      <c r="I32" s="70">
        <f>IF($A32="","",R31)</f>
        <v/>
      </c>
      <c r="J32" s="71">
        <f>IF($A32="","",IF(C32="",0,C32))</f>
        <v/>
      </c>
      <c r="K32" s="71">
        <f>IF($A32="","",IF(E32="",0,E32))</f>
        <v/>
      </c>
      <c r="L32" s="70">
        <f>IF($A32="","",B32-D32)</f>
        <v/>
      </c>
      <c r="M32" s="71">
        <f>IF($A32="","",J32-K32)</f>
        <v/>
      </c>
      <c r="N32" s="71">
        <f>IF($A32="","",IF(G32="",0,G32))</f>
        <v/>
      </c>
      <c r="O32" s="70">
        <f>IF($A32="","",D32+F32)</f>
        <v/>
      </c>
      <c r="P32" s="71">
        <f>IF($A32="","",K32+N32)</f>
        <v/>
      </c>
      <c r="Q32" s="70">
        <f>IF($A32="","",I32+L32-F32)</f>
        <v/>
      </c>
      <c r="R32" s="72">
        <f>IF($A32="","",IF(H32="",Q32,H32))</f>
        <v/>
      </c>
      <c r="S32" s="73">
        <f>IF($A32="","",R32-Q32)</f>
        <v/>
      </c>
      <c r="T32" s="70">
        <f>IF($A32="","",SUMIFS($B$5:$B$800,$A$5:$A$800,"&gt;="&amp;DATE(YEAR($A32),MONTH($A32),1),$A$5:$A$800,"&lt;="&amp;$A32)+IF(AND(YEAR($A32)=YEAR(Settings!$B$3),MONTH($A32)=MONTH(Settings!$B$3)),Settings!$B$6,0))</f>
        <v/>
      </c>
      <c r="U32" s="71">
        <f>IF($A32="","",SUMIFS($J$5:$J$800,$A$5:$A$800,"&gt;="&amp;DATE(YEAR($A32),MONTH($A32),1),$A$5:$A$800,"&lt;="&amp;$A32)+IF(AND(YEAR($A32)=YEAR(Settings!$B$3),MONTH($A32)=MONTH(Settings!$B$3)),Settings!$B$7,0))</f>
        <v/>
      </c>
      <c r="V32" s="70">
        <f>IF($A32="","",Settings!$B$8+SUM($B$5:B32))</f>
        <v/>
      </c>
      <c r="W32" s="71">
        <f>IF($A32="","",Settings!$B$9+SUM($J$5:J32))</f>
        <v/>
      </c>
      <c r="X32" s="71">
        <f>IF($A32="","",IF(AND(N32&gt;0,F32&gt;0),ROUND(F32/N32,0),X31))</f>
        <v/>
      </c>
      <c r="Y32" s="74">
        <f>IF($A32="","",IF(AND(M32&gt;0,L32&gt;0),ROUND(L32/M32,0),IF(AND(J32&gt;0,B32&gt;0),ROUND(B32/J32,0),Y31)))</f>
        <v/>
      </c>
    </row>
    <row r="33">
      <c r="A33" s="67" t="n"/>
      <c r="B33" s="68" t="n"/>
      <c r="C33" s="69" t="n"/>
      <c r="D33" s="68" t="n"/>
      <c r="E33" s="69" t="n"/>
      <c r="F33" s="68" t="n"/>
      <c r="G33" s="69" t="n"/>
      <c r="H33" s="68" t="n"/>
      <c r="I33" s="70">
        <f>IF($A33="","",R32)</f>
        <v/>
      </c>
      <c r="J33" s="71">
        <f>IF($A33="","",IF(C33="",0,C33))</f>
        <v/>
      </c>
      <c r="K33" s="71">
        <f>IF($A33="","",IF(E33="",0,E33))</f>
        <v/>
      </c>
      <c r="L33" s="70">
        <f>IF($A33="","",B33-D33)</f>
        <v/>
      </c>
      <c r="M33" s="71">
        <f>IF($A33="","",J33-K33)</f>
        <v/>
      </c>
      <c r="N33" s="71">
        <f>IF($A33="","",IF(G33="",0,G33))</f>
        <v/>
      </c>
      <c r="O33" s="70">
        <f>IF($A33="","",D33+F33)</f>
        <v/>
      </c>
      <c r="P33" s="71">
        <f>IF($A33="","",K33+N33)</f>
        <v/>
      </c>
      <c r="Q33" s="70">
        <f>IF($A33="","",I33+L33-F33)</f>
        <v/>
      </c>
      <c r="R33" s="72">
        <f>IF($A33="","",IF(H33="",Q33,H33))</f>
        <v/>
      </c>
      <c r="S33" s="73">
        <f>IF($A33="","",R33-Q33)</f>
        <v/>
      </c>
      <c r="T33" s="70">
        <f>IF($A33="","",SUMIFS($B$5:$B$800,$A$5:$A$800,"&gt;="&amp;DATE(YEAR($A33),MONTH($A33),1),$A$5:$A$800,"&lt;="&amp;$A33)+IF(AND(YEAR($A33)=YEAR(Settings!$B$3),MONTH($A33)=MONTH(Settings!$B$3)),Settings!$B$6,0))</f>
        <v/>
      </c>
      <c r="U33" s="71">
        <f>IF($A33="","",SUMIFS($J$5:$J$800,$A$5:$A$800,"&gt;="&amp;DATE(YEAR($A33),MONTH($A33),1),$A$5:$A$800,"&lt;="&amp;$A33)+IF(AND(YEAR($A33)=YEAR(Settings!$B$3),MONTH($A33)=MONTH(Settings!$B$3)),Settings!$B$7,0))</f>
        <v/>
      </c>
      <c r="V33" s="70">
        <f>IF($A33="","",Settings!$B$8+SUM($B$5:B33))</f>
        <v/>
      </c>
      <c r="W33" s="71">
        <f>IF($A33="","",Settings!$B$9+SUM($J$5:J33))</f>
        <v/>
      </c>
      <c r="X33" s="71">
        <f>IF($A33="","",IF(AND(N33&gt;0,F33&gt;0),ROUND(F33/N33,0),X32))</f>
        <v/>
      </c>
      <c r="Y33" s="74">
        <f>IF($A33="","",IF(AND(M33&gt;0,L33&gt;0),ROUND(L33/M33,0),IF(AND(J33&gt;0,B33&gt;0),ROUND(B33/J33,0),Y32)))</f>
        <v/>
      </c>
    </row>
    <row r="34">
      <c r="A34" s="67" t="n"/>
      <c r="B34" s="68" t="n"/>
      <c r="C34" s="69" t="n"/>
      <c r="D34" s="68" t="n"/>
      <c r="E34" s="69" t="n"/>
      <c r="F34" s="68" t="n"/>
      <c r="G34" s="69" t="n"/>
      <c r="H34" s="68" t="n"/>
      <c r="I34" s="70">
        <f>IF($A34="","",R33)</f>
        <v/>
      </c>
      <c r="J34" s="71">
        <f>IF($A34="","",IF(C34="",0,C34))</f>
        <v/>
      </c>
      <c r="K34" s="71">
        <f>IF($A34="","",IF(E34="",0,E34))</f>
        <v/>
      </c>
      <c r="L34" s="70">
        <f>IF($A34="","",B34-D34)</f>
        <v/>
      </c>
      <c r="M34" s="71">
        <f>IF($A34="","",J34-K34)</f>
        <v/>
      </c>
      <c r="N34" s="71">
        <f>IF($A34="","",IF(G34="",0,G34))</f>
        <v/>
      </c>
      <c r="O34" s="70">
        <f>IF($A34="","",D34+F34)</f>
        <v/>
      </c>
      <c r="P34" s="71">
        <f>IF($A34="","",K34+N34)</f>
        <v/>
      </c>
      <c r="Q34" s="70">
        <f>IF($A34="","",I34+L34-F34)</f>
        <v/>
      </c>
      <c r="R34" s="72">
        <f>IF($A34="","",IF(H34="",Q34,H34))</f>
        <v/>
      </c>
      <c r="S34" s="73">
        <f>IF($A34="","",R34-Q34)</f>
        <v/>
      </c>
      <c r="T34" s="70">
        <f>IF($A34="","",SUMIFS($B$5:$B$800,$A$5:$A$800,"&gt;="&amp;DATE(YEAR($A34),MONTH($A34),1),$A$5:$A$800,"&lt;="&amp;$A34)+IF(AND(YEAR($A34)=YEAR(Settings!$B$3),MONTH($A34)=MONTH(Settings!$B$3)),Settings!$B$6,0))</f>
        <v/>
      </c>
      <c r="U34" s="71">
        <f>IF($A34="","",SUMIFS($J$5:$J$800,$A$5:$A$800,"&gt;="&amp;DATE(YEAR($A34),MONTH($A34),1),$A$5:$A$800,"&lt;="&amp;$A34)+IF(AND(YEAR($A34)=YEAR(Settings!$B$3),MONTH($A34)=MONTH(Settings!$B$3)),Settings!$B$7,0))</f>
        <v/>
      </c>
      <c r="V34" s="70">
        <f>IF($A34="","",Settings!$B$8+SUM($B$5:B34))</f>
        <v/>
      </c>
      <c r="W34" s="71">
        <f>IF($A34="","",Settings!$B$9+SUM($J$5:J34))</f>
        <v/>
      </c>
      <c r="X34" s="71">
        <f>IF($A34="","",IF(AND(N34&gt;0,F34&gt;0),ROUND(F34/N34,0),X33))</f>
        <v/>
      </c>
      <c r="Y34" s="74">
        <f>IF($A34="","",IF(AND(M34&gt;0,L34&gt;0),ROUND(L34/M34,0),IF(AND(J34&gt;0,B34&gt;0),ROUND(B34/J34,0),Y33)))</f>
        <v/>
      </c>
    </row>
    <row r="35">
      <c r="A35" s="67" t="n"/>
      <c r="B35" s="68" t="n"/>
      <c r="C35" s="69" t="n"/>
      <c r="D35" s="68" t="n"/>
      <c r="E35" s="69" t="n"/>
      <c r="F35" s="68" t="n"/>
      <c r="G35" s="69" t="n"/>
      <c r="H35" s="68" t="n"/>
      <c r="I35" s="70">
        <f>IF($A35="","",R34)</f>
        <v/>
      </c>
      <c r="J35" s="71">
        <f>IF($A35="","",IF(C35="",0,C35))</f>
        <v/>
      </c>
      <c r="K35" s="71">
        <f>IF($A35="","",IF(E35="",0,E35))</f>
        <v/>
      </c>
      <c r="L35" s="70">
        <f>IF($A35="","",B35-D35)</f>
        <v/>
      </c>
      <c r="M35" s="71">
        <f>IF($A35="","",J35-K35)</f>
        <v/>
      </c>
      <c r="N35" s="71">
        <f>IF($A35="","",IF(G35="",0,G35))</f>
        <v/>
      </c>
      <c r="O35" s="70">
        <f>IF($A35="","",D35+F35)</f>
        <v/>
      </c>
      <c r="P35" s="71">
        <f>IF($A35="","",K35+N35)</f>
        <v/>
      </c>
      <c r="Q35" s="70">
        <f>IF($A35="","",I35+L35-F35)</f>
        <v/>
      </c>
      <c r="R35" s="72">
        <f>IF($A35="","",IF(H35="",Q35,H35))</f>
        <v/>
      </c>
      <c r="S35" s="73">
        <f>IF($A35="","",R35-Q35)</f>
        <v/>
      </c>
      <c r="T35" s="70">
        <f>IF($A35="","",SUMIFS($B$5:$B$800,$A$5:$A$800,"&gt;="&amp;DATE(YEAR($A35),MONTH($A35),1),$A$5:$A$800,"&lt;="&amp;$A35)+IF(AND(YEAR($A35)=YEAR(Settings!$B$3),MONTH($A35)=MONTH(Settings!$B$3)),Settings!$B$6,0))</f>
        <v/>
      </c>
      <c r="U35" s="71">
        <f>IF($A35="","",SUMIFS($J$5:$J$800,$A$5:$A$800,"&gt;="&amp;DATE(YEAR($A35),MONTH($A35),1),$A$5:$A$800,"&lt;="&amp;$A35)+IF(AND(YEAR($A35)=YEAR(Settings!$B$3),MONTH($A35)=MONTH(Settings!$B$3)),Settings!$B$7,0))</f>
        <v/>
      </c>
      <c r="V35" s="70">
        <f>IF($A35="","",Settings!$B$8+SUM($B$5:B35))</f>
        <v/>
      </c>
      <c r="W35" s="71">
        <f>IF($A35="","",Settings!$B$9+SUM($J$5:J35))</f>
        <v/>
      </c>
      <c r="X35" s="71">
        <f>IF($A35="","",IF(AND(N35&gt;0,F35&gt;0),ROUND(F35/N35,0),X34))</f>
        <v/>
      </c>
      <c r="Y35" s="74">
        <f>IF($A35="","",IF(AND(M35&gt;0,L35&gt;0),ROUND(L35/M35,0),IF(AND(J35&gt;0,B35&gt;0),ROUND(B35/J35,0),Y34)))</f>
        <v/>
      </c>
    </row>
    <row r="36">
      <c r="A36" s="67" t="n"/>
      <c r="B36" s="68" t="n"/>
      <c r="C36" s="69" t="n"/>
      <c r="D36" s="68" t="n"/>
      <c r="E36" s="69" t="n"/>
      <c r="F36" s="68" t="n"/>
      <c r="G36" s="69" t="n"/>
      <c r="H36" s="68" t="n"/>
      <c r="I36" s="70">
        <f>IF($A36="","",R35)</f>
        <v/>
      </c>
      <c r="J36" s="71">
        <f>IF($A36="","",IF(C36="",0,C36))</f>
        <v/>
      </c>
      <c r="K36" s="71">
        <f>IF($A36="","",IF(E36="",0,E36))</f>
        <v/>
      </c>
      <c r="L36" s="70">
        <f>IF($A36="","",B36-D36)</f>
        <v/>
      </c>
      <c r="M36" s="71">
        <f>IF($A36="","",J36-K36)</f>
        <v/>
      </c>
      <c r="N36" s="71">
        <f>IF($A36="","",IF(G36="",0,G36))</f>
        <v/>
      </c>
      <c r="O36" s="70">
        <f>IF($A36="","",D36+F36)</f>
        <v/>
      </c>
      <c r="P36" s="71">
        <f>IF($A36="","",K36+N36)</f>
        <v/>
      </c>
      <c r="Q36" s="70">
        <f>IF($A36="","",I36+L36-F36)</f>
        <v/>
      </c>
      <c r="R36" s="72">
        <f>IF($A36="","",IF(H36="",Q36,H36))</f>
        <v/>
      </c>
      <c r="S36" s="73">
        <f>IF($A36="","",R36-Q36)</f>
        <v/>
      </c>
      <c r="T36" s="70">
        <f>IF($A36="","",SUMIFS($B$5:$B$800,$A$5:$A$800,"&gt;="&amp;DATE(YEAR($A36),MONTH($A36),1),$A$5:$A$800,"&lt;="&amp;$A36)+IF(AND(YEAR($A36)=YEAR(Settings!$B$3),MONTH($A36)=MONTH(Settings!$B$3)),Settings!$B$6,0))</f>
        <v/>
      </c>
      <c r="U36" s="71">
        <f>IF($A36="","",SUMIFS($J$5:$J$800,$A$5:$A$800,"&gt;="&amp;DATE(YEAR($A36),MONTH($A36),1),$A$5:$A$800,"&lt;="&amp;$A36)+IF(AND(YEAR($A36)=YEAR(Settings!$B$3),MONTH($A36)=MONTH(Settings!$B$3)),Settings!$B$7,0))</f>
        <v/>
      </c>
      <c r="V36" s="70">
        <f>IF($A36="","",Settings!$B$8+SUM($B$5:B36))</f>
        <v/>
      </c>
      <c r="W36" s="71">
        <f>IF($A36="","",Settings!$B$9+SUM($J$5:J36))</f>
        <v/>
      </c>
      <c r="X36" s="71">
        <f>IF($A36="","",IF(AND(N36&gt;0,F36&gt;0),ROUND(F36/N36,0),X35))</f>
        <v/>
      </c>
      <c r="Y36" s="74">
        <f>IF($A36="","",IF(AND(M36&gt;0,L36&gt;0),ROUND(L36/M36,0),IF(AND(J36&gt;0,B36&gt;0),ROUND(B36/J36,0),Y35)))</f>
        <v/>
      </c>
    </row>
    <row r="37">
      <c r="A37" s="67" t="n"/>
      <c r="B37" s="68" t="n"/>
      <c r="C37" s="69" t="n"/>
      <c r="D37" s="68" t="n"/>
      <c r="E37" s="69" t="n"/>
      <c r="F37" s="68" t="n"/>
      <c r="G37" s="69" t="n"/>
      <c r="H37" s="68" t="n"/>
      <c r="I37" s="70">
        <f>IF($A37="","",R36)</f>
        <v/>
      </c>
      <c r="J37" s="71">
        <f>IF($A37="","",IF(C37="",0,C37))</f>
        <v/>
      </c>
      <c r="K37" s="71">
        <f>IF($A37="","",IF(E37="",0,E37))</f>
        <v/>
      </c>
      <c r="L37" s="70">
        <f>IF($A37="","",B37-D37)</f>
        <v/>
      </c>
      <c r="M37" s="71">
        <f>IF($A37="","",J37-K37)</f>
        <v/>
      </c>
      <c r="N37" s="71">
        <f>IF($A37="","",IF(G37="",0,G37))</f>
        <v/>
      </c>
      <c r="O37" s="70">
        <f>IF($A37="","",D37+F37)</f>
        <v/>
      </c>
      <c r="P37" s="71">
        <f>IF($A37="","",K37+N37)</f>
        <v/>
      </c>
      <c r="Q37" s="70">
        <f>IF($A37="","",I37+L37-F37)</f>
        <v/>
      </c>
      <c r="R37" s="72">
        <f>IF($A37="","",IF(H37="",Q37,H37))</f>
        <v/>
      </c>
      <c r="S37" s="73">
        <f>IF($A37="","",R37-Q37)</f>
        <v/>
      </c>
      <c r="T37" s="70">
        <f>IF($A37="","",SUMIFS($B$5:$B$800,$A$5:$A$800,"&gt;="&amp;DATE(YEAR($A37),MONTH($A37),1),$A$5:$A$800,"&lt;="&amp;$A37)+IF(AND(YEAR($A37)=YEAR(Settings!$B$3),MONTH($A37)=MONTH(Settings!$B$3)),Settings!$B$6,0))</f>
        <v/>
      </c>
      <c r="U37" s="71">
        <f>IF($A37="","",SUMIFS($J$5:$J$800,$A$5:$A$800,"&gt;="&amp;DATE(YEAR($A37),MONTH($A37),1),$A$5:$A$800,"&lt;="&amp;$A37)+IF(AND(YEAR($A37)=YEAR(Settings!$B$3),MONTH($A37)=MONTH(Settings!$B$3)),Settings!$B$7,0))</f>
        <v/>
      </c>
      <c r="V37" s="70">
        <f>IF($A37="","",Settings!$B$8+SUM($B$5:B37))</f>
        <v/>
      </c>
      <c r="W37" s="71">
        <f>IF($A37="","",Settings!$B$9+SUM($J$5:J37))</f>
        <v/>
      </c>
      <c r="X37" s="71">
        <f>IF($A37="","",IF(AND(N37&gt;0,F37&gt;0),ROUND(F37/N37,0),X36))</f>
        <v/>
      </c>
      <c r="Y37" s="74">
        <f>IF($A37="","",IF(AND(M37&gt;0,L37&gt;0),ROUND(L37/M37,0),IF(AND(J37&gt;0,B37&gt;0),ROUND(B37/J37,0),Y36)))</f>
        <v/>
      </c>
    </row>
    <row r="38">
      <c r="A38" s="67" t="n"/>
      <c r="B38" s="68" t="n"/>
      <c r="C38" s="69" t="n"/>
      <c r="D38" s="68" t="n"/>
      <c r="E38" s="69" t="n"/>
      <c r="F38" s="68" t="n"/>
      <c r="G38" s="69" t="n"/>
      <c r="H38" s="68" t="n"/>
      <c r="I38" s="70">
        <f>IF($A38="","",R37)</f>
        <v/>
      </c>
      <c r="J38" s="71">
        <f>IF($A38="","",IF(C38="",0,C38))</f>
        <v/>
      </c>
      <c r="K38" s="71">
        <f>IF($A38="","",IF(E38="",0,E38))</f>
        <v/>
      </c>
      <c r="L38" s="70">
        <f>IF($A38="","",B38-D38)</f>
        <v/>
      </c>
      <c r="M38" s="71">
        <f>IF($A38="","",J38-K38)</f>
        <v/>
      </c>
      <c r="N38" s="71">
        <f>IF($A38="","",IF(G38="",0,G38))</f>
        <v/>
      </c>
      <c r="O38" s="70">
        <f>IF($A38="","",D38+F38)</f>
        <v/>
      </c>
      <c r="P38" s="71">
        <f>IF($A38="","",K38+N38)</f>
        <v/>
      </c>
      <c r="Q38" s="70">
        <f>IF($A38="","",I38+L38-F38)</f>
        <v/>
      </c>
      <c r="R38" s="72">
        <f>IF($A38="","",IF(H38="",Q38,H38))</f>
        <v/>
      </c>
      <c r="S38" s="73">
        <f>IF($A38="","",R38-Q38)</f>
        <v/>
      </c>
      <c r="T38" s="70">
        <f>IF($A38="","",SUMIFS($B$5:$B$800,$A$5:$A$800,"&gt;="&amp;DATE(YEAR($A38),MONTH($A38),1),$A$5:$A$800,"&lt;="&amp;$A38)+IF(AND(YEAR($A38)=YEAR(Settings!$B$3),MONTH($A38)=MONTH(Settings!$B$3)),Settings!$B$6,0))</f>
        <v/>
      </c>
      <c r="U38" s="71">
        <f>IF($A38="","",SUMIFS($J$5:$J$800,$A$5:$A$800,"&gt;="&amp;DATE(YEAR($A38),MONTH($A38),1),$A$5:$A$800,"&lt;="&amp;$A38)+IF(AND(YEAR($A38)=YEAR(Settings!$B$3),MONTH($A38)=MONTH(Settings!$B$3)),Settings!$B$7,0))</f>
        <v/>
      </c>
      <c r="V38" s="70">
        <f>IF($A38="","",Settings!$B$8+SUM($B$5:B38))</f>
        <v/>
      </c>
      <c r="W38" s="71">
        <f>IF($A38="","",Settings!$B$9+SUM($J$5:J38))</f>
        <v/>
      </c>
      <c r="X38" s="71">
        <f>IF($A38="","",IF(AND(N38&gt;0,F38&gt;0),ROUND(F38/N38,0),X37))</f>
        <v/>
      </c>
      <c r="Y38" s="74">
        <f>IF($A38="","",IF(AND(M38&gt;0,L38&gt;0),ROUND(L38/M38,0),IF(AND(J38&gt;0,B38&gt;0),ROUND(B38/J38,0),Y37)))</f>
        <v/>
      </c>
    </row>
    <row r="39">
      <c r="A39" s="67" t="n"/>
      <c r="B39" s="68" t="n"/>
      <c r="C39" s="69" t="n"/>
      <c r="D39" s="68" t="n"/>
      <c r="E39" s="69" t="n"/>
      <c r="F39" s="68" t="n"/>
      <c r="G39" s="69" t="n"/>
      <c r="H39" s="68" t="n"/>
      <c r="I39" s="70">
        <f>IF($A39="","",R38)</f>
        <v/>
      </c>
      <c r="J39" s="71">
        <f>IF($A39="","",IF(C39="",0,C39))</f>
        <v/>
      </c>
      <c r="K39" s="71">
        <f>IF($A39="","",IF(E39="",0,E39))</f>
        <v/>
      </c>
      <c r="L39" s="70">
        <f>IF($A39="","",B39-D39)</f>
        <v/>
      </c>
      <c r="M39" s="71">
        <f>IF($A39="","",J39-K39)</f>
        <v/>
      </c>
      <c r="N39" s="71">
        <f>IF($A39="","",IF(G39="",0,G39))</f>
        <v/>
      </c>
      <c r="O39" s="70">
        <f>IF($A39="","",D39+F39)</f>
        <v/>
      </c>
      <c r="P39" s="71">
        <f>IF($A39="","",K39+N39)</f>
        <v/>
      </c>
      <c r="Q39" s="70">
        <f>IF($A39="","",I39+L39-F39)</f>
        <v/>
      </c>
      <c r="R39" s="72">
        <f>IF($A39="","",IF(H39="",Q39,H39))</f>
        <v/>
      </c>
      <c r="S39" s="73">
        <f>IF($A39="","",R39-Q39)</f>
        <v/>
      </c>
      <c r="T39" s="70">
        <f>IF($A39="","",SUMIFS($B$5:$B$800,$A$5:$A$800,"&gt;="&amp;DATE(YEAR($A39),MONTH($A39),1),$A$5:$A$800,"&lt;="&amp;$A39)+IF(AND(YEAR($A39)=YEAR(Settings!$B$3),MONTH($A39)=MONTH(Settings!$B$3)),Settings!$B$6,0))</f>
        <v/>
      </c>
      <c r="U39" s="71">
        <f>IF($A39="","",SUMIFS($J$5:$J$800,$A$5:$A$800,"&gt;="&amp;DATE(YEAR($A39),MONTH($A39),1),$A$5:$A$800,"&lt;="&amp;$A39)+IF(AND(YEAR($A39)=YEAR(Settings!$B$3),MONTH($A39)=MONTH(Settings!$B$3)),Settings!$B$7,0))</f>
        <v/>
      </c>
      <c r="V39" s="70">
        <f>IF($A39="","",Settings!$B$8+SUM($B$5:B39))</f>
        <v/>
      </c>
      <c r="W39" s="71">
        <f>IF($A39="","",Settings!$B$9+SUM($J$5:J39))</f>
        <v/>
      </c>
      <c r="X39" s="71">
        <f>IF($A39="","",IF(AND(N39&gt;0,F39&gt;0),ROUND(F39/N39,0),X38))</f>
        <v/>
      </c>
      <c r="Y39" s="74">
        <f>IF($A39="","",IF(AND(M39&gt;0,L39&gt;0),ROUND(L39/M39,0),IF(AND(J39&gt;0,B39&gt;0),ROUND(B39/J39,0),Y38)))</f>
        <v/>
      </c>
    </row>
    <row r="40">
      <c r="A40" s="67" t="n"/>
      <c r="B40" s="68" t="n"/>
      <c r="C40" s="69" t="n"/>
      <c r="D40" s="68" t="n"/>
      <c r="E40" s="69" t="n"/>
      <c r="F40" s="68" t="n"/>
      <c r="G40" s="69" t="n"/>
      <c r="H40" s="68" t="n"/>
      <c r="I40" s="70">
        <f>IF($A40="","",R39)</f>
        <v/>
      </c>
      <c r="J40" s="71">
        <f>IF($A40="","",IF(C40="",0,C40))</f>
        <v/>
      </c>
      <c r="K40" s="71">
        <f>IF($A40="","",IF(E40="",0,E40))</f>
        <v/>
      </c>
      <c r="L40" s="70">
        <f>IF($A40="","",B40-D40)</f>
        <v/>
      </c>
      <c r="M40" s="71">
        <f>IF($A40="","",J40-K40)</f>
        <v/>
      </c>
      <c r="N40" s="71">
        <f>IF($A40="","",IF(G40="",0,G40))</f>
        <v/>
      </c>
      <c r="O40" s="70">
        <f>IF($A40="","",D40+F40)</f>
        <v/>
      </c>
      <c r="P40" s="71">
        <f>IF($A40="","",K40+N40)</f>
        <v/>
      </c>
      <c r="Q40" s="70">
        <f>IF($A40="","",I40+L40-F40)</f>
        <v/>
      </c>
      <c r="R40" s="72">
        <f>IF($A40="","",IF(H40="",Q40,H40))</f>
        <v/>
      </c>
      <c r="S40" s="73">
        <f>IF($A40="","",R40-Q40)</f>
        <v/>
      </c>
      <c r="T40" s="70">
        <f>IF($A40="","",SUMIFS($B$5:$B$800,$A$5:$A$800,"&gt;="&amp;DATE(YEAR($A40),MONTH($A40),1),$A$5:$A$800,"&lt;="&amp;$A40)+IF(AND(YEAR($A40)=YEAR(Settings!$B$3),MONTH($A40)=MONTH(Settings!$B$3)),Settings!$B$6,0))</f>
        <v/>
      </c>
      <c r="U40" s="71">
        <f>IF($A40="","",SUMIFS($J$5:$J$800,$A$5:$A$800,"&gt;="&amp;DATE(YEAR($A40),MONTH($A40),1),$A$5:$A$800,"&lt;="&amp;$A40)+IF(AND(YEAR($A40)=YEAR(Settings!$B$3),MONTH($A40)=MONTH(Settings!$B$3)),Settings!$B$7,0))</f>
        <v/>
      </c>
      <c r="V40" s="70">
        <f>IF($A40="","",Settings!$B$8+SUM($B$5:B40))</f>
        <v/>
      </c>
      <c r="W40" s="71">
        <f>IF($A40="","",Settings!$B$9+SUM($J$5:J40))</f>
        <v/>
      </c>
      <c r="X40" s="71">
        <f>IF($A40="","",IF(AND(N40&gt;0,F40&gt;0),ROUND(F40/N40,0),X39))</f>
        <v/>
      </c>
      <c r="Y40" s="74">
        <f>IF($A40="","",IF(AND(M40&gt;0,L40&gt;0),ROUND(L40/M40,0),IF(AND(J40&gt;0,B40&gt;0),ROUND(B40/J40,0),Y39)))</f>
        <v/>
      </c>
    </row>
    <row r="41">
      <c r="A41" s="67" t="n"/>
      <c r="B41" s="68" t="n"/>
      <c r="C41" s="69" t="n"/>
      <c r="D41" s="68" t="n"/>
      <c r="E41" s="69" t="n"/>
      <c r="F41" s="68" t="n"/>
      <c r="G41" s="69" t="n"/>
      <c r="H41" s="68" t="n"/>
      <c r="I41" s="70">
        <f>IF($A41="","",R40)</f>
        <v/>
      </c>
      <c r="J41" s="71">
        <f>IF($A41="","",IF(C41="",0,C41))</f>
        <v/>
      </c>
      <c r="K41" s="71">
        <f>IF($A41="","",IF(E41="",0,E41))</f>
        <v/>
      </c>
      <c r="L41" s="70">
        <f>IF($A41="","",B41-D41)</f>
        <v/>
      </c>
      <c r="M41" s="71">
        <f>IF($A41="","",J41-K41)</f>
        <v/>
      </c>
      <c r="N41" s="71">
        <f>IF($A41="","",IF(G41="",0,G41))</f>
        <v/>
      </c>
      <c r="O41" s="70">
        <f>IF($A41="","",D41+F41)</f>
        <v/>
      </c>
      <c r="P41" s="71">
        <f>IF($A41="","",K41+N41)</f>
        <v/>
      </c>
      <c r="Q41" s="70">
        <f>IF($A41="","",I41+L41-F41)</f>
        <v/>
      </c>
      <c r="R41" s="72">
        <f>IF($A41="","",IF(H41="",Q41,H41))</f>
        <v/>
      </c>
      <c r="S41" s="73">
        <f>IF($A41="","",R41-Q41)</f>
        <v/>
      </c>
      <c r="T41" s="70">
        <f>IF($A41="","",SUMIFS($B$5:$B$800,$A$5:$A$800,"&gt;="&amp;DATE(YEAR($A41),MONTH($A41),1),$A$5:$A$800,"&lt;="&amp;$A41)+IF(AND(YEAR($A41)=YEAR(Settings!$B$3),MONTH($A41)=MONTH(Settings!$B$3)),Settings!$B$6,0))</f>
        <v/>
      </c>
      <c r="U41" s="71">
        <f>IF($A41="","",SUMIFS($J$5:$J$800,$A$5:$A$800,"&gt;="&amp;DATE(YEAR($A41),MONTH($A41),1),$A$5:$A$800,"&lt;="&amp;$A41)+IF(AND(YEAR($A41)=YEAR(Settings!$B$3),MONTH($A41)=MONTH(Settings!$B$3)),Settings!$B$7,0))</f>
        <v/>
      </c>
      <c r="V41" s="70">
        <f>IF($A41="","",Settings!$B$8+SUM($B$5:B41))</f>
        <v/>
      </c>
      <c r="W41" s="71">
        <f>IF($A41="","",Settings!$B$9+SUM($J$5:J41))</f>
        <v/>
      </c>
      <c r="X41" s="71">
        <f>IF($A41="","",IF(AND(N41&gt;0,F41&gt;0),ROUND(F41/N41,0),X40))</f>
        <v/>
      </c>
      <c r="Y41" s="74">
        <f>IF($A41="","",IF(AND(M41&gt;0,L41&gt;0),ROUND(L41/M41,0),IF(AND(J41&gt;0,B41&gt;0),ROUND(B41/J41,0),Y40)))</f>
        <v/>
      </c>
    </row>
    <row r="42">
      <c r="A42" s="67" t="n"/>
      <c r="B42" s="68" t="n"/>
      <c r="C42" s="69" t="n"/>
      <c r="D42" s="68" t="n"/>
      <c r="E42" s="69" t="n"/>
      <c r="F42" s="68" t="n"/>
      <c r="G42" s="69" t="n"/>
      <c r="H42" s="68" t="n"/>
      <c r="I42" s="70">
        <f>IF($A42="","",R41)</f>
        <v/>
      </c>
      <c r="J42" s="71">
        <f>IF($A42="","",IF(C42="",0,C42))</f>
        <v/>
      </c>
      <c r="K42" s="71">
        <f>IF($A42="","",IF(E42="",0,E42))</f>
        <v/>
      </c>
      <c r="L42" s="70">
        <f>IF($A42="","",B42-D42)</f>
        <v/>
      </c>
      <c r="M42" s="71">
        <f>IF($A42="","",J42-K42)</f>
        <v/>
      </c>
      <c r="N42" s="71">
        <f>IF($A42="","",IF(G42="",0,G42))</f>
        <v/>
      </c>
      <c r="O42" s="70">
        <f>IF($A42="","",D42+F42)</f>
        <v/>
      </c>
      <c r="P42" s="71">
        <f>IF($A42="","",K42+N42)</f>
        <v/>
      </c>
      <c r="Q42" s="70">
        <f>IF($A42="","",I42+L42-F42)</f>
        <v/>
      </c>
      <c r="R42" s="72">
        <f>IF($A42="","",IF(H42="",Q42,H42))</f>
        <v/>
      </c>
      <c r="S42" s="73">
        <f>IF($A42="","",R42-Q42)</f>
        <v/>
      </c>
      <c r="T42" s="70">
        <f>IF($A42="","",SUMIFS($B$5:$B$800,$A$5:$A$800,"&gt;="&amp;DATE(YEAR($A42),MONTH($A42),1),$A$5:$A$800,"&lt;="&amp;$A42)+IF(AND(YEAR($A42)=YEAR(Settings!$B$3),MONTH($A42)=MONTH(Settings!$B$3)),Settings!$B$6,0))</f>
        <v/>
      </c>
      <c r="U42" s="71">
        <f>IF($A42="","",SUMIFS($J$5:$J$800,$A$5:$A$800,"&gt;="&amp;DATE(YEAR($A42),MONTH($A42),1),$A$5:$A$800,"&lt;="&amp;$A42)+IF(AND(YEAR($A42)=YEAR(Settings!$B$3),MONTH($A42)=MONTH(Settings!$B$3)),Settings!$B$7,0))</f>
        <v/>
      </c>
      <c r="V42" s="70">
        <f>IF($A42="","",Settings!$B$8+SUM($B$5:B42))</f>
        <v/>
      </c>
      <c r="W42" s="71">
        <f>IF($A42="","",Settings!$B$9+SUM($J$5:J42))</f>
        <v/>
      </c>
      <c r="X42" s="71">
        <f>IF($A42="","",IF(AND(N42&gt;0,F42&gt;0),ROUND(F42/N42,0),X41))</f>
        <v/>
      </c>
      <c r="Y42" s="74">
        <f>IF($A42="","",IF(AND(M42&gt;0,L42&gt;0),ROUND(L42/M42,0),IF(AND(J42&gt;0,B42&gt;0),ROUND(B42/J42,0),Y41)))</f>
        <v/>
      </c>
    </row>
    <row r="43">
      <c r="A43" s="67" t="n"/>
      <c r="B43" s="68" t="n"/>
      <c r="C43" s="69" t="n"/>
      <c r="D43" s="68" t="n"/>
      <c r="E43" s="69" t="n"/>
      <c r="F43" s="68" t="n"/>
      <c r="G43" s="69" t="n"/>
      <c r="H43" s="68" t="n"/>
      <c r="I43" s="70">
        <f>IF($A43="","",R42)</f>
        <v/>
      </c>
      <c r="J43" s="71">
        <f>IF($A43="","",IF(C43="",0,C43))</f>
        <v/>
      </c>
      <c r="K43" s="71">
        <f>IF($A43="","",IF(E43="",0,E43))</f>
        <v/>
      </c>
      <c r="L43" s="70">
        <f>IF($A43="","",B43-D43)</f>
        <v/>
      </c>
      <c r="M43" s="71">
        <f>IF($A43="","",J43-K43)</f>
        <v/>
      </c>
      <c r="N43" s="71">
        <f>IF($A43="","",IF(G43="",0,G43))</f>
        <v/>
      </c>
      <c r="O43" s="70">
        <f>IF($A43="","",D43+F43)</f>
        <v/>
      </c>
      <c r="P43" s="71">
        <f>IF($A43="","",K43+N43)</f>
        <v/>
      </c>
      <c r="Q43" s="70">
        <f>IF($A43="","",I43+L43-F43)</f>
        <v/>
      </c>
      <c r="R43" s="72">
        <f>IF($A43="","",IF(H43="",Q43,H43))</f>
        <v/>
      </c>
      <c r="S43" s="73">
        <f>IF($A43="","",R43-Q43)</f>
        <v/>
      </c>
      <c r="T43" s="70">
        <f>IF($A43="","",SUMIFS($B$5:$B$800,$A$5:$A$800,"&gt;="&amp;DATE(YEAR($A43),MONTH($A43),1),$A$5:$A$800,"&lt;="&amp;$A43)+IF(AND(YEAR($A43)=YEAR(Settings!$B$3),MONTH($A43)=MONTH(Settings!$B$3)),Settings!$B$6,0))</f>
        <v/>
      </c>
      <c r="U43" s="71">
        <f>IF($A43="","",SUMIFS($J$5:$J$800,$A$5:$A$800,"&gt;="&amp;DATE(YEAR($A43),MONTH($A43),1),$A$5:$A$800,"&lt;="&amp;$A43)+IF(AND(YEAR($A43)=YEAR(Settings!$B$3),MONTH($A43)=MONTH(Settings!$B$3)),Settings!$B$7,0))</f>
        <v/>
      </c>
      <c r="V43" s="70">
        <f>IF($A43="","",Settings!$B$8+SUM($B$5:B43))</f>
        <v/>
      </c>
      <c r="W43" s="71">
        <f>IF($A43="","",Settings!$B$9+SUM($J$5:J43))</f>
        <v/>
      </c>
      <c r="X43" s="71">
        <f>IF($A43="","",IF(AND(N43&gt;0,F43&gt;0),ROUND(F43/N43,0),X42))</f>
        <v/>
      </c>
      <c r="Y43" s="74">
        <f>IF($A43="","",IF(AND(M43&gt;0,L43&gt;0),ROUND(L43/M43,0),IF(AND(J43&gt;0,B43&gt;0),ROUND(B43/J43,0),Y42)))</f>
        <v/>
      </c>
    </row>
    <row r="44">
      <c r="A44" s="67" t="n"/>
      <c r="B44" s="68" t="n"/>
      <c r="C44" s="69" t="n"/>
      <c r="D44" s="68" t="n"/>
      <c r="E44" s="69" t="n"/>
      <c r="F44" s="68" t="n"/>
      <c r="G44" s="69" t="n"/>
      <c r="H44" s="68" t="n"/>
      <c r="I44" s="70">
        <f>IF($A44="","",R43)</f>
        <v/>
      </c>
      <c r="J44" s="71">
        <f>IF($A44="","",IF(C44="",0,C44))</f>
        <v/>
      </c>
      <c r="K44" s="71">
        <f>IF($A44="","",IF(E44="",0,E44))</f>
        <v/>
      </c>
      <c r="L44" s="70">
        <f>IF($A44="","",B44-D44)</f>
        <v/>
      </c>
      <c r="M44" s="71">
        <f>IF($A44="","",J44-K44)</f>
        <v/>
      </c>
      <c r="N44" s="71">
        <f>IF($A44="","",IF(G44="",0,G44))</f>
        <v/>
      </c>
      <c r="O44" s="70">
        <f>IF($A44="","",D44+F44)</f>
        <v/>
      </c>
      <c r="P44" s="71">
        <f>IF($A44="","",K44+N44)</f>
        <v/>
      </c>
      <c r="Q44" s="70">
        <f>IF($A44="","",I44+L44-F44)</f>
        <v/>
      </c>
      <c r="R44" s="72">
        <f>IF($A44="","",IF(H44="",Q44,H44))</f>
        <v/>
      </c>
      <c r="S44" s="73">
        <f>IF($A44="","",R44-Q44)</f>
        <v/>
      </c>
      <c r="T44" s="70">
        <f>IF($A44="","",SUMIFS($B$5:$B$800,$A$5:$A$800,"&gt;="&amp;DATE(YEAR($A44),MONTH($A44),1),$A$5:$A$800,"&lt;="&amp;$A44)+IF(AND(YEAR($A44)=YEAR(Settings!$B$3),MONTH($A44)=MONTH(Settings!$B$3)),Settings!$B$6,0))</f>
        <v/>
      </c>
      <c r="U44" s="71">
        <f>IF($A44="","",SUMIFS($J$5:$J$800,$A$5:$A$800,"&gt;="&amp;DATE(YEAR($A44),MONTH($A44),1),$A$5:$A$800,"&lt;="&amp;$A44)+IF(AND(YEAR($A44)=YEAR(Settings!$B$3),MONTH($A44)=MONTH(Settings!$B$3)),Settings!$B$7,0))</f>
        <v/>
      </c>
      <c r="V44" s="70">
        <f>IF($A44="","",Settings!$B$8+SUM($B$5:B44))</f>
        <v/>
      </c>
      <c r="W44" s="71">
        <f>IF($A44="","",Settings!$B$9+SUM($J$5:J44))</f>
        <v/>
      </c>
      <c r="X44" s="71">
        <f>IF($A44="","",IF(AND(N44&gt;0,F44&gt;0),ROUND(F44/N44,0),X43))</f>
        <v/>
      </c>
      <c r="Y44" s="74">
        <f>IF($A44="","",IF(AND(M44&gt;0,L44&gt;0),ROUND(L44/M44,0),IF(AND(J44&gt;0,B44&gt;0),ROUND(B44/J44,0),Y43)))</f>
        <v/>
      </c>
    </row>
    <row r="45">
      <c r="A45" s="67" t="n"/>
      <c r="B45" s="68" t="n"/>
      <c r="C45" s="69" t="n"/>
      <c r="D45" s="68" t="n"/>
      <c r="E45" s="69" t="n"/>
      <c r="F45" s="68" t="n"/>
      <c r="G45" s="69" t="n"/>
      <c r="H45" s="68" t="n"/>
      <c r="I45" s="70">
        <f>IF($A45="","",R44)</f>
        <v/>
      </c>
      <c r="J45" s="71">
        <f>IF($A45="","",IF(C45="",0,C45))</f>
        <v/>
      </c>
      <c r="K45" s="71">
        <f>IF($A45="","",IF(E45="",0,E45))</f>
        <v/>
      </c>
      <c r="L45" s="70">
        <f>IF($A45="","",B45-D45)</f>
        <v/>
      </c>
      <c r="M45" s="71">
        <f>IF($A45="","",J45-K45)</f>
        <v/>
      </c>
      <c r="N45" s="71">
        <f>IF($A45="","",IF(G45="",0,G45))</f>
        <v/>
      </c>
      <c r="O45" s="70">
        <f>IF($A45="","",D45+F45)</f>
        <v/>
      </c>
      <c r="P45" s="71">
        <f>IF($A45="","",K45+N45)</f>
        <v/>
      </c>
      <c r="Q45" s="70">
        <f>IF($A45="","",I45+L45-F45)</f>
        <v/>
      </c>
      <c r="R45" s="72">
        <f>IF($A45="","",IF(H45="",Q45,H45))</f>
        <v/>
      </c>
      <c r="S45" s="73">
        <f>IF($A45="","",R45-Q45)</f>
        <v/>
      </c>
      <c r="T45" s="70">
        <f>IF($A45="","",SUMIFS($B$5:$B$800,$A$5:$A$800,"&gt;="&amp;DATE(YEAR($A45),MONTH($A45),1),$A$5:$A$800,"&lt;="&amp;$A45)+IF(AND(YEAR($A45)=YEAR(Settings!$B$3),MONTH($A45)=MONTH(Settings!$B$3)),Settings!$B$6,0))</f>
        <v/>
      </c>
      <c r="U45" s="71">
        <f>IF($A45="","",SUMIFS($J$5:$J$800,$A$5:$A$800,"&gt;="&amp;DATE(YEAR($A45),MONTH($A45),1),$A$5:$A$800,"&lt;="&amp;$A45)+IF(AND(YEAR($A45)=YEAR(Settings!$B$3),MONTH($A45)=MONTH(Settings!$B$3)),Settings!$B$7,0))</f>
        <v/>
      </c>
      <c r="V45" s="70">
        <f>IF($A45="","",Settings!$B$8+SUM($B$5:B45))</f>
        <v/>
      </c>
      <c r="W45" s="71">
        <f>IF($A45="","",Settings!$B$9+SUM($J$5:J45))</f>
        <v/>
      </c>
      <c r="X45" s="71">
        <f>IF($A45="","",IF(AND(N45&gt;0,F45&gt;0),ROUND(F45/N45,0),X44))</f>
        <v/>
      </c>
      <c r="Y45" s="74">
        <f>IF($A45="","",IF(AND(M45&gt;0,L45&gt;0),ROUND(L45/M45,0),IF(AND(J45&gt;0,B45&gt;0),ROUND(B45/J45,0),Y44)))</f>
        <v/>
      </c>
    </row>
    <row r="46">
      <c r="A46" s="67" t="n"/>
      <c r="B46" s="68" t="n"/>
      <c r="C46" s="69" t="n"/>
      <c r="D46" s="68" t="n"/>
      <c r="E46" s="69" t="n"/>
      <c r="F46" s="68" t="n"/>
      <c r="G46" s="69" t="n"/>
      <c r="H46" s="68" t="n"/>
      <c r="I46" s="70">
        <f>IF($A46="","",R45)</f>
        <v/>
      </c>
      <c r="J46" s="71">
        <f>IF($A46="","",IF(C46="",0,C46))</f>
        <v/>
      </c>
      <c r="K46" s="71">
        <f>IF($A46="","",IF(E46="",0,E46))</f>
        <v/>
      </c>
      <c r="L46" s="70">
        <f>IF($A46="","",B46-D46)</f>
        <v/>
      </c>
      <c r="M46" s="71">
        <f>IF($A46="","",J46-K46)</f>
        <v/>
      </c>
      <c r="N46" s="71">
        <f>IF($A46="","",IF(G46="",0,G46))</f>
        <v/>
      </c>
      <c r="O46" s="70">
        <f>IF($A46="","",D46+F46)</f>
        <v/>
      </c>
      <c r="P46" s="71">
        <f>IF($A46="","",K46+N46)</f>
        <v/>
      </c>
      <c r="Q46" s="70">
        <f>IF($A46="","",I46+L46-F46)</f>
        <v/>
      </c>
      <c r="R46" s="72">
        <f>IF($A46="","",IF(H46="",Q46,H46))</f>
        <v/>
      </c>
      <c r="S46" s="73">
        <f>IF($A46="","",R46-Q46)</f>
        <v/>
      </c>
      <c r="T46" s="70">
        <f>IF($A46="","",SUMIFS($B$5:$B$800,$A$5:$A$800,"&gt;="&amp;DATE(YEAR($A46),MONTH($A46),1),$A$5:$A$800,"&lt;="&amp;$A46)+IF(AND(YEAR($A46)=YEAR(Settings!$B$3),MONTH($A46)=MONTH(Settings!$B$3)),Settings!$B$6,0))</f>
        <v/>
      </c>
      <c r="U46" s="71">
        <f>IF($A46="","",SUMIFS($J$5:$J$800,$A$5:$A$800,"&gt;="&amp;DATE(YEAR($A46),MONTH($A46),1),$A$5:$A$800,"&lt;="&amp;$A46)+IF(AND(YEAR($A46)=YEAR(Settings!$B$3),MONTH($A46)=MONTH(Settings!$B$3)),Settings!$B$7,0))</f>
        <v/>
      </c>
      <c r="V46" s="70">
        <f>IF($A46="","",Settings!$B$8+SUM($B$5:B46))</f>
        <v/>
      </c>
      <c r="W46" s="71">
        <f>IF($A46="","",Settings!$B$9+SUM($J$5:J46))</f>
        <v/>
      </c>
      <c r="X46" s="71">
        <f>IF($A46="","",IF(AND(N46&gt;0,F46&gt;0),ROUND(F46/N46,0),X45))</f>
        <v/>
      </c>
      <c r="Y46" s="74">
        <f>IF($A46="","",IF(AND(M46&gt;0,L46&gt;0),ROUND(L46/M46,0),IF(AND(J46&gt;0,B46&gt;0),ROUND(B46/J46,0),Y45)))</f>
        <v/>
      </c>
    </row>
    <row r="47">
      <c r="A47" s="67" t="n"/>
      <c r="B47" s="68" t="n"/>
      <c r="C47" s="69" t="n"/>
      <c r="D47" s="68" t="n"/>
      <c r="E47" s="69" t="n"/>
      <c r="F47" s="68" t="n"/>
      <c r="G47" s="69" t="n"/>
      <c r="H47" s="68" t="n"/>
      <c r="I47" s="70">
        <f>IF($A47="","",R46)</f>
        <v/>
      </c>
      <c r="J47" s="71">
        <f>IF($A47="","",IF(C47="",0,C47))</f>
        <v/>
      </c>
      <c r="K47" s="71">
        <f>IF($A47="","",IF(E47="",0,E47))</f>
        <v/>
      </c>
      <c r="L47" s="70">
        <f>IF($A47="","",B47-D47)</f>
        <v/>
      </c>
      <c r="M47" s="71">
        <f>IF($A47="","",J47-K47)</f>
        <v/>
      </c>
      <c r="N47" s="71">
        <f>IF($A47="","",IF(G47="",0,G47))</f>
        <v/>
      </c>
      <c r="O47" s="70">
        <f>IF($A47="","",D47+F47)</f>
        <v/>
      </c>
      <c r="P47" s="71">
        <f>IF($A47="","",K47+N47)</f>
        <v/>
      </c>
      <c r="Q47" s="70">
        <f>IF($A47="","",I47+L47-F47)</f>
        <v/>
      </c>
      <c r="R47" s="72">
        <f>IF($A47="","",IF(H47="",Q47,H47))</f>
        <v/>
      </c>
      <c r="S47" s="73">
        <f>IF($A47="","",R47-Q47)</f>
        <v/>
      </c>
      <c r="T47" s="70">
        <f>IF($A47="","",SUMIFS($B$5:$B$800,$A$5:$A$800,"&gt;="&amp;DATE(YEAR($A47),MONTH($A47),1),$A$5:$A$800,"&lt;="&amp;$A47)+IF(AND(YEAR($A47)=YEAR(Settings!$B$3),MONTH($A47)=MONTH(Settings!$B$3)),Settings!$B$6,0))</f>
        <v/>
      </c>
      <c r="U47" s="71">
        <f>IF($A47="","",SUMIFS($J$5:$J$800,$A$5:$A$800,"&gt;="&amp;DATE(YEAR($A47),MONTH($A47),1),$A$5:$A$800,"&lt;="&amp;$A47)+IF(AND(YEAR($A47)=YEAR(Settings!$B$3),MONTH($A47)=MONTH(Settings!$B$3)),Settings!$B$7,0))</f>
        <v/>
      </c>
      <c r="V47" s="70">
        <f>IF($A47="","",Settings!$B$8+SUM($B$5:B47))</f>
        <v/>
      </c>
      <c r="W47" s="71">
        <f>IF($A47="","",Settings!$B$9+SUM($J$5:J47))</f>
        <v/>
      </c>
      <c r="X47" s="71">
        <f>IF($A47="","",IF(AND(N47&gt;0,F47&gt;0),ROUND(F47/N47,0),X46))</f>
        <v/>
      </c>
      <c r="Y47" s="74">
        <f>IF($A47="","",IF(AND(M47&gt;0,L47&gt;0),ROUND(L47/M47,0),IF(AND(J47&gt;0,B47&gt;0),ROUND(B47/J47,0),Y46)))</f>
        <v/>
      </c>
    </row>
    <row r="48">
      <c r="A48" s="67" t="n"/>
      <c r="B48" s="68" t="n"/>
      <c r="C48" s="69" t="n"/>
      <c r="D48" s="68" t="n"/>
      <c r="E48" s="69" t="n"/>
      <c r="F48" s="68" t="n"/>
      <c r="G48" s="69" t="n"/>
      <c r="H48" s="68" t="n"/>
      <c r="I48" s="70">
        <f>IF($A48="","",R47)</f>
        <v/>
      </c>
      <c r="J48" s="71">
        <f>IF($A48="","",IF(C48="",0,C48))</f>
        <v/>
      </c>
      <c r="K48" s="71">
        <f>IF($A48="","",IF(E48="",0,E48))</f>
        <v/>
      </c>
      <c r="L48" s="70">
        <f>IF($A48="","",B48-D48)</f>
        <v/>
      </c>
      <c r="M48" s="71">
        <f>IF($A48="","",J48-K48)</f>
        <v/>
      </c>
      <c r="N48" s="71">
        <f>IF($A48="","",IF(G48="",0,G48))</f>
        <v/>
      </c>
      <c r="O48" s="70">
        <f>IF($A48="","",D48+F48)</f>
        <v/>
      </c>
      <c r="P48" s="71">
        <f>IF($A48="","",K48+N48)</f>
        <v/>
      </c>
      <c r="Q48" s="70">
        <f>IF($A48="","",I48+L48-F48)</f>
        <v/>
      </c>
      <c r="R48" s="72">
        <f>IF($A48="","",IF(H48="",Q48,H48))</f>
        <v/>
      </c>
      <c r="S48" s="73">
        <f>IF($A48="","",R48-Q48)</f>
        <v/>
      </c>
      <c r="T48" s="70">
        <f>IF($A48="","",SUMIFS($B$5:$B$800,$A$5:$A$800,"&gt;="&amp;DATE(YEAR($A48),MONTH($A48),1),$A$5:$A$800,"&lt;="&amp;$A48)+IF(AND(YEAR($A48)=YEAR(Settings!$B$3),MONTH($A48)=MONTH(Settings!$B$3)),Settings!$B$6,0))</f>
        <v/>
      </c>
      <c r="U48" s="71">
        <f>IF($A48="","",SUMIFS($J$5:$J$800,$A$5:$A$800,"&gt;="&amp;DATE(YEAR($A48),MONTH($A48),1),$A$5:$A$800,"&lt;="&amp;$A48)+IF(AND(YEAR($A48)=YEAR(Settings!$B$3),MONTH($A48)=MONTH(Settings!$B$3)),Settings!$B$7,0))</f>
        <v/>
      </c>
      <c r="V48" s="70">
        <f>IF($A48="","",Settings!$B$8+SUM($B$5:B48))</f>
        <v/>
      </c>
      <c r="W48" s="71">
        <f>IF($A48="","",Settings!$B$9+SUM($J$5:J48))</f>
        <v/>
      </c>
      <c r="X48" s="71">
        <f>IF($A48="","",IF(AND(N48&gt;0,F48&gt;0),ROUND(F48/N48,0),X47))</f>
        <v/>
      </c>
      <c r="Y48" s="74">
        <f>IF($A48="","",IF(AND(M48&gt;0,L48&gt;0),ROUND(L48/M48,0),IF(AND(J48&gt;0,B48&gt;0),ROUND(B48/J48,0),Y47)))</f>
        <v/>
      </c>
    </row>
    <row r="49">
      <c r="A49" s="67" t="n"/>
      <c r="B49" s="68" t="n"/>
      <c r="C49" s="69" t="n"/>
      <c r="D49" s="68" t="n"/>
      <c r="E49" s="69" t="n"/>
      <c r="F49" s="68" t="n"/>
      <c r="G49" s="69" t="n"/>
      <c r="H49" s="68" t="n"/>
      <c r="I49" s="70">
        <f>IF($A49="","",R48)</f>
        <v/>
      </c>
      <c r="J49" s="71">
        <f>IF($A49="","",IF(C49="",0,C49))</f>
        <v/>
      </c>
      <c r="K49" s="71">
        <f>IF($A49="","",IF(E49="",0,E49))</f>
        <v/>
      </c>
      <c r="L49" s="70">
        <f>IF($A49="","",B49-D49)</f>
        <v/>
      </c>
      <c r="M49" s="71">
        <f>IF($A49="","",J49-K49)</f>
        <v/>
      </c>
      <c r="N49" s="71">
        <f>IF($A49="","",IF(G49="",0,G49))</f>
        <v/>
      </c>
      <c r="O49" s="70">
        <f>IF($A49="","",D49+F49)</f>
        <v/>
      </c>
      <c r="P49" s="71">
        <f>IF($A49="","",K49+N49)</f>
        <v/>
      </c>
      <c r="Q49" s="70">
        <f>IF($A49="","",I49+L49-F49)</f>
        <v/>
      </c>
      <c r="R49" s="72">
        <f>IF($A49="","",IF(H49="",Q49,H49))</f>
        <v/>
      </c>
      <c r="S49" s="73">
        <f>IF($A49="","",R49-Q49)</f>
        <v/>
      </c>
      <c r="T49" s="70">
        <f>IF($A49="","",SUMIFS($B$5:$B$800,$A$5:$A$800,"&gt;="&amp;DATE(YEAR($A49),MONTH($A49),1),$A$5:$A$800,"&lt;="&amp;$A49)+IF(AND(YEAR($A49)=YEAR(Settings!$B$3),MONTH($A49)=MONTH(Settings!$B$3)),Settings!$B$6,0))</f>
        <v/>
      </c>
      <c r="U49" s="71">
        <f>IF($A49="","",SUMIFS($J$5:$J$800,$A$5:$A$800,"&gt;="&amp;DATE(YEAR($A49),MONTH($A49),1),$A$5:$A$800,"&lt;="&amp;$A49)+IF(AND(YEAR($A49)=YEAR(Settings!$B$3),MONTH($A49)=MONTH(Settings!$B$3)),Settings!$B$7,0))</f>
        <v/>
      </c>
      <c r="V49" s="70">
        <f>IF($A49="","",Settings!$B$8+SUM($B$5:B49))</f>
        <v/>
      </c>
      <c r="W49" s="71">
        <f>IF($A49="","",Settings!$B$9+SUM($J$5:J49))</f>
        <v/>
      </c>
      <c r="X49" s="71">
        <f>IF($A49="","",IF(AND(N49&gt;0,F49&gt;0),ROUND(F49/N49,0),X48))</f>
        <v/>
      </c>
      <c r="Y49" s="74">
        <f>IF($A49="","",IF(AND(M49&gt;0,L49&gt;0),ROUND(L49/M49,0),IF(AND(J49&gt;0,B49&gt;0),ROUND(B49/J49,0),Y48)))</f>
        <v/>
      </c>
    </row>
    <row r="50">
      <c r="A50" s="67" t="n"/>
      <c r="B50" s="68" t="n"/>
      <c r="C50" s="69" t="n"/>
      <c r="D50" s="68" t="n"/>
      <c r="E50" s="69" t="n"/>
      <c r="F50" s="68" t="n"/>
      <c r="G50" s="69" t="n"/>
      <c r="H50" s="68" t="n"/>
      <c r="I50" s="70">
        <f>IF($A50="","",R49)</f>
        <v/>
      </c>
      <c r="J50" s="71">
        <f>IF($A50="","",IF(C50="",0,C50))</f>
        <v/>
      </c>
      <c r="K50" s="71">
        <f>IF($A50="","",IF(E50="",0,E50))</f>
        <v/>
      </c>
      <c r="L50" s="70">
        <f>IF($A50="","",B50-D50)</f>
        <v/>
      </c>
      <c r="M50" s="71">
        <f>IF($A50="","",J50-K50)</f>
        <v/>
      </c>
      <c r="N50" s="71">
        <f>IF($A50="","",IF(G50="",0,G50))</f>
        <v/>
      </c>
      <c r="O50" s="70">
        <f>IF($A50="","",D50+F50)</f>
        <v/>
      </c>
      <c r="P50" s="71">
        <f>IF($A50="","",K50+N50)</f>
        <v/>
      </c>
      <c r="Q50" s="70">
        <f>IF($A50="","",I50+L50-F50)</f>
        <v/>
      </c>
      <c r="R50" s="72">
        <f>IF($A50="","",IF(H50="",Q50,H50))</f>
        <v/>
      </c>
      <c r="S50" s="73">
        <f>IF($A50="","",R50-Q50)</f>
        <v/>
      </c>
      <c r="T50" s="70">
        <f>IF($A50="","",SUMIFS($B$5:$B$800,$A$5:$A$800,"&gt;="&amp;DATE(YEAR($A50),MONTH($A50),1),$A$5:$A$800,"&lt;="&amp;$A50)+IF(AND(YEAR($A50)=YEAR(Settings!$B$3),MONTH($A50)=MONTH(Settings!$B$3)),Settings!$B$6,0))</f>
        <v/>
      </c>
      <c r="U50" s="71">
        <f>IF($A50="","",SUMIFS($J$5:$J$800,$A$5:$A$800,"&gt;="&amp;DATE(YEAR($A50),MONTH($A50),1),$A$5:$A$800,"&lt;="&amp;$A50)+IF(AND(YEAR($A50)=YEAR(Settings!$B$3),MONTH($A50)=MONTH(Settings!$B$3)),Settings!$B$7,0))</f>
        <v/>
      </c>
      <c r="V50" s="70">
        <f>IF($A50="","",Settings!$B$8+SUM($B$5:B50))</f>
        <v/>
      </c>
      <c r="W50" s="71">
        <f>IF($A50="","",Settings!$B$9+SUM($J$5:J50))</f>
        <v/>
      </c>
      <c r="X50" s="71">
        <f>IF($A50="","",IF(AND(N50&gt;0,F50&gt;0),ROUND(F50/N50,0),X49))</f>
        <v/>
      </c>
      <c r="Y50" s="74">
        <f>IF($A50="","",IF(AND(M50&gt;0,L50&gt;0),ROUND(L50/M50,0),IF(AND(J50&gt;0,B50&gt;0),ROUND(B50/J50,0),Y49)))</f>
        <v/>
      </c>
    </row>
    <row r="51">
      <c r="A51" s="67" t="n"/>
      <c r="B51" s="68" t="n"/>
      <c r="C51" s="69" t="n"/>
      <c r="D51" s="68" t="n"/>
      <c r="E51" s="69" t="n"/>
      <c r="F51" s="68" t="n"/>
      <c r="G51" s="69" t="n"/>
      <c r="H51" s="68" t="n"/>
      <c r="I51" s="70">
        <f>IF($A51="","",R50)</f>
        <v/>
      </c>
      <c r="J51" s="71">
        <f>IF($A51="","",IF(C51="",0,C51))</f>
        <v/>
      </c>
      <c r="K51" s="71">
        <f>IF($A51="","",IF(E51="",0,E51))</f>
        <v/>
      </c>
      <c r="L51" s="70">
        <f>IF($A51="","",B51-D51)</f>
        <v/>
      </c>
      <c r="M51" s="71">
        <f>IF($A51="","",J51-K51)</f>
        <v/>
      </c>
      <c r="N51" s="71">
        <f>IF($A51="","",IF(G51="",0,G51))</f>
        <v/>
      </c>
      <c r="O51" s="70">
        <f>IF($A51="","",D51+F51)</f>
        <v/>
      </c>
      <c r="P51" s="71">
        <f>IF($A51="","",K51+N51)</f>
        <v/>
      </c>
      <c r="Q51" s="70">
        <f>IF($A51="","",I51+L51-F51)</f>
        <v/>
      </c>
      <c r="R51" s="72">
        <f>IF($A51="","",IF(H51="",Q51,H51))</f>
        <v/>
      </c>
      <c r="S51" s="73">
        <f>IF($A51="","",R51-Q51)</f>
        <v/>
      </c>
      <c r="T51" s="70">
        <f>IF($A51="","",SUMIFS($B$5:$B$800,$A$5:$A$800,"&gt;="&amp;DATE(YEAR($A51),MONTH($A51),1),$A$5:$A$800,"&lt;="&amp;$A51)+IF(AND(YEAR($A51)=YEAR(Settings!$B$3),MONTH($A51)=MONTH(Settings!$B$3)),Settings!$B$6,0))</f>
        <v/>
      </c>
      <c r="U51" s="71">
        <f>IF($A51="","",SUMIFS($J$5:$J$800,$A$5:$A$800,"&gt;="&amp;DATE(YEAR($A51),MONTH($A51),1),$A$5:$A$800,"&lt;="&amp;$A51)+IF(AND(YEAR($A51)=YEAR(Settings!$B$3),MONTH($A51)=MONTH(Settings!$B$3)),Settings!$B$7,0))</f>
        <v/>
      </c>
      <c r="V51" s="70">
        <f>IF($A51="","",Settings!$B$8+SUM($B$5:B51))</f>
        <v/>
      </c>
      <c r="W51" s="71">
        <f>IF($A51="","",Settings!$B$9+SUM($J$5:J51))</f>
        <v/>
      </c>
      <c r="X51" s="71">
        <f>IF($A51="","",IF(AND(N51&gt;0,F51&gt;0),ROUND(F51/N51,0),X50))</f>
        <v/>
      </c>
      <c r="Y51" s="74">
        <f>IF($A51="","",IF(AND(M51&gt;0,L51&gt;0),ROUND(L51/M51,0),IF(AND(J51&gt;0,B51&gt;0),ROUND(B51/J51,0),Y50)))</f>
        <v/>
      </c>
    </row>
    <row r="52">
      <c r="A52" s="67" t="n"/>
      <c r="B52" s="68" t="n"/>
      <c r="C52" s="69" t="n"/>
      <c r="D52" s="68" t="n"/>
      <c r="E52" s="69" t="n"/>
      <c r="F52" s="68" t="n"/>
      <c r="G52" s="69" t="n"/>
      <c r="H52" s="68" t="n"/>
      <c r="I52" s="70">
        <f>IF($A52="","",R51)</f>
        <v/>
      </c>
      <c r="J52" s="71">
        <f>IF($A52="","",IF(C52="",0,C52))</f>
        <v/>
      </c>
      <c r="K52" s="71">
        <f>IF($A52="","",IF(E52="",0,E52))</f>
        <v/>
      </c>
      <c r="L52" s="70">
        <f>IF($A52="","",B52-D52)</f>
        <v/>
      </c>
      <c r="M52" s="71">
        <f>IF($A52="","",J52-K52)</f>
        <v/>
      </c>
      <c r="N52" s="71">
        <f>IF($A52="","",IF(G52="",0,G52))</f>
        <v/>
      </c>
      <c r="O52" s="70">
        <f>IF($A52="","",D52+F52)</f>
        <v/>
      </c>
      <c r="P52" s="71">
        <f>IF($A52="","",K52+N52)</f>
        <v/>
      </c>
      <c r="Q52" s="70">
        <f>IF($A52="","",I52+L52-F52)</f>
        <v/>
      </c>
      <c r="R52" s="72">
        <f>IF($A52="","",IF(H52="",Q52,H52))</f>
        <v/>
      </c>
      <c r="S52" s="73">
        <f>IF($A52="","",R52-Q52)</f>
        <v/>
      </c>
      <c r="T52" s="70">
        <f>IF($A52="","",SUMIFS($B$5:$B$800,$A$5:$A$800,"&gt;="&amp;DATE(YEAR($A52),MONTH($A52),1),$A$5:$A$800,"&lt;="&amp;$A52)+IF(AND(YEAR($A52)=YEAR(Settings!$B$3),MONTH($A52)=MONTH(Settings!$B$3)),Settings!$B$6,0))</f>
        <v/>
      </c>
      <c r="U52" s="71">
        <f>IF($A52="","",SUMIFS($J$5:$J$800,$A$5:$A$800,"&gt;="&amp;DATE(YEAR($A52),MONTH($A52),1),$A$5:$A$800,"&lt;="&amp;$A52)+IF(AND(YEAR($A52)=YEAR(Settings!$B$3),MONTH($A52)=MONTH(Settings!$B$3)),Settings!$B$7,0))</f>
        <v/>
      </c>
      <c r="V52" s="70">
        <f>IF($A52="","",Settings!$B$8+SUM($B$5:B52))</f>
        <v/>
      </c>
      <c r="W52" s="71">
        <f>IF($A52="","",Settings!$B$9+SUM($J$5:J52))</f>
        <v/>
      </c>
      <c r="X52" s="71">
        <f>IF($A52="","",IF(AND(N52&gt;0,F52&gt;0),ROUND(F52/N52,0),X51))</f>
        <v/>
      </c>
      <c r="Y52" s="74">
        <f>IF($A52="","",IF(AND(M52&gt;0,L52&gt;0),ROUND(L52/M52,0),IF(AND(J52&gt;0,B52&gt;0),ROUND(B52/J52,0),Y51)))</f>
        <v/>
      </c>
    </row>
    <row r="53">
      <c r="A53" s="67" t="n"/>
      <c r="B53" s="68" t="n"/>
      <c r="C53" s="69" t="n"/>
      <c r="D53" s="68" t="n"/>
      <c r="E53" s="69" t="n"/>
      <c r="F53" s="68" t="n"/>
      <c r="G53" s="69" t="n"/>
      <c r="H53" s="68" t="n"/>
      <c r="I53" s="70">
        <f>IF($A53="","",R52)</f>
        <v/>
      </c>
      <c r="J53" s="71">
        <f>IF($A53="","",IF(C53="",0,C53))</f>
        <v/>
      </c>
      <c r="K53" s="71">
        <f>IF($A53="","",IF(E53="",0,E53))</f>
        <v/>
      </c>
      <c r="L53" s="70">
        <f>IF($A53="","",B53-D53)</f>
        <v/>
      </c>
      <c r="M53" s="71">
        <f>IF($A53="","",J53-K53)</f>
        <v/>
      </c>
      <c r="N53" s="71">
        <f>IF($A53="","",IF(G53="",0,G53))</f>
        <v/>
      </c>
      <c r="O53" s="70">
        <f>IF($A53="","",D53+F53)</f>
        <v/>
      </c>
      <c r="P53" s="71">
        <f>IF($A53="","",K53+N53)</f>
        <v/>
      </c>
      <c r="Q53" s="70">
        <f>IF($A53="","",I53+L53-F53)</f>
        <v/>
      </c>
      <c r="R53" s="72">
        <f>IF($A53="","",IF(H53="",Q53,H53))</f>
        <v/>
      </c>
      <c r="S53" s="73">
        <f>IF($A53="","",R53-Q53)</f>
        <v/>
      </c>
      <c r="T53" s="70">
        <f>IF($A53="","",SUMIFS($B$5:$B$800,$A$5:$A$800,"&gt;="&amp;DATE(YEAR($A53),MONTH($A53),1),$A$5:$A$800,"&lt;="&amp;$A53)+IF(AND(YEAR($A53)=YEAR(Settings!$B$3),MONTH($A53)=MONTH(Settings!$B$3)),Settings!$B$6,0))</f>
        <v/>
      </c>
      <c r="U53" s="71">
        <f>IF($A53="","",SUMIFS($J$5:$J$800,$A$5:$A$800,"&gt;="&amp;DATE(YEAR($A53),MONTH($A53),1),$A$5:$A$800,"&lt;="&amp;$A53)+IF(AND(YEAR($A53)=YEAR(Settings!$B$3),MONTH($A53)=MONTH(Settings!$B$3)),Settings!$B$7,0))</f>
        <v/>
      </c>
      <c r="V53" s="70">
        <f>IF($A53="","",Settings!$B$8+SUM($B$5:B53))</f>
        <v/>
      </c>
      <c r="W53" s="71">
        <f>IF($A53="","",Settings!$B$9+SUM($J$5:J53))</f>
        <v/>
      </c>
      <c r="X53" s="71">
        <f>IF($A53="","",IF(AND(N53&gt;0,F53&gt;0),ROUND(F53/N53,0),X52))</f>
        <v/>
      </c>
      <c r="Y53" s="74">
        <f>IF($A53="","",IF(AND(M53&gt;0,L53&gt;0),ROUND(L53/M53,0),IF(AND(J53&gt;0,B53&gt;0),ROUND(B53/J53,0),Y52)))</f>
        <v/>
      </c>
    </row>
    <row r="54">
      <c r="A54" s="67" t="n"/>
      <c r="B54" s="68" t="n"/>
      <c r="C54" s="69" t="n"/>
      <c r="D54" s="68" t="n"/>
      <c r="E54" s="69" t="n"/>
      <c r="F54" s="68" t="n"/>
      <c r="G54" s="69" t="n"/>
      <c r="H54" s="68" t="n"/>
      <c r="I54" s="70">
        <f>IF($A54="","",R53)</f>
        <v/>
      </c>
      <c r="J54" s="71">
        <f>IF($A54="","",IF(C54="",0,C54))</f>
        <v/>
      </c>
      <c r="K54" s="71">
        <f>IF($A54="","",IF(E54="",0,E54))</f>
        <v/>
      </c>
      <c r="L54" s="70">
        <f>IF($A54="","",B54-D54)</f>
        <v/>
      </c>
      <c r="M54" s="71">
        <f>IF($A54="","",J54-K54)</f>
        <v/>
      </c>
      <c r="N54" s="71">
        <f>IF($A54="","",IF(G54="",0,G54))</f>
        <v/>
      </c>
      <c r="O54" s="70">
        <f>IF($A54="","",D54+F54)</f>
        <v/>
      </c>
      <c r="P54" s="71">
        <f>IF($A54="","",K54+N54)</f>
        <v/>
      </c>
      <c r="Q54" s="70">
        <f>IF($A54="","",I54+L54-F54)</f>
        <v/>
      </c>
      <c r="R54" s="72">
        <f>IF($A54="","",IF(H54="",Q54,H54))</f>
        <v/>
      </c>
      <c r="S54" s="73">
        <f>IF($A54="","",R54-Q54)</f>
        <v/>
      </c>
      <c r="T54" s="70">
        <f>IF($A54="","",SUMIFS($B$5:$B$800,$A$5:$A$800,"&gt;="&amp;DATE(YEAR($A54),MONTH($A54),1),$A$5:$A$800,"&lt;="&amp;$A54)+IF(AND(YEAR($A54)=YEAR(Settings!$B$3),MONTH($A54)=MONTH(Settings!$B$3)),Settings!$B$6,0))</f>
        <v/>
      </c>
      <c r="U54" s="71">
        <f>IF($A54="","",SUMIFS($J$5:$J$800,$A$5:$A$800,"&gt;="&amp;DATE(YEAR($A54),MONTH($A54),1),$A$5:$A$800,"&lt;="&amp;$A54)+IF(AND(YEAR($A54)=YEAR(Settings!$B$3),MONTH($A54)=MONTH(Settings!$B$3)),Settings!$B$7,0))</f>
        <v/>
      </c>
      <c r="V54" s="70">
        <f>IF($A54="","",Settings!$B$8+SUM($B$5:B54))</f>
        <v/>
      </c>
      <c r="W54" s="71">
        <f>IF($A54="","",Settings!$B$9+SUM($J$5:J54))</f>
        <v/>
      </c>
      <c r="X54" s="71">
        <f>IF($A54="","",IF(AND(N54&gt;0,F54&gt;0),ROUND(F54/N54,0),X53))</f>
        <v/>
      </c>
      <c r="Y54" s="74">
        <f>IF($A54="","",IF(AND(M54&gt;0,L54&gt;0),ROUND(L54/M54,0),IF(AND(J54&gt;0,B54&gt;0),ROUND(B54/J54,0),Y53)))</f>
        <v/>
      </c>
    </row>
    <row r="55">
      <c r="A55" s="67" t="n"/>
      <c r="B55" s="68" t="n"/>
      <c r="C55" s="69" t="n"/>
      <c r="D55" s="68" t="n"/>
      <c r="E55" s="69" t="n"/>
      <c r="F55" s="68" t="n"/>
      <c r="G55" s="69" t="n"/>
      <c r="H55" s="68" t="n"/>
      <c r="I55" s="70">
        <f>IF($A55="","",R54)</f>
        <v/>
      </c>
      <c r="J55" s="71">
        <f>IF($A55="","",IF(C55="",0,C55))</f>
        <v/>
      </c>
      <c r="K55" s="71">
        <f>IF($A55="","",IF(E55="",0,E55))</f>
        <v/>
      </c>
      <c r="L55" s="70">
        <f>IF($A55="","",B55-D55)</f>
        <v/>
      </c>
      <c r="M55" s="71">
        <f>IF($A55="","",J55-K55)</f>
        <v/>
      </c>
      <c r="N55" s="71">
        <f>IF($A55="","",IF(G55="",0,G55))</f>
        <v/>
      </c>
      <c r="O55" s="70">
        <f>IF($A55="","",D55+F55)</f>
        <v/>
      </c>
      <c r="P55" s="71">
        <f>IF($A55="","",K55+N55)</f>
        <v/>
      </c>
      <c r="Q55" s="70">
        <f>IF($A55="","",I55+L55-F55)</f>
        <v/>
      </c>
      <c r="R55" s="72">
        <f>IF($A55="","",IF(H55="",Q55,H55))</f>
        <v/>
      </c>
      <c r="S55" s="73">
        <f>IF($A55="","",R55-Q55)</f>
        <v/>
      </c>
      <c r="T55" s="70">
        <f>IF($A55="","",SUMIFS($B$5:$B$800,$A$5:$A$800,"&gt;="&amp;DATE(YEAR($A55),MONTH($A55),1),$A$5:$A$800,"&lt;="&amp;$A55)+IF(AND(YEAR($A55)=YEAR(Settings!$B$3),MONTH($A55)=MONTH(Settings!$B$3)),Settings!$B$6,0))</f>
        <v/>
      </c>
      <c r="U55" s="71">
        <f>IF($A55="","",SUMIFS($J$5:$J$800,$A$5:$A$800,"&gt;="&amp;DATE(YEAR($A55),MONTH($A55),1),$A$5:$A$800,"&lt;="&amp;$A55)+IF(AND(YEAR($A55)=YEAR(Settings!$B$3),MONTH($A55)=MONTH(Settings!$B$3)),Settings!$B$7,0))</f>
        <v/>
      </c>
      <c r="V55" s="70">
        <f>IF($A55="","",Settings!$B$8+SUM($B$5:B55))</f>
        <v/>
      </c>
      <c r="W55" s="71">
        <f>IF($A55="","",Settings!$B$9+SUM($J$5:J55))</f>
        <v/>
      </c>
      <c r="X55" s="71">
        <f>IF($A55="","",IF(AND(N55&gt;0,F55&gt;0),ROUND(F55/N55,0),X54))</f>
        <v/>
      </c>
      <c r="Y55" s="74">
        <f>IF($A55="","",IF(AND(M55&gt;0,L55&gt;0),ROUND(L55/M55,0),IF(AND(J55&gt;0,B55&gt;0),ROUND(B55/J55,0),Y54)))</f>
        <v/>
      </c>
    </row>
    <row r="56">
      <c r="A56" s="67" t="n"/>
      <c r="B56" s="68" t="n"/>
      <c r="C56" s="69" t="n"/>
      <c r="D56" s="68" t="n"/>
      <c r="E56" s="69" t="n"/>
      <c r="F56" s="68" t="n"/>
      <c r="G56" s="69" t="n"/>
      <c r="H56" s="68" t="n"/>
      <c r="I56" s="70">
        <f>IF($A56="","",R55)</f>
        <v/>
      </c>
      <c r="J56" s="71">
        <f>IF($A56="","",IF(C56="",0,C56))</f>
        <v/>
      </c>
      <c r="K56" s="71">
        <f>IF($A56="","",IF(E56="",0,E56))</f>
        <v/>
      </c>
      <c r="L56" s="70">
        <f>IF($A56="","",B56-D56)</f>
        <v/>
      </c>
      <c r="M56" s="71">
        <f>IF($A56="","",J56-K56)</f>
        <v/>
      </c>
      <c r="N56" s="71">
        <f>IF($A56="","",IF(G56="",0,G56))</f>
        <v/>
      </c>
      <c r="O56" s="70">
        <f>IF($A56="","",D56+F56)</f>
        <v/>
      </c>
      <c r="P56" s="71">
        <f>IF($A56="","",K56+N56)</f>
        <v/>
      </c>
      <c r="Q56" s="70">
        <f>IF($A56="","",I56+L56-F56)</f>
        <v/>
      </c>
      <c r="R56" s="72">
        <f>IF($A56="","",IF(H56="",Q56,H56))</f>
        <v/>
      </c>
      <c r="S56" s="73">
        <f>IF($A56="","",R56-Q56)</f>
        <v/>
      </c>
      <c r="T56" s="70">
        <f>IF($A56="","",SUMIFS($B$5:$B$800,$A$5:$A$800,"&gt;="&amp;DATE(YEAR($A56),MONTH($A56),1),$A$5:$A$800,"&lt;="&amp;$A56)+IF(AND(YEAR($A56)=YEAR(Settings!$B$3),MONTH($A56)=MONTH(Settings!$B$3)),Settings!$B$6,0))</f>
        <v/>
      </c>
      <c r="U56" s="71">
        <f>IF($A56="","",SUMIFS($J$5:$J$800,$A$5:$A$800,"&gt;="&amp;DATE(YEAR($A56),MONTH($A56),1),$A$5:$A$800,"&lt;="&amp;$A56)+IF(AND(YEAR($A56)=YEAR(Settings!$B$3),MONTH($A56)=MONTH(Settings!$B$3)),Settings!$B$7,0))</f>
        <v/>
      </c>
      <c r="V56" s="70">
        <f>IF($A56="","",Settings!$B$8+SUM($B$5:B56))</f>
        <v/>
      </c>
      <c r="W56" s="71">
        <f>IF($A56="","",Settings!$B$9+SUM($J$5:J56))</f>
        <v/>
      </c>
      <c r="X56" s="71">
        <f>IF($A56="","",IF(AND(N56&gt;0,F56&gt;0),ROUND(F56/N56,0),X55))</f>
        <v/>
      </c>
      <c r="Y56" s="74">
        <f>IF($A56="","",IF(AND(M56&gt;0,L56&gt;0),ROUND(L56/M56,0),IF(AND(J56&gt;0,B56&gt;0),ROUND(B56/J56,0),Y55)))</f>
        <v/>
      </c>
    </row>
    <row r="57">
      <c r="A57" s="67" t="n"/>
      <c r="B57" s="68" t="n"/>
      <c r="C57" s="69" t="n"/>
      <c r="D57" s="68" t="n"/>
      <c r="E57" s="69" t="n"/>
      <c r="F57" s="68" t="n"/>
      <c r="G57" s="69" t="n"/>
      <c r="H57" s="68" t="n"/>
      <c r="I57" s="70">
        <f>IF($A57="","",R56)</f>
        <v/>
      </c>
      <c r="J57" s="71">
        <f>IF($A57="","",IF(C57="",0,C57))</f>
        <v/>
      </c>
      <c r="K57" s="71">
        <f>IF($A57="","",IF(E57="",0,E57))</f>
        <v/>
      </c>
      <c r="L57" s="70">
        <f>IF($A57="","",B57-D57)</f>
        <v/>
      </c>
      <c r="M57" s="71">
        <f>IF($A57="","",J57-K57)</f>
        <v/>
      </c>
      <c r="N57" s="71">
        <f>IF($A57="","",IF(G57="",0,G57))</f>
        <v/>
      </c>
      <c r="O57" s="70">
        <f>IF($A57="","",D57+F57)</f>
        <v/>
      </c>
      <c r="P57" s="71">
        <f>IF($A57="","",K57+N57)</f>
        <v/>
      </c>
      <c r="Q57" s="70">
        <f>IF($A57="","",I57+L57-F57)</f>
        <v/>
      </c>
      <c r="R57" s="72">
        <f>IF($A57="","",IF(H57="",Q57,H57))</f>
        <v/>
      </c>
      <c r="S57" s="73">
        <f>IF($A57="","",R57-Q57)</f>
        <v/>
      </c>
      <c r="T57" s="70">
        <f>IF($A57="","",SUMIFS($B$5:$B$800,$A$5:$A$800,"&gt;="&amp;DATE(YEAR($A57),MONTH($A57),1),$A$5:$A$800,"&lt;="&amp;$A57)+IF(AND(YEAR($A57)=YEAR(Settings!$B$3),MONTH($A57)=MONTH(Settings!$B$3)),Settings!$B$6,0))</f>
        <v/>
      </c>
      <c r="U57" s="71">
        <f>IF($A57="","",SUMIFS($J$5:$J$800,$A$5:$A$800,"&gt;="&amp;DATE(YEAR($A57),MONTH($A57),1),$A$5:$A$800,"&lt;="&amp;$A57)+IF(AND(YEAR($A57)=YEAR(Settings!$B$3),MONTH($A57)=MONTH(Settings!$B$3)),Settings!$B$7,0))</f>
        <v/>
      </c>
      <c r="V57" s="70">
        <f>IF($A57="","",Settings!$B$8+SUM($B$5:B57))</f>
        <v/>
      </c>
      <c r="W57" s="71">
        <f>IF($A57="","",Settings!$B$9+SUM($J$5:J57))</f>
        <v/>
      </c>
      <c r="X57" s="71">
        <f>IF($A57="","",IF(AND(N57&gt;0,F57&gt;0),ROUND(F57/N57,0),X56))</f>
        <v/>
      </c>
      <c r="Y57" s="74">
        <f>IF($A57="","",IF(AND(M57&gt;0,L57&gt;0),ROUND(L57/M57,0),IF(AND(J57&gt;0,B57&gt;0),ROUND(B57/J57,0),Y56)))</f>
        <v/>
      </c>
    </row>
    <row r="58">
      <c r="A58" s="67" t="n"/>
      <c r="B58" s="68" t="n"/>
      <c r="C58" s="69" t="n"/>
      <c r="D58" s="68" t="n"/>
      <c r="E58" s="69" t="n"/>
      <c r="F58" s="68" t="n"/>
      <c r="G58" s="69" t="n"/>
      <c r="H58" s="68" t="n"/>
      <c r="I58" s="70">
        <f>IF($A58="","",R57)</f>
        <v/>
      </c>
      <c r="J58" s="71">
        <f>IF($A58="","",IF(C58="",0,C58))</f>
        <v/>
      </c>
      <c r="K58" s="71">
        <f>IF($A58="","",IF(E58="",0,E58))</f>
        <v/>
      </c>
      <c r="L58" s="70">
        <f>IF($A58="","",B58-D58)</f>
        <v/>
      </c>
      <c r="M58" s="71">
        <f>IF($A58="","",J58-K58)</f>
        <v/>
      </c>
      <c r="N58" s="71">
        <f>IF($A58="","",IF(G58="",0,G58))</f>
        <v/>
      </c>
      <c r="O58" s="70">
        <f>IF($A58="","",D58+F58)</f>
        <v/>
      </c>
      <c r="P58" s="71">
        <f>IF($A58="","",K58+N58)</f>
        <v/>
      </c>
      <c r="Q58" s="70">
        <f>IF($A58="","",I58+L58-F58)</f>
        <v/>
      </c>
      <c r="R58" s="72">
        <f>IF($A58="","",IF(H58="",Q58,H58))</f>
        <v/>
      </c>
      <c r="S58" s="73">
        <f>IF($A58="","",R58-Q58)</f>
        <v/>
      </c>
      <c r="T58" s="70">
        <f>IF($A58="","",SUMIFS($B$5:$B$800,$A$5:$A$800,"&gt;="&amp;DATE(YEAR($A58),MONTH($A58),1),$A$5:$A$800,"&lt;="&amp;$A58)+IF(AND(YEAR($A58)=YEAR(Settings!$B$3),MONTH($A58)=MONTH(Settings!$B$3)),Settings!$B$6,0))</f>
        <v/>
      </c>
      <c r="U58" s="71">
        <f>IF($A58="","",SUMIFS($J$5:$J$800,$A$5:$A$800,"&gt;="&amp;DATE(YEAR($A58),MONTH($A58),1),$A$5:$A$800,"&lt;="&amp;$A58)+IF(AND(YEAR($A58)=YEAR(Settings!$B$3),MONTH($A58)=MONTH(Settings!$B$3)),Settings!$B$7,0))</f>
        <v/>
      </c>
      <c r="V58" s="70">
        <f>IF($A58="","",Settings!$B$8+SUM($B$5:B58))</f>
        <v/>
      </c>
      <c r="W58" s="71">
        <f>IF($A58="","",Settings!$B$9+SUM($J$5:J58))</f>
        <v/>
      </c>
      <c r="X58" s="71">
        <f>IF($A58="","",IF(AND(N58&gt;0,F58&gt;0),ROUND(F58/N58,0),X57))</f>
        <v/>
      </c>
      <c r="Y58" s="74">
        <f>IF($A58="","",IF(AND(M58&gt;0,L58&gt;0),ROUND(L58/M58,0),IF(AND(J58&gt;0,B58&gt;0),ROUND(B58/J58,0),Y57)))</f>
        <v/>
      </c>
    </row>
    <row r="59">
      <c r="A59" s="67" t="n"/>
      <c r="B59" s="68" t="n"/>
      <c r="C59" s="69" t="n"/>
      <c r="D59" s="68" t="n"/>
      <c r="E59" s="69" t="n"/>
      <c r="F59" s="68" t="n"/>
      <c r="G59" s="69" t="n"/>
      <c r="H59" s="68" t="n"/>
      <c r="I59" s="70">
        <f>IF($A59="","",R58)</f>
        <v/>
      </c>
      <c r="J59" s="71">
        <f>IF($A59="","",IF(C59="",0,C59))</f>
        <v/>
      </c>
      <c r="K59" s="71">
        <f>IF($A59="","",IF(E59="",0,E59))</f>
        <v/>
      </c>
      <c r="L59" s="70">
        <f>IF($A59="","",B59-D59)</f>
        <v/>
      </c>
      <c r="M59" s="71">
        <f>IF($A59="","",J59-K59)</f>
        <v/>
      </c>
      <c r="N59" s="71">
        <f>IF($A59="","",IF(G59="",0,G59))</f>
        <v/>
      </c>
      <c r="O59" s="70">
        <f>IF($A59="","",D59+F59)</f>
        <v/>
      </c>
      <c r="P59" s="71">
        <f>IF($A59="","",K59+N59)</f>
        <v/>
      </c>
      <c r="Q59" s="70">
        <f>IF($A59="","",I59+L59-F59)</f>
        <v/>
      </c>
      <c r="R59" s="72">
        <f>IF($A59="","",IF(H59="",Q59,H59))</f>
        <v/>
      </c>
      <c r="S59" s="73">
        <f>IF($A59="","",R59-Q59)</f>
        <v/>
      </c>
      <c r="T59" s="70">
        <f>IF($A59="","",SUMIFS($B$5:$B$800,$A$5:$A$800,"&gt;="&amp;DATE(YEAR($A59),MONTH($A59),1),$A$5:$A$800,"&lt;="&amp;$A59)+IF(AND(YEAR($A59)=YEAR(Settings!$B$3),MONTH($A59)=MONTH(Settings!$B$3)),Settings!$B$6,0))</f>
        <v/>
      </c>
      <c r="U59" s="71">
        <f>IF($A59="","",SUMIFS($J$5:$J$800,$A$5:$A$800,"&gt;="&amp;DATE(YEAR($A59),MONTH($A59),1),$A$5:$A$800,"&lt;="&amp;$A59)+IF(AND(YEAR($A59)=YEAR(Settings!$B$3),MONTH($A59)=MONTH(Settings!$B$3)),Settings!$B$7,0))</f>
        <v/>
      </c>
      <c r="V59" s="70">
        <f>IF($A59="","",Settings!$B$8+SUM($B$5:B59))</f>
        <v/>
      </c>
      <c r="W59" s="71">
        <f>IF($A59="","",Settings!$B$9+SUM($J$5:J59))</f>
        <v/>
      </c>
      <c r="X59" s="71">
        <f>IF($A59="","",IF(AND(N59&gt;0,F59&gt;0),ROUND(F59/N59,0),X58))</f>
        <v/>
      </c>
      <c r="Y59" s="74">
        <f>IF($A59="","",IF(AND(M59&gt;0,L59&gt;0),ROUND(L59/M59,0),IF(AND(J59&gt;0,B59&gt;0),ROUND(B59/J59,0),Y58)))</f>
        <v/>
      </c>
    </row>
    <row r="60">
      <c r="A60" s="67" t="n"/>
      <c r="B60" s="68" t="n"/>
      <c r="C60" s="69" t="n"/>
      <c r="D60" s="68" t="n"/>
      <c r="E60" s="69" t="n"/>
      <c r="F60" s="68" t="n"/>
      <c r="G60" s="69" t="n"/>
      <c r="H60" s="68" t="n"/>
      <c r="I60" s="70">
        <f>IF($A60="","",R59)</f>
        <v/>
      </c>
      <c r="J60" s="71">
        <f>IF($A60="","",IF(C60="",0,C60))</f>
        <v/>
      </c>
      <c r="K60" s="71">
        <f>IF($A60="","",IF(E60="",0,E60))</f>
        <v/>
      </c>
      <c r="L60" s="70">
        <f>IF($A60="","",B60-D60)</f>
        <v/>
      </c>
      <c r="M60" s="71">
        <f>IF($A60="","",J60-K60)</f>
        <v/>
      </c>
      <c r="N60" s="71">
        <f>IF($A60="","",IF(G60="",0,G60))</f>
        <v/>
      </c>
      <c r="O60" s="70">
        <f>IF($A60="","",D60+F60)</f>
        <v/>
      </c>
      <c r="P60" s="71">
        <f>IF($A60="","",K60+N60)</f>
        <v/>
      </c>
      <c r="Q60" s="70">
        <f>IF($A60="","",I60+L60-F60)</f>
        <v/>
      </c>
      <c r="R60" s="72">
        <f>IF($A60="","",IF(H60="",Q60,H60))</f>
        <v/>
      </c>
      <c r="S60" s="73">
        <f>IF($A60="","",R60-Q60)</f>
        <v/>
      </c>
      <c r="T60" s="70">
        <f>IF($A60="","",SUMIFS($B$5:$B$800,$A$5:$A$800,"&gt;="&amp;DATE(YEAR($A60),MONTH($A60),1),$A$5:$A$800,"&lt;="&amp;$A60)+IF(AND(YEAR($A60)=YEAR(Settings!$B$3),MONTH($A60)=MONTH(Settings!$B$3)),Settings!$B$6,0))</f>
        <v/>
      </c>
      <c r="U60" s="71">
        <f>IF($A60="","",SUMIFS($J$5:$J$800,$A$5:$A$800,"&gt;="&amp;DATE(YEAR($A60),MONTH($A60),1),$A$5:$A$800,"&lt;="&amp;$A60)+IF(AND(YEAR($A60)=YEAR(Settings!$B$3),MONTH($A60)=MONTH(Settings!$B$3)),Settings!$B$7,0))</f>
        <v/>
      </c>
      <c r="V60" s="70">
        <f>IF($A60="","",Settings!$B$8+SUM($B$5:B60))</f>
        <v/>
      </c>
      <c r="W60" s="71">
        <f>IF($A60="","",Settings!$B$9+SUM($J$5:J60))</f>
        <v/>
      </c>
      <c r="X60" s="71">
        <f>IF($A60="","",IF(AND(N60&gt;0,F60&gt;0),ROUND(F60/N60,0),X59))</f>
        <v/>
      </c>
      <c r="Y60" s="74">
        <f>IF($A60="","",IF(AND(M60&gt;0,L60&gt;0),ROUND(L60/M60,0),IF(AND(J60&gt;0,B60&gt;0),ROUND(B60/J60,0),Y59)))</f>
        <v/>
      </c>
    </row>
    <row r="61">
      <c r="A61" s="67" t="n"/>
      <c r="B61" s="68" t="n"/>
      <c r="C61" s="69" t="n"/>
      <c r="D61" s="68" t="n"/>
      <c r="E61" s="69" t="n"/>
      <c r="F61" s="68" t="n"/>
      <c r="G61" s="69" t="n"/>
      <c r="H61" s="68" t="n"/>
      <c r="I61" s="70">
        <f>IF($A61="","",R60)</f>
        <v/>
      </c>
      <c r="J61" s="71">
        <f>IF($A61="","",IF(C61="",0,C61))</f>
        <v/>
      </c>
      <c r="K61" s="71">
        <f>IF($A61="","",IF(E61="",0,E61))</f>
        <v/>
      </c>
      <c r="L61" s="70">
        <f>IF($A61="","",B61-D61)</f>
        <v/>
      </c>
      <c r="M61" s="71">
        <f>IF($A61="","",J61-K61)</f>
        <v/>
      </c>
      <c r="N61" s="71">
        <f>IF($A61="","",IF(G61="",0,G61))</f>
        <v/>
      </c>
      <c r="O61" s="70">
        <f>IF($A61="","",D61+F61)</f>
        <v/>
      </c>
      <c r="P61" s="71">
        <f>IF($A61="","",K61+N61)</f>
        <v/>
      </c>
      <c r="Q61" s="70">
        <f>IF($A61="","",I61+L61-F61)</f>
        <v/>
      </c>
      <c r="R61" s="72">
        <f>IF($A61="","",IF(H61="",Q61,H61))</f>
        <v/>
      </c>
      <c r="S61" s="73">
        <f>IF($A61="","",R61-Q61)</f>
        <v/>
      </c>
      <c r="T61" s="70">
        <f>IF($A61="","",SUMIFS($B$5:$B$800,$A$5:$A$800,"&gt;="&amp;DATE(YEAR($A61),MONTH($A61),1),$A$5:$A$800,"&lt;="&amp;$A61)+IF(AND(YEAR($A61)=YEAR(Settings!$B$3),MONTH($A61)=MONTH(Settings!$B$3)),Settings!$B$6,0))</f>
        <v/>
      </c>
      <c r="U61" s="71">
        <f>IF($A61="","",SUMIFS($J$5:$J$800,$A$5:$A$800,"&gt;="&amp;DATE(YEAR($A61),MONTH($A61),1),$A$5:$A$800,"&lt;="&amp;$A61)+IF(AND(YEAR($A61)=YEAR(Settings!$B$3),MONTH($A61)=MONTH(Settings!$B$3)),Settings!$B$7,0))</f>
        <v/>
      </c>
      <c r="V61" s="70">
        <f>IF($A61="","",Settings!$B$8+SUM($B$5:B61))</f>
        <v/>
      </c>
      <c r="W61" s="71">
        <f>IF($A61="","",Settings!$B$9+SUM($J$5:J61))</f>
        <v/>
      </c>
      <c r="X61" s="71">
        <f>IF($A61="","",IF(AND(N61&gt;0,F61&gt;0),ROUND(F61/N61,0),X60))</f>
        <v/>
      </c>
      <c r="Y61" s="74">
        <f>IF($A61="","",IF(AND(M61&gt;0,L61&gt;0),ROUND(L61/M61,0),IF(AND(J61&gt;0,B61&gt;0),ROUND(B61/J61,0),Y60)))</f>
        <v/>
      </c>
    </row>
    <row r="62">
      <c r="A62" s="67" t="n"/>
      <c r="B62" s="68" t="n"/>
      <c r="C62" s="69" t="n"/>
      <c r="D62" s="68" t="n"/>
      <c r="E62" s="69" t="n"/>
      <c r="F62" s="68" t="n"/>
      <c r="G62" s="69" t="n"/>
      <c r="H62" s="68" t="n"/>
      <c r="I62" s="70">
        <f>IF($A62="","",R61)</f>
        <v/>
      </c>
      <c r="J62" s="71">
        <f>IF($A62="","",IF(C62="",0,C62))</f>
        <v/>
      </c>
      <c r="K62" s="71">
        <f>IF($A62="","",IF(E62="",0,E62))</f>
        <v/>
      </c>
      <c r="L62" s="70">
        <f>IF($A62="","",B62-D62)</f>
        <v/>
      </c>
      <c r="M62" s="71">
        <f>IF($A62="","",J62-K62)</f>
        <v/>
      </c>
      <c r="N62" s="71">
        <f>IF($A62="","",IF(G62="",0,G62))</f>
        <v/>
      </c>
      <c r="O62" s="70">
        <f>IF($A62="","",D62+F62)</f>
        <v/>
      </c>
      <c r="P62" s="71">
        <f>IF($A62="","",K62+N62)</f>
        <v/>
      </c>
      <c r="Q62" s="70">
        <f>IF($A62="","",I62+L62-F62)</f>
        <v/>
      </c>
      <c r="R62" s="72">
        <f>IF($A62="","",IF(H62="",Q62,H62))</f>
        <v/>
      </c>
      <c r="S62" s="73">
        <f>IF($A62="","",R62-Q62)</f>
        <v/>
      </c>
      <c r="T62" s="70">
        <f>IF($A62="","",SUMIFS($B$5:$B$800,$A$5:$A$800,"&gt;="&amp;DATE(YEAR($A62),MONTH($A62),1),$A$5:$A$800,"&lt;="&amp;$A62)+IF(AND(YEAR($A62)=YEAR(Settings!$B$3),MONTH($A62)=MONTH(Settings!$B$3)),Settings!$B$6,0))</f>
        <v/>
      </c>
      <c r="U62" s="71">
        <f>IF($A62="","",SUMIFS($J$5:$J$800,$A$5:$A$800,"&gt;="&amp;DATE(YEAR($A62),MONTH($A62),1),$A$5:$A$800,"&lt;="&amp;$A62)+IF(AND(YEAR($A62)=YEAR(Settings!$B$3),MONTH($A62)=MONTH(Settings!$B$3)),Settings!$B$7,0))</f>
        <v/>
      </c>
      <c r="V62" s="70">
        <f>IF($A62="","",Settings!$B$8+SUM($B$5:B62))</f>
        <v/>
      </c>
      <c r="W62" s="71">
        <f>IF($A62="","",Settings!$B$9+SUM($J$5:J62))</f>
        <v/>
      </c>
      <c r="X62" s="71">
        <f>IF($A62="","",IF(AND(N62&gt;0,F62&gt;0),ROUND(F62/N62,0),X61))</f>
        <v/>
      </c>
      <c r="Y62" s="74">
        <f>IF($A62="","",IF(AND(M62&gt;0,L62&gt;0),ROUND(L62/M62,0),IF(AND(J62&gt;0,B62&gt;0),ROUND(B62/J62,0),Y61)))</f>
        <v/>
      </c>
    </row>
    <row r="63">
      <c r="A63" s="67" t="n"/>
      <c r="B63" s="68" t="n"/>
      <c r="C63" s="69" t="n"/>
      <c r="D63" s="68" t="n"/>
      <c r="E63" s="69" t="n"/>
      <c r="F63" s="68" t="n"/>
      <c r="G63" s="69" t="n"/>
      <c r="H63" s="68" t="n"/>
      <c r="I63" s="70">
        <f>IF($A63="","",R62)</f>
        <v/>
      </c>
      <c r="J63" s="71">
        <f>IF($A63="","",IF(C63="",0,C63))</f>
        <v/>
      </c>
      <c r="K63" s="71">
        <f>IF($A63="","",IF(E63="",0,E63))</f>
        <v/>
      </c>
      <c r="L63" s="70">
        <f>IF($A63="","",B63-D63)</f>
        <v/>
      </c>
      <c r="M63" s="71">
        <f>IF($A63="","",J63-K63)</f>
        <v/>
      </c>
      <c r="N63" s="71">
        <f>IF($A63="","",IF(G63="",0,G63))</f>
        <v/>
      </c>
      <c r="O63" s="70">
        <f>IF($A63="","",D63+F63)</f>
        <v/>
      </c>
      <c r="P63" s="71">
        <f>IF($A63="","",K63+N63)</f>
        <v/>
      </c>
      <c r="Q63" s="70">
        <f>IF($A63="","",I63+L63-F63)</f>
        <v/>
      </c>
      <c r="R63" s="72">
        <f>IF($A63="","",IF(H63="",Q63,H63))</f>
        <v/>
      </c>
      <c r="S63" s="73">
        <f>IF($A63="","",R63-Q63)</f>
        <v/>
      </c>
      <c r="T63" s="70">
        <f>IF($A63="","",SUMIFS($B$5:$B$800,$A$5:$A$800,"&gt;="&amp;DATE(YEAR($A63),MONTH($A63),1),$A$5:$A$800,"&lt;="&amp;$A63)+IF(AND(YEAR($A63)=YEAR(Settings!$B$3),MONTH($A63)=MONTH(Settings!$B$3)),Settings!$B$6,0))</f>
        <v/>
      </c>
      <c r="U63" s="71">
        <f>IF($A63="","",SUMIFS($J$5:$J$800,$A$5:$A$800,"&gt;="&amp;DATE(YEAR($A63),MONTH($A63),1),$A$5:$A$800,"&lt;="&amp;$A63)+IF(AND(YEAR($A63)=YEAR(Settings!$B$3),MONTH($A63)=MONTH(Settings!$B$3)),Settings!$B$7,0))</f>
        <v/>
      </c>
      <c r="V63" s="70">
        <f>IF($A63="","",Settings!$B$8+SUM($B$5:B63))</f>
        <v/>
      </c>
      <c r="W63" s="71">
        <f>IF($A63="","",Settings!$B$9+SUM($J$5:J63))</f>
        <v/>
      </c>
      <c r="X63" s="71">
        <f>IF($A63="","",IF(AND(N63&gt;0,F63&gt;0),ROUND(F63/N63,0),X62))</f>
        <v/>
      </c>
      <c r="Y63" s="74">
        <f>IF($A63="","",IF(AND(M63&gt;0,L63&gt;0),ROUND(L63/M63,0),IF(AND(J63&gt;0,B63&gt;0),ROUND(B63/J63,0),Y62)))</f>
        <v/>
      </c>
    </row>
    <row r="64">
      <c r="A64" s="67" t="n"/>
      <c r="B64" s="68" t="n"/>
      <c r="C64" s="69" t="n"/>
      <c r="D64" s="68" t="n"/>
      <c r="E64" s="69" t="n"/>
      <c r="F64" s="68" t="n"/>
      <c r="G64" s="69" t="n"/>
      <c r="H64" s="68" t="n"/>
      <c r="I64" s="70">
        <f>IF($A64="","",R63)</f>
        <v/>
      </c>
      <c r="J64" s="71">
        <f>IF($A64="","",IF(C64="",0,C64))</f>
        <v/>
      </c>
      <c r="K64" s="71">
        <f>IF($A64="","",IF(E64="",0,E64))</f>
        <v/>
      </c>
      <c r="L64" s="70">
        <f>IF($A64="","",B64-D64)</f>
        <v/>
      </c>
      <c r="M64" s="71">
        <f>IF($A64="","",J64-K64)</f>
        <v/>
      </c>
      <c r="N64" s="71">
        <f>IF($A64="","",IF(G64="",0,G64))</f>
        <v/>
      </c>
      <c r="O64" s="70">
        <f>IF($A64="","",D64+F64)</f>
        <v/>
      </c>
      <c r="P64" s="71">
        <f>IF($A64="","",K64+N64)</f>
        <v/>
      </c>
      <c r="Q64" s="70">
        <f>IF($A64="","",I64+L64-F64)</f>
        <v/>
      </c>
      <c r="R64" s="72">
        <f>IF($A64="","",IF(H64="",Q64,H64))</f>
        <v/>
      </c>
      <c r="S64" s="73">
        <f>IF($A64="","",R64-Q64)</f>
        <v/>
      </c>
      <c r="T64" s="70">
        <f>IF($A64="","",SUMIFS($B$5:$B$800,$A$5:$A$800,"&gt;="&amp;DATE(YEAR($A64),MONTH($A64),1),$A$5:$A$800,"&lt;="&amp;$A64)+IF(AND(YEAR($A64)=YEAR(Settings!$B$3),MONTH($A64)=MONTH(Settings!$B$3)),Settings!$B$6,0))</f>
        <v/>
      </c>
      <c r="U64" s="71">
        <f>IF($A64="","",SUMIFS($J$5:$J$800,$A$5:$A$800,"&gt;="&amp;DATE(YEAR($A64),MONTH($A64),1),$A$5:$A$800,"&lt;="&amp;$A64)+IF(AND(YEAR($A64)=YEAR(Settings!$B$3),MONTH($A64)=MONTH(Settings!$B$3)),Settings!$B$7,0))</f>
        <v/>
      </c>
      <c r="V64" s="70">
        <f>IF($A64="","",Settings!$B$8+SUM($B$5:B64))</f>
        <v/>
      </c>
      <c r="W64" s="71">
        <f>IF($A64="","",Settings!$B$9+SUM($J$5:J64))</f>
        <v/>
      </c>
      <c r="X64" s="71">
        <f>IF($A64="","",IF(AND(N64&gt;0,F64&gt;0),ROUND(F64/N64,0),X63))</f>
        <v/>
      </c>
      <c r="Y64" s="74">
        <f>IF($A64="","",IF(AND(M64&gt;0,L64&gt;0),ROUND(L64/M64,0),IF(AND(J64&gt;0,B64&gt;0),ROUND(B64/J64,0),Y63)))</f>
        <v/>
      </c>
    </row>
    <row r="65">
      <c r="A65" s="67" t="n"/>
      <c r="B65" s="68" t="n"/>
      <c r="C65" s="69" t="n"/>
      <c r="D65" s="68" t="n"/>
      <c r="E65" s="69" t="n"/>
      <c r="F65" s="68" t="n"/>
      <c r="G65" s="69" t="n"/>
      <c r="H65" s="68" t="n"/>
      <c r="I65" s="70">
        <f>IF($A65="","",R64)</f>
        <v/>
      </c>
      <c r="J65" s="71">
        <f>IF($A65="","",IF(C65="",0,C65))</f>
        <v/>
      </c>
      <c r="K65" s="71">
        <f>IF($A65="","",IF(E65="",0,E65))</f>
        <v/>
      </c>
      <c r="L65" s="70">
        <f>IF($A65="","",B65-D65)</f>
        <v/>
      </c>
      <c r="M65" s="71">
        <f>IF($A65="","",J65-K65)</f>
        <v/>
      </c>
      <c r="N65" s="71">
        <f>IF($A65="","",IF(G65="",0,G65))</f>
        <v/>
      </c>
      <c r="O65" s="70">
        <f>IF($A65="","",D65+F65)</f>
        <v/>
      </c>
      <c r="P65" s="71">
        <f>IF($A65="","",K65+N65)</f>
        <v/>
      </c>
      <c r="Q65" s="70">
        <f>IF($A65="","",I65+L65-F65)</f>
        <v/>
      </c>
      <c r="R65" s="72">
        <f>IF($A65="","",IF(H65="",Q65,H65))</f>
        <v/>
      </c>
      <c r="S65" s="73">
        <f>IF($A65="","",R65-Q65)</f>
        <v/>
      </c>
      <c r="T65" s="70">
        <f>IF($A65="","",SUMIFS($B$5:$B$800,$A$5:$A$800,"&gt;="&amp;DATE(YEAR($A65),MONTH($A65),1),$A$5:$A$800,"&lt;="&amp;$A65)+IF(AND(YEAR($A65)=YEAR(Settings!$B$3),MONTH($A65)=MONTH(Settings!$B$3)),Settings!$B$6,0))</f>
        <v/>
      </c>
      <c r="U65" s="71">
        <f>IF($A65="","",SUMIFS($J$5:$J$800,$A$5:$A$800,"&gt;="&amp;DATE(YEAR($A65),MONTH($A65),1),$A$5:$A$800,"&lt;="&amp;$A65)+IF(AND(YEAR($A65)=YEAR(Settings!$B$3),MONTH($A65)=MONTH(Settings!$B$3)),Settings!$B$7,0))</f>
        <v/>
      </c>
      <c r="V65" s="70">
        <f>IF($A65="","",Settings!$B$8+SUM($B$5:B65))</f>
        <v/>
      </c>
      <c r="W65" s="71">
        <f>IF($A65="","",Settings!$B$9+SUM($J$5:J65))</f>
        <v/>
      </c>
      <c r="X65" s="71">
        <f>IF($A65="","",IF(AND(N65&gt;0,F65&gt;0),ROUND(F65/N65,0),X64))</f>
        <v/>
      </c>
      <c r="Y65" s="74">
        <f>IF($A65="","",IF(AND(M65&gt;0,L65&gt;0),ROUND(L65/M65,0),IF(AND(J65&gt;0,B65&gt;0),ROUND(B65/J65,0),Y64)))</f>
        <v/>
      </c>
    </row>
    <row r="66">
      <c r="A66" s="67" t="n"/>
      <c r="B66" s="68" t="n"/>
      <c r="C66" s="69" t="n"/>
      <c r="D66" s="68" t="n"/>
      <c r="E66" s="69" t="n"/>
      <c r="F66" s="68" t="n"/>
      <c r="G66" s="69" t="n"/>
      <c r="H66" s="68" t="n"/>
      <c r="I66" s="70">
        <f>IF($A66="","",R65)</f>
        <v/>
      </c>
      <c r="J66" s="71">
        <f>IF($A66="","",IF(C66="",0,C66))</f>
        <v/>
      </c>
      <c r="K66" s="71">
        <f>IF($A66="","",IF(E66="",0,E66))</f>
        <v/>
      </c>
      <c r="L66" s="70">
        <f>IF($A66="","",B66-D66)</f>
        <v/>
      </c>
      <c r="M66" s="71">
        <f>IF($A66="","",J66-K66)</f>
        <v/>
      </c>
      <c r="N66" s="71">
        <f>IF($A66="","",IF(G66="",0,G66))</f>
        <v/>
      </c>
      <c r="O66" s="70">
        <f>IF($A66="","",D66+F66)</f>
        <v/>
      </c>
      <c r="P66" s="71">
        <f>IF($A66="","",K66+N66)</f>
        <v/>
      </c>
      <c r="Q66" s="70">
        <f>IF($A66="","",I66+L66-F66)</f>
        <v/>
      </c>
      <c r="R66" s="72">
        <f>IF($A66="","",IF(H66="",Q66,H66))</f>
        <v/>
      </c>
      <c r="S66" s="73">
        <f>IF($A66="","",R66-Q66)</f>
        <v/>
      </c>
      <c r="T66" s="70">
        <f>IF($A66="","",SUMIFS($B$5:$B$800,$A$5:$A$800,"&gt;="&amp;DATE(YEAR($A66),MONTH($A66),1),$A$5:$A$800,"&lt;="&amp;$A66)+IF(AND(YEAR($A66)=YEAR(Settings!$B$3),MONTH($A66)=MONTH(Settings!$B$3)),Settings!$B$6,0))</f>
        <v/>
      </c>
      <c r="U66" s="71">
        <f>IF($A66="","",SUMIFS($J$5:$J$800,$A$5:$A$800,"&gt;="&amp;DATE(YEAR($A66),MONTH($A66),1),$A$5:$A$800,"&lt;="&amp;$A66)+IF(AND(YEAR($A66)=YEAR(Settings!$B$3),MONTH($A66)=MONTH(Settings!$B$3)),Settings!$B$7,0))</f>
        <v/>
      </c>
      <c r="V66" s="70">
        <f>IF($A66="","",Settings!$B$8+SUM($B$5:B66))</f>
        <v/>
      </c>
      <c r="W66" s="71">
        <f>IF($A66="","",Settings!$B$9+SUM($J$5:J66))</f>
        <v/>
      </c>
      <c r="X66" s="71">
        <f>IF($A66="","",IF(AND(N66&gt;0,F66&gt;0),ROUND(F66/N66,0),X65))</f>
        <v/>
      </c>
      <c r="Y66" s="74">
        <f>IF($A66="","",IF(AND(M66&gt;0,L66&gt;0),ROUND(L66/M66,0),IF(AND(J66&gt;0,B66&gt;0),ROUND(B66/J66,0),Y65)))</f>
        <v/>
      </c>
    </row>
    <row r="67">
      <c r="A67" s="67" t="n"/>
      <c r="B67" s="68" t="n"/>
      <c r="C67" s="69" t="n"/>
      <c r="D67" s="68" t="n"/>
      <c r="E67" s="69" t="n"/>
      <c r="F67" s="68" t="n"/>
      <c r="G67" s="69" t="n"/>
      <c r="H67" s="68" t="n"/>
      <c r="I67" s="70">
        <f>IF($A67="","",R66)</f>
        <v/>
      </c>
      <c r="J67" s="71">
        <f>IF($A67="","",IF(C67="",0,C67))</f>
        <v/>
      </c>
      <c r="K67" s="71">
        <f>IF($A67="","",IF(E67="",0,E67))</f>
        <v/>
      </c>
      <c r="L67" s="70">
        <f>IF($A67="","",B67-D67)</f>
        <v/>
      </c>
      <c r="M67" s="71">
        <f>IF($A67="","",J67-K67)</f>
        <v/>
      </c>
      <c r="N67" s="71">
        <f>IF($A67="","",IF(G67="",0,G67))</f>
        <v/>
      </c>
      <c r="O67" s="70">
        <f>IF($A67="","",D67+F67)</f>
        <v/>
      </c>
      <c r="P67" s="71">
        <f>IF($A67="","",K67+N67)</f>
        <v/>
      </c>
      <c r="Q67" s="70">
        <f>IF($A67="","",I67+L67-F67)</f>
        <v/>
      </c>
      <c r="R67" s="72">
        <f>IF($A67="","",IF(H67="",Q67,H67))</f>
        <v/>
      </c>
      <c r="S67" s="73">
        <f>IF($A67="","",R67-Q67)</f>
        <v/>
      </c>
      <c r="T67" s="70">
        <f>IF($A67="","",SUMIFS($B$5:$B$800,$A$5:$A$800,"&gt;="&amp;DATE(YEAR($A67),MONTH($A67),1),$A$5:$A$800,"&lt;="&amp;$A67)+IF(AND(YEAR($A67)=YEAR(Settings!$B$3),MONTH($A67)=MONTH(Settings!$B$3)),Settings!$B$6,0))</f>
        <v/>
      </c>
      <c r="U67" s="71">
        <f>IF($A67="","",SUMIFS($J$5:$J$800,$A$5:$A$800,"&gt;="&amp;DATE(YEAR($A67),MONTH($A67),1),$A$5:$A$800,"&lt;="&amp;$A67)+IF(AND(YEAR($A67)=YEAR(Settings!$B$3),MONTH($A67)=MONTH(Settings!$B$3)),Settings!$B$7,0))</f>
        <v/>
      </c>
      <c r="V67" s="70">
        <f>IF($A67="","",Settings!$B$8+SUM($B$5:B67))</f>
        <v/>
      </c>
      <c r="W67" s="71">
        <f>IF($A67="","",Settings!$B$9+SUM($J$5:J67))</f>
        <v/>
      </c>
      <c r="X67" s="71">
        <f>IF($A67="","",IF(AND(N67&gt;0,F67&gt;0),ROUND(F67/N67,0),X66))</f>
        <v/>
      </c>
      <c r="Y67" s="74">
        <f>IF($A67="","",IF(AND(M67&gt;0,L67&gt;0),ROUND(L67/M67,0),IF(AND(J67&gt;0,B67&gt;0),ROUND(B67/J67,0),Y66)))</f>
        <v/>
      </c>
    </row>
    <row r="68">
      <c r="A68" s="67" t="n"/>
      <c r="B68" s="68" t="n"/>
      <c r="C68" s="69" t="n"/>
      <c r="D68" s="68" t="n"/>
      <c r="E68" s="69" t="n"/>
      <c r="F68" s="68" t="n"/>
      <c r="G68" s="69" t="n"/>
      <c r="H68" s="68" t="n"/>
      <c r="I68" s="70">
        <f>IF($A68="","",R67)</f>
        <v/>
      </c>
      <c r="J68" s="71">
        <f>IF($A68="","",IF(C68="",0,C68))</f>
        <v/>
      </c>
      <c r="K68" s="71">
        <f>IF($A68="","",IF(E68="",0,E68))</f>
        <v/>
      </c>
      <c r="L68" s="70">
        <f>IF($A68="","",B68-D68)</f>
        <v/>
      </c>
      <c r="M68" s="71">
        <f>IF($A68="","",J68-K68)</f>
        <v/>
      </c>
      <c r="N68" s="71">
        <f>IF($A68="","",IF(G68="",0,G68))</f>
        <v/>
      </c>
      <c r="O68" s="70">
        <f>IF($A68="","",D68+F68)</f>
        <v/>
      </c>
      <c r="P68" s="71">
        <f>IF($A68="","",K68+N68)</f>
        <v/>
      </c>
      <c r="Q68" s="70">
        <f>IF($A68="","",I68+L68-F68)</f>
        <v/>
      </c>
      <c r="R68" s="72">
        <f>IF($A68="","",IF(H68="",Q68,H68))</f>
        <v/>
      </c>
      <c r="S68" s="73">
        <f>IF($A68="","",R68-Q68)</f>
        <v/>
      </c>
      <c r="T68" s="70">
        <f>IF($A68="","",SUMIFS($B$5:$B$800,$A$5:$A$800,"&gt;="&amp;DATE(YEAR($A68),MONTH($A68),1),$A$5:$A$800,"&lt;="&amp;$A68)+IF(AND(YEAR($A68)=YEAR(Settings!$B$3),MONTH($A68)=MONTH(Settings!$B$3)),Settings!$B$6,0))</f>
        <v/>
      </c>
      <c r="U68" s="71">
        <f>IF($A68="","",SUMIFS($J$5:$J$800,$A$5:$A$800,"&gt;="&amp;DATE(YEAR($A68),MONTH($A68),1),$A$5:$A$800,"&lt;="&amp;$A68)+IF(AND(YEAR($A68)=YEAR(Settings!$B$3),MONTH($A68)=MONTH(Settings!$B$3)),Settings!$B$7,0))</f>
        <v/>
      </c>
      <c r="V68" s="70">
        <f>IF($A68="","",Settings!$B$8+SUM($B$5:B68))</f>
        <v/>
      </c>
      <c r="W68" s="71">
        <f>IF($A68="","",Settings!$B$9+SUM($J$5:J68))</f>
        <v/>
      </c>
      <c r="X68" s="71">
        <f>IF($A68="","",IF(AND(N68&gt;0,F68&gt;0),ROUND(F68/N68,0),X67))</f>
        <v/>
      </c>
      <c r="Y68" s="74">
        <f>IF($A68="","",IF(AND(M68&gt;0,L68&gt;0),ROUND(L68/M68,0),IF(AND(J68&gt;0,B68&gt;0),ROUND(B68/J68,0),Y67)))</f>
        <v/>
      </c>
    </row>
    <row r="69">
      <c r="A69" s="67" t="n"/>
      <c r="B69" s="68" t="n"/>
      <c r="C69" s="69" t="n"/>
      <c r="D69" s="68" t="n"/>
      <c r="E69" s="69" t="n"/>
      <c r="F69" s="68" t="n"/>
      <c r="G69" s="69" t="n"/>
      <c r="H69" s="68" t="n"/>
      <c r="I69" s="70">
        <f>IF($A69="","",R68)</f>
        <v/>
      </c>
      <c r="J69" s="71">
        <f>IF($A69="","",IF(C69="",0,C69))</f>
        <v/>
      </c>
      <c r="K69" s="71">
        <f>IF($A69="","",IF(E69="",0,E69))</f>
        <v/>
      </c>
      <c r="L69" s="70">
        <f>IF($A69="","",B69-D69)</f>
        <v/>
      </c>
      <c r="M69" s="71">
        <f>IF($A69="","",J69-K69)</f>
        <v/>
      </c>
      <c r="N69" s="71">
        <f>IF($A69="","",IF(G69="",0,G69))</f>
        <v/>
      </c>
      <c r="O69" s="70">
        <f>IF($A69="","",D69+F69)</f>
        <v/>
      </c>
      <c r="P69" s="71">
        <f>IF($A69="","",K69+N69)</f>
        <v/>
      </c>
      <c r="Q69" s="70">
        <f>IF($A69="","",I69+L69-F69)</f>
        <v/>
      </c>
      <c r="R69" s="72">
        <f>IF($A69="","",IF(H69="",Q69,H69))</f>
        <v/>
      </c>
      <c r="S69" s="73">
        <f>IF($A69="","",R69-Q69)</f>
        <v/>
      </c>
      <c r="T69" s="70">
        <f>IF($A69="","",SUMIFS($B$5:$B$800,$A$5:$A$800,"&gt;="&amp;DATE(YEAR($A69),MONTH($A69),1),$A$5:$A$800,"&lt;="&amp;$A69)+IF(AND(YEAR($A69)=YEAR(Settings!$B$3),MONTH($A69)=MONTH(Settings!$B$3)),Settings!$B$6,0))</f>
        <v/>
      </c>
      <c r="U69" s="71">
        <f>IF($A69="","",SUMIFS($J$5:$J$800,$A$5:$A$800,"&gt;="&amp;DATE(YEAR($A69),MONTH($A69),1),$A$5:$A$800,"&lt;="&amp;$A69)+IF(AND(YEAR($A69)=YEAR(Settings!$B$3),MONTH($A69)=MONTH(Settings!$B$3)),Settings!$B$7,0))</f>
        <v/>
      </c>
      <c r="V69" s="70">
        <f>IF($A69="","",Settings!$B$8+SUM($B$5:B69))</f>
        <v/>
      </c>
      <c r="W69" s="71">
        <f>IF($A69="","",Settings!$B$9+SUM($J$5:J69))</f>
        <v/>
      </c>
      <c r="X69" s="71">
        <f>IF($A69="","",IF(AND(N69&gt;0,F69&gt;0),ROUND(F69/N69,0),X68))</f>
        <v/>
      </c>
      <c r="Y69" s="74">
        <f>IF($A69="","",IF(AND(M69&gt;0,L69&gt;0),ROUND(L69/M69,0),IF(AND(J69&gt;0,B69&gt;0),ROUND(B69/J69,0),Y68)))</f>
        <v/>
      </c>
    </row>
    <row r="70">
      <c r="A70" s="67" t="n"/>
      <c r="B70" s="68" t="n"/>
      <c r="C70" s="69" t="n"/>
      <c r="D70" s="68" t="n"/>
      <c r="E70" s="69" t="n"/>
      <c r="F70" s="68" t="n"/>
      <c r="G70" s="69" t="n"/>
      <c r="H70" s="68" t="n"/>
      <c r="I70" s="70">
        <f>IF($A70="","",R69)</f>
        <v/>
      </c>
      <c r="J70" s="71">
        <f>IF($A70="","",IF(C70="",0,C70))</f>
        <v/>
      </c>
      <c r="K70" s="71">
        <f>IF($A70="","",IF(E70="",0,E70))</f>
        <v/>
      </c>
      <c r="L70" s="70">
        <f>IF($A70="","",B70-D70)</f>
        <v/>
      </c>
      <c r="M70" s="71">
        <f>IF($A70="","",J70-K70)</f>
        <v/>
      </c>
      <c r="N70" s="71">
        <f>IF($A70="","",IF(G70="",0,G70))</f>
        <v/>
      </c>
      <c r="O70" s="70">
        <f>IF($A70="","",D70+F70)</f>
        <v/>
      </c>
      <c r="P70" s="71">
        <f>IF($A70="","",K70+N70)</f>
        <v/>
      </c>
      <c r="Q70" s="70">
        <f>IF($A70="","",I70+L70-F70)</f>
        <v/>
      </c>
      <c r="R70" s="72">
        <f>IF($A70="","",IF(H70="",Q70,H70))</f>
        <v/>
      </c>
      <c r="S70" s="73">
        <f>IF($A70="","",R70-Q70)</f>
        <v/>
      </c>
      <c r="T70" s="70">
        <f>IF($A70="","",SUMIFS($B$5:$B$800,$A$5:$A$800,"&gt;="&amp;DATE(YEAR($A70),MONTH($A70),1),$A$5:$A$800,"&lt;="&amp;$A70)+IF(AND(YEAR($A70)=YEAR(Settings!$B$3),MONTH($A70)=MONTH(Settings!$B$3)),Settings!$B$6,0))</f>
        <v/>
      </c>
      <c r="U70" s="71">
        <f>IF($A70="","",SUMIFS($J$5:$J$800,$A$5:$A$800,"&gt;="&amp;DATE(YEAR($A70),MONTH($A70),1),$A$5:$A$800,"&lt;="&amp;$A70)+IF(AND(YEAR($A70)=YEAR(Settings!$B$3),MONTH($A70)=MONTH(Settings!$B$3)),Settings!$B$7,0))</f>
        <v/>
      </c>
      <c r="V70" s="70">
        <f>IF($A70="","",Settings!$B$8+SUM($B$5:B70))</f>
        <v/>
      </c>
      <c r="W70" s="71">
        <f>IF($A70="","",Settings!$B$9+SUM($J$5:J70))</f>
        <v/>
      </c>
      <c r="X70" s="71">
        <f>IF($A70="","",IF(AND(N70&gt;0,F70&gt;0),ROUND(F70/N70,0),X69))</f>
        <v/>
      </c>
      <c r="Y70" s="74">
        <f>IF($A70="","",IF(AND(M70&gt;0,L70&gt;0),ROUND(L70/M70,0),IF(AND(J70&gt;0,B70&gt;0),ROUND(B70/J70,0),Y69)))</f>
        <v/>
      </c>
    </row>
    <row r="71">
      <c r="A71" s="67" t="n"/>
      <c r="B71" s="68" t="n"/>
      <c r="C71" s="69" t="n"/>
      <c r="D71" s="68" t="n"/>
      <c r="E71" s="69" t="n"/>
      <c r="F71" s="68" t="n"/>
      <c r="G71" s="69" t="n"/>
      <c r="H71" s="68" t="n"/>
      <c r="I71" s="70">
        <f>IF($A71="","",R70)</f>
        <v/>
      </c>
      <c r="J71" s="71">
        <f>IF($A71="","",IF(C71="",0,C71))</f>
        <v/>
      </c>
      <c r="K71" s="71">
        <f>IF($A71="","",IF(E71="",0,E71))</f>
        <v/>
      </c>
      <c r="L71" s="70">
        <f>IF($A71="","",B71-D71)</f>
        <v/>
      </c>
      <c r="M71" s="71">
        <f>IF($A71="","",J71-K71)</f>
        <v/>
      </c>
      <c r="N71" s="71">
        <f>IF($A71="","",IF(G71="",0,G71))</f>
        <v/>
      </c>
      <c r="O71" s="70">
        <f>IF($A71="","",D71+F71)</f>
        <v/>
      </c>
      <c r="P71" s="71">
        <f>IF($A71="","",K71+N71)</f>
        <v/>
      </c>
      <c r="Q71" s="70">
        <f>IF($A71="","",I71+L71-F71)</f>
        <v/>
      </c>
      <c r="R71" s="72">
        <f>IF($A71="","",IF(H71="",Q71,H71))</f>
        <v/>
      </c>
      <c r="S71" s="73">
        <f>IF($A71="","",R71-Q71)</f>
        <v/>
      </c>
      <c r="T71" s="70">
        <f>IF($A71="","",SUMIFS($B$5:$B$800,$A$5:$A$800,"&gt;="&amp;DATE(YEAR($A71),MONTH($A71),1),$A$5:$A$800,"&lt;="&amp;$A71)+IF(AND(YEAR($A71)=YEAR(Settings!$B$3),MONTH($A71)=MONTH(Settings!$B$3)),Settings!$B$6,0))</f>
        <v/>
      </c>
      <c r="U71" s="71">
        <f>IF($A71="","",SUMIFS($J$5:$J$800,$A$5:$A$800,"&gt;="&amp;DATE(YEAR($A71),MONTH($A71),1),$A$5:$A$800,"&lt;="&amp;$A71)+IF(AND(YEAR($A71)=YEAR(Settings!$B$3),MONTH($A71)=MONTH(Settings!$B$3)),Settings!$B$7,0))</f>
        <v/>
      </c>
      <c r="V71" s="70">
        <f>IF($A71="","",Settings!$B$8+SUM($B$5:B71))</f>
        <v/>
      </c>
      <c r="W71" s="71">
        <f>IF($A71="","",Settings!$B$9+SUM($J$5:J71))</f>
        <v/>
      </c>
      <c r="X71" s="71">
        <f>IF($A71="","",IF(AND(N71&gt;0,F71&gt;0),ROUND(F71/N71,0),X70))</f>
        <v/>
      </c>
      <c r="Y71" s="74">
        <f>IF($A71="","",IF(AND(M71&gt;0,L71&gt;0),ROUND(L71/M71,0),IF(AND(J71&gt;0,B71&gt;0),ROUND(B71/J71,0),Y70)))</f>
        <v/>
      </c>
    </row>
    <row r="72">
      <c r="A72" s="67" t="n"/>
      <c r="B72" s="68" t="n"/>
      <c r="C72" s="69" t="n"/>
      <c r="D72" s="68" t="n"/>
      <c r="E72" s="69" t="n"/>
      <c r="F72" s="68" t="n"/>
      <c r="G72" s="69" t="n"/>
      <c r="H72" s="68" t="n"/>
      <c r="I72" s="70">
        <f>IF($A72="","",R71)</f>
        <v/>
      </c>
      <c r="J72" s="71">
        <f>IF($A72="","",IF(C72="",0,C72))</f>
        <v/>
      </c>
      <c r="K72" s="71">
        <f>IF($A72="","",IF(E72="",0,E72))</f>
        <v/>
      </c>
      <c r="L72" s="70">
        <f>IF($A72="","",B72-D72)</f>
        <v/>
      </c>
      <c r="M72" s="71">
        <f>IF($A72="","",J72-K72)</f>
        <v/>
      </c>
      <c r="N72" s="71">
        <f>IF($A72="","",IF(G72="",0,G72))</f>
        <v/>
      </c>
      <c r="O72" s="70">
        <f>IF($A72="","",D72+F72)</f>
        <v/>
      </c>
      <c r="P72" s="71">
        <f>IF($A72="","",K72+N72)</f>
        <v/>
      </c>
      <c r="Q72" s="70">
        <f>IF($A72="","",I72+L72-F72)</f>
        <v/>
      </c>
      <c r="R72" s="72">
        <f>IF($A72="","",IF(H72="",Q72,H72))</f>
        <v/>
      </c>
      <c r="S72" s="73">
        <f>IF($A72="","",R72-Q72)</f>
        <v/>
      </c>
      <c r="T72" s="70">
        <f>IF($A72="","",SUMIFS($B$5:$B$800,$A$5:$A$800,"&gt;="&amp;DATE(YEAR($A72),MONTH($A72),1),$A$5:$A$800,"&lt;="&amp;$A72)+IF(AND(YEAR($A72)=YEAR(Settings!$B$3),MONTH($A72)=MONTH(Settings!$B$3)),Settings!$B$6,0))</f>
        <v/>
      </c>
      <c r="U72" s="71">
        <f>IF($A72="","",SUMIFS($J$5:$J$800,$A$5:$A$800,"&gt;="&amp;DATE(YEAR($A72),MONTH($A72),1),$A$5:$A$800,"&lt;="&amp;$A72)+IF(AND(YEAR($A72)=YEAR(Settings!$B$3),MONTH($A72)=MONTH(Settings!$B$3)),Settings!$B$7,0))</f>
        <v/>
      </c>
      <c r="V72" s="70">
        <f>IF($A72="","",Settings!$B$8+SUM($B$5:B72))</f>
        <v/>
      </c>
      <c r="W72" s="71">
        <f>IF($A72="","",Settings!$B$9+SUM($J$5:J72))</f>
        <v/>
      </c>
      <c r="X72" s="71">
        <f>IF($A72="","",IF(AND(N72&gt;0,F72&gt;0),ROUND(F72/N72,0),X71))</f>
        <v/>
      </c>
      <c r="Y72" s="74">
        <f>IF($A72="","",IF(AND(M72&gt;0,L72&gt;0),ROUND(L72/M72,0),IF(AND(J72&gt;0,B72&gt;0),ROUND(B72/J72,0),Y71)))</f>
        <v/>
      </c>
    </row>
    <row r="73">
      <c r="A73" s="67" t="n"/>
      <c r="B73" s="68" t="n"/>
      <c r="C73" s="69" t="n"/>
      <c r="D73" s="68" t="n"/>
      <c r="E73" s="69" t="n"/>
      <c r="F73" s="68" t="n"/>
      <c r="G73" s="69" t="n"/>
      <c r="H73" s="68" t="n"/>
      <c r="I73" s="70">
        <f>IF($A73="","",R72)</f>
        <v/>
      </c>
      <c r="J73" s="71">
        <f>IF($A73="","",IF(C73="",0,C73))</f>
        <v/>
      </c>
      <c r="K73" s="71">
        <f>IF($A73="","",IF(E73="",0,E73))</f>
        <v/>
      </c>
      <c r="L73" s="70">
        <f>IF($A73="","",B73-D73)</f>
        <v/>
      </c>
      <c r="M73" s="71">
        <f>IF($A73="","",J73-K73)</f>
        <v/>
      </c>
      <c r="N73" s="71">
        <f>IF($A73="","",IF(G73="",0,G73))</f>
        <v/>
      </c>
      <c r="O73" s="70">
        <f>IF($A73="","",D73+F73)</f>
        <v/>
      </c>
      <c r="P73" s="71">
        <f>IF($A73="","",K73+N73)</f>
        <v/>
      </c>
      <c r="Q73" s="70">
        <f>IF($A73="","",I73+L73-F73)</f>
        <v/>
      </c>
      <c r="R73" s="72">
        <f>IF($A73="","",IF(H73="",Q73,H73))</f>
        <v/>
      </c>
      <c r="S73" s="73">
        <f>IF($A73="","",R73-Q73)</f>
        <v/>
      </c>
      <c r="T73" s="70">
        <f>IF($A73="","",SUMIFS($B$5:$B$800,$A$5:$A$800,"&gt;="&amp;DATE(YEAR($A73),MONTH($A73),1),$A$5:$A$800,"&lt;="&amp;$A73)+IF(AND(YEAR($A73)=YEAR(Settings!$B$3),MONTH($A73)=MONTH(Settings!$B$3)),Settings!$B$6,0))</f>
        <v/>
      </c>
      <c r="U73" s="71">
        <f>IF($A73="","",SUMIFS($J$5:$J$800,$A$5:$A$800,"&gt;="&amp;DATE(YEAR($A73),MONTH($A73),1),$A$5:$A$800,"&lt;="&amp;$A73)+IF(AND(YEAR($A73)=YEAR(Settings!$B$3),MONTH($A73)=MONTH(Settings!$B$3)),Settings!$B$7,0))</f>
        <v/>
      </c>
      <c r="V73" s="70">
        <f>IF($A73="","",Settings!$B$8+SUM($B$5:B73))</f>
        <v/>
      </c>
      <c r="W73" s="71">
        <f>IF($A73="","",Settings!$B$9+SUM($J$5:J73))</f>
        <v/>
      </c>
      <c r="X73" s="71">
        <f>IF($A73="","",IF(AND(N73&gt;0,F73&gt;0),ROUND(F73/N73,0),X72))</f>
        <v/>
      </c>
      <c r="Y73" s="74">
        <f>IF($A73="","",IF(AND(M73&gt;0,L73&gt;0),ROUND(L73/M73,0),IF(AND(J73&gt;0,B73&gt;0),ROUND(B73/J73,0),Y72)))</f>
        <v/>
      </c>
    </row>
    <row r="74">
      <c r="A74" s="67" t="n"/>
      <c r="B74" s="68" t="n"/>
      <c r="C74" s="69" t="n"/>
      <c r="D74" s="68" t="n"/>
      <c r="E74" s="69" t="n"/>
      <c r="F74" s="68" t="n"/>
      <c r="G74" s="69" t="n"/>
      <c r="H74" s="68" t="n"/>
      <c r="I74" s="70">
        <f>IF($A74="","",R73)</f>
        <v/>
      </c>
      <c r="J74" s="71">
        <f>IF($A74="","",IF(C74="",0,C74))</f>
        <v/>
      </c>
      <c r="K74" s="71">
        <f>IF($A74="","",IF(E74="",0,E74))</f>
        <v/>
      </c>
      <c r="L74" s="70">
        <f>IF($A74="","",B74-D74)</f>
        <v/>
      </c>
      <c r="M74" s="71">
        <f>IF($A74="","",J74-K74)</f>
        <v/>
      </c>
      <c r="N74" s="71">
        <f>IF($A74="","",IF(G74="",0,G74))</f>
        <v/>
      </c>
      <c r="O74" s="70">
        <f>IF($A74="","",D74+F74)</f>
        <v/>
      </c>
      <c r="P74" s="71">
        <f>IF($A74="","",K74+N74)</f>
        <v/>
      </c>
      <c r="Q74" s="70">
        <f>IF($A74="","",I74+L74-F74)</f>
        <v/>
      </c>
      <c r="R74" s="72">
        <f>IF($A74="","",IF(H74="",Q74,H74))</f>
        <v/>
      </c>
      <c r="S74" s="73">
        <f>IF($A74="","",R74-Q74)</f>
        <v/>
      </c>
      <c r="T74" s="70">
        <f>IF($A74="","",SUMIFS($B$5:$B$800,$A$5:$A$800,"&gt;="&amp;DATE(YEAR($A74),MONTH($A74),1),$A$5:$A$800,"&lt;="&amp;$A74)+IF(AND(YEAR($A74)=YEAR(Settings!$B$3),MONTH($A74)=MONTH(Settings!$B$3)),Settings!$B$6,0))</f>
        <v/>
      </c>
      <c r="U74" s="71">
        <f>IF($A74="","",SUMIFS($J$5:$J$800,$A$5:$A$800,"&gt;="&amp;DATE(YEAR($A74),MONTH($A74),1),$A$5:$A$800,"&lt;="&amp;$A74)+IF(AND(YEAR($A74)=YEAR(Settings!$B$3),MONTH($A74)=MONTH(Settings!$B$3)),Settings!$B$7,0))</f>
        <v/>
      </c>
      <c r="V74" s="70">
        <f>IF($A74="","",Settings!$B$8+SUM($B$5:B74))</f>
        <v/>
      </c>
      <c r="W74" s="71">
        <f>IF($A74="","",Settings!$B$9+SUM($J$5:J74))</f>
        <v/>
      </c>
      <c r="X74" s="71">
        <f>IF($A74="","",IF(AND(N74&gt;0,F74&gt;0),ROUND(F74/N74,0),X73))</f>
        <v/>
      </c>
      <c r="Y74" s="74">
        <f>IF($A74="","",IF(AND(M74&gt;0,L74&gt;0),ROUND(L74/M74,0),IF(AND(J74&gt;0,B74&gt;0),ROUND(B74/J74,0),Y73)))</f>
        <v/>
      </c>
    </row>
    <row r="75">
      <c r="A75" s="67" t="n"/>
      <c r="B75" s="68" t="n"/>
      <c r="C75" s="69" t="n"/>
      <c r="D75" s="68" t="n"/>
      <c r="E75" s="69" t="n"/>
      <c r="F75" s="68" t="n"/>
      <c r="G75" s="69" t="n"/>
      <c r="H75" s="68" t="n"/>
      <c r="I75" s="70">
        <f>IF($A75="","",R74)</f>
        <v/>
      </c>
      <c r="J75" s="71">
        <f>IF($A75="","",IF(C75="",0,C75))</f>
        <v/>
      </c>
      <c r="K75" s="71">
        <f>IF($A75="","",IF(E75="",0,E75))</f>
        <v/>
      </c>
      <c r="L75" s="70">
        <f>IF($A75="","",B75-D75)</f>
        <v/>
      </c>
      <c r="M75" s="71">
        <f>IF($A75="","",J75-K75)</f>
        <v/>
      </c>
      <c r="N75" s="71">
        <f>IF($A75="","",IF(G75="",0,G75))</f>
        <v/>
      </c>
      <c r="O75" s="70">
        <f>IF($A75="","",D75+F75)</f>
        <v/>
      </c>
      <c r="P75" s="71">
        <f>IF($A75="","",K75+N75)</f>
        <v/>
      </c>
      <c r="Q75" s="70">
        <f>IF($A75="","",I75+L75-F75)</f>
        <v/>
      </c>
      <c r="R75" s="72">
        <f>IF($A75="","",IF(H75="",Q75,H75))</f>
        <v/>
      </c>
      <c r="S75" s="73">
        <f>IF($A75="","",R75-Q75)</f>
        <v/>
      </c>
      <c r="T75" s="70">
        <f>IF($A75="","",SUMIFS($B$5:$B$800,$A$5:$A$800,"&gt;="&amp;DATE(YEAR($A75),MONTH($A75),1),$A$5:$A$800,"&lt;="&amp;$A75)+IF(AND(YEAR($A75)=YEAR(Settings!$B$3),MONTH($A75)=MONTH(Settings!$B$3)),Settings!$B$6,0))</f>
        <v/>
      </c>
      <c r="U75" s="71">
        <f>IF($A75="","",SUMIFS($J$5:$J$800,$A$5:$A$800,"&gt;="&amp;DATE(YEAR($A75),MONTH($A75),1),$A$5:$A$800,"&lt;="&amp;$A75)+IF(AND(YEAR($A75)=YEAR(Settings!$B$3),MONTH($A75)=MONTH(Settings!$B$3)),Settings!$B$7,0))</f>
        <v/>
      </c>
      <c r="V75" s="70">
        <f>IF($A75="","",Settings!$B$8+SUM($B$5:B75))</f>
        <v/>
      </c>
      <c r="W75" s="71">
        <f>IF($A75="","",Settings!$B$9+SUM($J$5:J75))</f>
        <v/>
      </c>
      <c r="X75" s="71">
        <f>IF($A75="","",IF(AND(N75&gt;0,F75&gt;0),ROUND(F75/N75,0),X74))</f>
        <v/>
      </c>
      <c r="Y75" s="74">
        <f>IF($A75="","",IF(AND(M75&gt;0,L75&gt;0),ROUND(L75/M75,0),IF(AND(J75&gt;0,B75&gt;0),ROUND(B75/J75,0),Y74)))</f>
        <v/>
      </c>
    </row>
    <row r="76">
      <c r="A76" s="67" t="n"/>
      <c r="B76" s="68" t="n"/>
      <c r="C76" s="69" t="n"/>
      <c r="D76" s="68" t="n"/>
      <c r="E76" s="69" t="n"/>
      <c r="F76" s="68" t="n"/>
      <c r="G76" s="69" t="n"/>
      <c r="H76" s="68" t="n"/>
      <c r="I76" s="70">
        <f>IF($A76="","",R75)</f>
        <v/>
      </c>
      <c r="J76" s="71">
        <f>IF($A76="","",IF(C76="",0,C76))</f>
        <v/>
      </c>
      <c r="K76" s="71">
        <f>IF($A76="","",IF(E76="",0,E76))</f>
        <v/>
      </c>
      <c r="L76" s="70">
        <f>IF($A76="","",B76-D76)</f>
        <v/>
      </c>
      <c r="M76" s="71">
        <f>IF($A76="","",J76-K76)</f>
        <v/>
      </c>
      <c r="N76" s="71">
        <f>IF($A76="","",IF(G76="",0,G76))</f>
        <v/>
      </c>
      <c r="O76" s="70">
        <f>IF($A76="","",D76+F76)</f>
        <v/>
      </c>
      <c r="P76" s="71">
        <f>IF($A76="","",K76+N76)</f>
        <v/>
      </c>
      <c r="Q76" s="70">
        <f>IF($A76="","",I76+L76-F76)</f>
        <v/>
      </c>
      <c r="R76" s="72">
        <f>IF($A76="","",IF(H76="",Q76,H76))</f>
        <v/>
      </c>
      <c r="S76" s="73">
        <f>IF($A76="","",R76-Q76)</f>
        <v/>
      </c>
      <c r="T76" s="70">
        <f>IF($A76="","",SUMIFS($B$5:$B$800,$A$5:$A$800,"&gt;="&amp;DATE(YEAR($A76),MONTH($A76),1),$A$5:$A$800,"&lt;="&amp;$A76)+IF(AND(YEAR($A76)=YEAR(Settings!$B$3),MONTH($A76)=MONTH(Settings!$B$3)),Settings!$B$6,0))</f>
        <v/>
      </c>
      <c r="U76" s="71">
        <f>IF($A76="","",SUMIFS($J$5:$J$800,$A$5:$A$800,"&gt;="&amp;DATE(YEAR($A76),MONTH($A76),1),$A$5:$A$800,"&lt;="&amp;$A76)+IF(AND(YEAR($A76)=YEAR(Settings!$B$3),MONTH($A76)=MONTH(Settings!$B$3)),Settings!$B$7,0))</f>
        <v/>
      </c>
      <c r="V76" s="70">
        <f>IF($A76="","",Settings!$B$8+SUM($B$5:B76))</f>
        <v/>
      </c>
      <c r="W76" s="71">
        <f>IF($A76="","",Settings!$B$9+SUM($J$5:J76))</f>
        <v/>
      </c>
      <c r="X76" s="71">
        <f>IF($A76="","",IF(AND(N76&gt;0,F76&gt;0),ROUND(F76/N76,0),X75))</f>
        <v/>
      </c>
      <c r="Y76" s="74">
        <f>IF($A76="","",IF(AND(M76&gt;0,L76&gt;0),ROUND(L76/M76,0),IF(AND(J76&gt;0,B76&gt;0),ROUND(B76/J76,0),Y75)))</f>
        <v/>
      </c>
    </row>
    <row r="77">
      <c r="A77" s="67" t="n"/>
      <c r="B77" s="68" t="n"/>
      <c r="C77" s="69" t="n"/>
      <c r="D77" s="68" t="n"/>
      <c r="E77" s="69" t="n"/>
      <c r="F77" s="68" t="n"/>
      <c r="G77" s="69" t="n"/>
      <c r="H77" s="68" t="n"/>
      <c r="I77" s="70">
        <f>IF($A77="","",R76)</f>
        <v/>
      </c>
      <c r="J77" s="71">
        <f>IF($A77="","",IF(C77="",0,C77))</f>
        <v/>
      </c>
      <c r="K77" s="71">
        <f>IF($A77="","",IF(E77="",0,E77))</f>
        <v/>
      </c>
      <c r="L77" s="70">
        <f>IF($A77="","",B77-D77)</f>
        <v/>
      </c>
      <c r="M77" s="71">
        <f>IF($A77="","",J77-K77)</f>
        <v/>
      </c>
      <c r="N77" s="71">
        <f>IF($A77="","",IF(G77="",0,G77))</f>
        <v/>
      </c>
      <c r="O77" s="70">
        <f>IF($A77="","",D77+F77)</f>
        <v/>
      </c>
      <c r="P77" s="71">
        <f>IF($A77="","",K77+N77)</f>
        <v/>
      </c>
      <c r="Q77" s="70">
        <f>IF($A77="","",I77+L77-F77)</f>
        <v/>
      </c>
      <c r="R77" s="72">
        <f>IF($A77="","",IF(H77="",Q77,H77))</f>
        <v/>
      </c>
      <c r="S77" s="73">
        <f>IF($A77="","",R77-Q77)</f>
        <v/>
      </c>
      <c r="T77" s="70">
        <f>IF($A77="","",SUMIFS($B$5:$B$800,$A$5:$A$800,"&gt;="&amp;DATE(YEAR($A77),MONTH($A77),1),$A$5:$A$800,"&lt;="&amp;$A77)+IF(AND(YEAR($A77)=YEAR(Settings!$B$3),MONTH($A77)=MONTH(Settings!$B$3)),Settings!$B$6,0))</f>
        <v/>
      </c>
      <c r="U77" s="71">
        <f>IF($A77="","",SUMIFS($J$5:$J$800,$A$5:$A$800,"&gt;="&amp;DATE(YEAR($A77),MONTH($A77),1),$A$5:$A$800,"&lt;="&amp;$A77)+IF(AND(YEAR($A77)=YEAR(Settings!$B$3),MONTH($A77)=MONTH(Settings!$B$3)),Settings!$B$7,0))</f>
        <v/>
      </c>
      <c r="V77" s="70">
        <f>IF($A77="","",Settings!$B$8+SUM($B$5:B77))</f>
        <v/>
      </c>
      <c r="W77" s="71">
        <f>IF($A77="","",Settings!$B$9+SUM($J$5:J77))</f>
        <v/>
      </c>
      <c r="X77" s="71">
        <f>IF($A77="","",IF(AND(N77&gt;0,F77&gt;0),ROUND(F77/N77,0),X76))</f>
        <v/>
      </c>
      <c r="Y77" s="74">
        <f>IF($A77="","",IF(AND(M77&gt;0,L77&gt;0),ROUND(L77/M77,0),IF(AND(J77&gt;0,B77&gt;0),ROUND(B77/J77,0),Y76)))</f>
        <v/>
      </c>
    </row>
    <row r="78">
      <c r="A78" s="67" t="n"/>
      <c r="B78" s="68" t="n"/>
      <c r="C78" s="69" t="n"/>
      <c r="D78" s="68" t="n"/>
      <c r="E78" s="69" t="n"/>
      <c r="F78" s="68" t="n"/>
      <c r="G78" s="69" t="n"/>
      <c r="H78" s="68" t="n"/>
      <c r="I78" s="70">
        <f>IF($A78="","",R77)</f>
        <v/>
      </c>
      <c r="J78" s="71">
        <f>IF($A78="","",IF(C78="",0,C78))</f>
        <v/>
      </c>
      <c r="K78" s="71">
        <f>IF($A78="","",IF(E78="",0,E78))</f>
        <v/>
      </c>
      <c r="L78" s="70">
        <f>IF($A78="","",B78-D78)</f>
        <v/>
      </c>
      <c r="M78" s="71">
        <f>IF($A78="","",J78-K78)</f>
        <v/>
      </c>
      <c r="N78" s="71">
        <f>IF($A78="","",IF(G78="",0,G78))</f>
        <v/>
      </c>
      <c r="O78" s="70">
        <f>IF($A78="","",D78+F78)</f>
        <v/>
      </c>
      <c r="P78" s="71">
        <f>IF($A78="","",K78+N78)</f>
        <v/>
      </c>
      <c r="Q78" s="70">
        <f>IF($A78="","",I78+L78-F78)</f>
        <v/>
      </c>
      <c r="R78" s="72">
        <f>IF($A78="","",IF(H78="",Q78,H78))</f>
        <v/>
      </c>
      <c r="S78" s="73">
        <f>IF($A78="","",R78-Q78)</f>
        <v/>
      </c>
      <c r="T78" s="70">
        <f>IF($A78="","",SUMIFS($B$5:$B$800,$A$5:$A$800,"&gt;="&amp;DATE(YEAR($A78),MONTH($A78),1),$A$5:$A$800,"&lt;="&amp;$A78)+IF(AND(YEAR($A78)=YEAR(Settings!$B$3),MONTH($A78)=MONTH(Settings!$B$3)),Settings!$B$6,0))</f>
        <v/>
      </c>
      <c r="U78" s="71">
        <f>IF($A78="","",SUMIFS($J$5:$J$800,$A$5:$A$800,"&gt;="&amp;DATE(YEAR($A78),MONTH($A78),1),$A$5:$A$800,"&lt;="&amp;$A78)+IF(AND(YEAR($A78)=YEAR(Settings!$B$3),MONTH($A78)=MONTH(Settings!$B$3)),Settings!$B$7,0))</f>
        <v/>
      </c>
      <c r="V78" s="70">
        <f>IF($A78="","",Settings!$B$8+SUM($B$5:B78))</f>
        <v/>
      </c>
      <c r="W78" s="71">
        <f>IF($A78="","",Settings!$B$9+SUM($J$5:J78))</f>
        <v/>
      </c>
      <c r="X78" s="71">
        <f>IF($A78="","",IF(AND(N78&gt;0,F78&gt;0),ROUND(F78/N78,0),X77))</f>
        <v/>
      </c>
      <c r="Y78" s="74">
        <f>IF($A78="","",IF(AND(M78&gt;0,L78&gt;0),ROUND(L78/M78,0),IF(AND(J78&gt;0,B78&gt;0),ROUND(B78/J78,0),Y77)))</f>
        <v/>
      </c>
    </row>
    <row r="79">
      <c r="A79" s="67" t="n"/>
      <c r="B79" s="68" t="n"/>
      <c r="C79" s="69" t="n"/>
      <c r="D79" s="68" t="n"/>
      <c r="E79" s="69" t="n"/>
      <c r="F79" s="68" t="n"/>
      <c r="G79" s="69" t="n"/>
      <c r="H79" s="68" t="n"/>
      <c r="I79" s="70">
        <f>IF($A79="","",R78)</f>
        <v/>
      </c>
      <c r="J79" s="71">
        <f>IF($A79="","",IF(C79="",0,C79))</f>
        <v/>
      </c>
      <c r="K79" s="71">
        <f>IF($A79="","",IF(E79="",0,E79))</f>
        <v/>
      </c>
      <c r="L79" s="70">
        <f>IF($A79="","",B79-D79)</f>
        <v/>
      </c>
      <c r="M79" s="71">
        <f>IF($A79="","",J79-K79)</f>
        <v/>
      </c>
      <c r="N79" s="71">
        <f>IF($A79="","",IF(G79="",0,G79))</f>
        <v/>
      </c>
      <c r="O79" s="70">
        <f>IF($A79="","",D79+F79)</f>
        <v/>
      </c>
      <c r="P79" s="71">
        <f>IF($A79="","",K79+N79)</f>
        <v/>
      </c>
      <c r="Q79" s="70">
        <f>IF($A79="","",I79+L79-F79)</f>
        <v/>
      </c>
      <c r="R79" s="72">
        <f>IF($A79="","",IF(H79="",Q79,H79))</f>
        <v/>
      </c>
      <c r="S79" s="73">
        <f>IF($A79="","",R79-Q79)</f>
        <v/>
      </c>
      <c r="T79" s="70">
        <f>IF($A79="","",SUMIFS($B$5:$B$800,$A$5:$A$800,"&gt;="&amp;DATE(YEAR($A79),MONTH($A79),1),$A$5:$A$800,"&lt;="&amp;$A79)+IF(AND(YEAR($A79)=YEAR(Settings!$B$3),MONTH($A79)=MONTH(Settings!$B$3)),Settings!$B$6,0))</f>
        <v/>
      </c>
      <c r="U79" s="71">
        <f>IF($A79="","",SUMIFS($J$5:$J$800,$A$5:$A$800,"&gt;="&amp;DATE(YEAR($A79),MONTH($A79),1),$A$5:$A$800,"&lt;="&amp;$A79)+IF(AND(YEAR($A79)=YEAR(Settings!$B$3),MONTH($A79)=MONTH(Settings!$B$3)),Settings!$B$7,0))</f>
        <v/>
      </c>
      <c r="V79" s="70">
        <f>IF($A79="","",Settings!$B$8+SUM($B$5:B79))</f>
        <v/>
      </c>
      <c r="W79" s="71">
        <f>IF($A79="","",Settings!$B$9+SUM($J$5:J79))</f>
        <v/>
      </c>
      <c r="X79" s="71">
        <f>IF($A79="","",IF(AND(N79&gt;0,F79&gt;0),ROUND(F79/N79,0),X78))</f>
        <v/>
      </c>
      <c r="Y79" s="74">
        <f>IF($A79="","",IF(AND(M79&gt;0,L79&gt;0),ROUND(L79/M79,0),IF(AND(J79&gt;0,B79&gt;0),ROUND(B79/J79,0),Y78)))</f>
        <v/>
      </c>
    </row>
    <row r="80">
      <c r="A80" s="67" t="n"/>
      <c r="B80" s="68" t="n"/>
      <c r="C80" s="69" t="n"/>
      <c r="D80" s="68" t="n"/>
      <c r="E80" s="69" t="n"/>
      <c r="F80" s="68" t="n"/>
      <c r="G80" s="69" t="n"/>
      <c r="H80" s="68" t="n"/>
      <c r="I80" s="70">
        <f>IF($A80="","",R79)</f>
        <v/>
      </c>
      <c r="J80" s="71">
        <f>IF($A80="","",IF(C80="",0,C80))</f>
        <v/>
      </c>
      <c r="K80" s="71">
        <f>IF($A80="","",IF(E80="",0,E80))</f>
        <v/>
      </c>
      <c r="L80" s="70">
        <f>IF($A80="","",B80-D80)</f>
        <v/>
      </c>
      <c r="M80" s="71">
        <f>IF($A80="","",J80-K80)</f>
        <v/>
      </c>
      <c r="N80" s="71">
        <f>IF($A80="","",IF(G80="",0,G80))</f>
        <v/>
      </c>
      <c r="O80" s="70">
        <f>IF($A80="","",D80+F80)</f>
        <v/>
      </c>
      <c r="P80" s="71">
        <f>IF($A80="","",K80+N80)</f>
        <v/>
      </c>
      <c r="Q80" s="70">
        <f>IF($A80="","",I80+L80-F80)</f>
        <v/>
      </c>
      <c r="R80" s="72">
        <f>IF($A80="","",IF(H80="",Q80,H80))</f>
        <v/>
      </c>
      <c r="S80" s="73">
        <f>IF($A80="","",R80-Q80)</f>
        <v/>
      </c>
      <c r="T80" s="70">
        <f>IF($A80="","",SUMIFS($B$5:$B$800,$A$5:$A$800,"&gt;="&amp;DATE(YEAR($A80),MONTH($A80),1),$A$5:$A$800,"&lt;="&amp;$A80)+IF(AND(YEAR($A80)=YEAR(Settings!$B$3),MONTH($A80)=MONTH(Settings!$B$3)),Settings!$B$6,0))</f>
        <v/>
      </c>
      <c r="U80" s="71">
        <f>IF($A80="","",SUMIFS($J$5:$J$800,$A$5:$A$800,"&gt;="&amp;DATE(YEAR($A80),MONTH($A80),1),$A$5:$A$800,"&lt;="&amp;$A80)+IF(AND(YEAR($A80)=YEAR(Settings!$B$3),MONTH($A80)=MONTH(Settings!$B$3)),Settings!$B$7,0))</f>
        <v/>
      </c>
      <c r="V80" s="70">
        <f>IF($A80="","",Settings!$B$8+SUM($B$5:B80))</f>
        <v/>
      </c>
      <c r="W80" s="71">
        <f>IF($A80="","",Settings!$B$9+SUM($J$5:J80))</f>
        <v/>
      </c>
      <c r="X80" s="71">
        <f>IF($A80="","",IF(AND(N80&gt;0,F80&gt;0),ROUND(F80/N80,0),X79))</f>
        <v/>
      </c>
      <c r="Y80" s="74">
        <f>IF($A80="","",IF(AND(M80&gt;0,L80&gt;0),ROUND(L80/M80,0),IF(AND(J80&gt;0,B80&gt;0),ROUND(B80/J80,0),Y79)))</f>
        <v/>
      </c>
    </row>
    <row r="81">
      <c r="A81" s="67" t="n"/>
      <c r="B81" s="68" t="n"/>
      <c r="C81" s="69" t="n"/>
      <c r="D81" s="68" t="n"/>
      <c r="E81" s="69" t="n"/>
      <c r="F81" s="68" t="n"/>
      <c r="G81" s="69" t="n"/>
      <c r="H81" s="68" t="n"/>
      <c r="I81" s="70">
        <f>IF($A81="","",R80)</f>
        <v/>
      </c>
      <c r="J81" s="71">
        <f>IF($A81="","",IF(C81="",0,C81))</f>
        <v/>
      </c>
      <c r="K81" s="71">
        <f>IF($A81="","",IF(E81="",0,E81))</f>
        <v/>
      </c>
      <c r="L81" s="70">
        <f>IF($A81="","",B81-D81)</f>
        <v/>
      </c>
      <c r="M81" s="71">
        <f>IF($A81="","",J81-K81)</f>
        <v/>
      </c>
      <c r="N81" s="71">
        <f>IF($A81="","",IF(G81="",0,G81))</f>
        <v/>
      </c>
      <c r="O81" s="70">
        <f>IF($A81="","",D81+F81)</f>
        <v/>
      </c>
      <c r="P81" s="71">
        <f>IF($A81="","",K81+N81)</f>
        <v/>
      </c>
      <c r="Q81" s="70">
        <f>IF($A81="","",I81+L81-F81)</f>
        <v/>
      </c>
      <c r="R81" s="72">
        <f>IF($A81="","",IF(H81="",Q81,H81))</f>
        <v/>
      </c>
      <c r="S81" s="73">
        <f>IF($A81="","",R81-Q81)</f>
        <v/>
      </c>
      <c r="T81" s="70">
        <f>IF($A81="","",SUMIFS($B$5:$B$800,$A$5:$A$800,"&gt;="&amp;DATE(YEAR($A81),MONTH($A81),1),$A$5:$A$800,"&lt;="&amp;$A81)+IF(AND(YEAR($A81)=YEAR(Settings!$B$3),MONTH($A81)=MONTH(Settings!$B$3)),Settings!$B$6,0))</f>
        <v/>
      </c>
      <c r="U81" s="71">
        <f>IF($A81="","",SUMIFS($J$5:$J$800,$A$5:$A$800,"&gt;="&amp;DATE(YEAR($A81),MONTH($A81),1),$A$5:$A$800,"&lt;="&amp;$A81)+IF(AND(YEAR($A81)=YEAR(Settings!$B$3),MONTH($A81)=MONTH(Settings!$B$3)),Settings!$B$7,0))</f>
        <v/>
      </c>
      <c r="V81" s="70">
        <f>IF($A81="","",Settings!$B$8+SUM($B$5:B81))</f>
        <v/>
      </c>
      <c r="W81" s="71">
        <f>IF($A81="","",Settings!$B$9+SUM($J$5:J81))</f>
        <v/>
      </c>
      <c r="X81" s="71">
        <f>IF($A81="","",IF(AND(N81&gt;0,F81&gt;0),ROUND(F81/N81,0),X80))</f>
        <v/>
      </c>
      <c r="Y81" s="74">
        <f>IF($A81="","",IF(AND(M81&gt;0,L81&gt;0),ROUND(L81/M81,0),IF(AND(J81&gt;0,B81&gt;0),ROUND(B81/J81,0),Y80)))</f>
        <v/>
      </c>
    </row>
    <row r="82">
      <c r="A82" s="67" t="n"/>
      <c r="B82" s="68" t="n"/>
      <c r="C82" s="69" t="n"/>
      <c r="D82" s="68" t="n"/>
      <c r="E82" s="69" t="n"/>
      <c r="F82" s="68" t="n"/>
      <c r="G82" s="69" t="n"/>
      <c r="H82" s="68" t="n"/>
      <c r="I82" s="70">
        <f>IF($A82="","",R81)</f>
        <v/>
      </c>
      <c r="J82" s="71">
        <f>IF($A82="","",IF(C82="",0,C82))</f>
        <v/>
      </c>
      <c r="K82" s="71">
        <f>IF($A82="","",IF(E82="",0,E82))</f>
        <v/>
      </c>
      <c r="L82" s="70">
        <f>IF($A82="","",B82-D82)</f>
        <v/>
      </c>
      <c r="M82" s="71">
        <f>IF($A82="","",J82-K82)</f>
        <v/>
      </c>
      <c r="N82" s="71">
        <f>IF($A82="","",IF(G82="",0,G82))</f>
        <v/>
      </c>
      <c r="O82" s="70">
        <f>IF($A82="","",D82+F82)</f>
        <v/>
      </c>
      <c r="P82" s="71">
        <f>IF($A82="","",K82+N82)</f>
        <v/>
      </c>
      <c r="Q82" s="70">
        <f>IF($A82="","",I82+L82-F82)</f>
        <v/>
      </c>
      <c r="R82" s="72">
        <f>IF($A82="","",IF(H82="",Q82,H82))</f>
        <v/>
      </c>
      <c r="S82" s="73">
        <f>IF($A82="","",R82-Q82)</f>
        <v/>
      </c>
      <c r="T82" s="70">
        <f>IF($A82="","",SUMIFS($B$5:$B$800,$A$5:$A$800,"&gt;="&amp;DATE(YEAR($A82),MONTH($A82),1),$A$5:$A$800,"&lt;="&amp;$A82)+IF(AND(YEAR($A82)=YEAR(Settings!$B$3),MONTH($A82)=MONTH(Settings!$B$3)),Settings!$B$6,0))</f>
        <v/>
      </c>
      <c r="U82" s="71">
        <f>IF($A82="","",SUMIFS($J$5:$J$800,$A$5:$A$800,"&gt;="&amp;DATE(YEAR($A82),MONTH($A82),1),$A$5:$A$800,"&lt;="&amp;$A82)+IF(AND(YEAR($A82)=YEAR(Settings!$B$3),MONTH($A82)=MONTH(Settings!$B$3)),Settings!$B$7,0))</f>
        <v/>
      </c>
      <c r="V82" s="70">
        <f>IF($A82="","",Settings!$B$8+SUM($B$5:B82))</f>
        <v/>
      </c>
      <c r="W82" s="71">
        <f>IF($A82="","",Settings!$B$9+SUM($J$5:J82))</f>
        <v/>
      </c>
      <c r="X82" s="71">
        <f>IF($A82="","",IF(AND(N82&gt;0,F82&gt;0),ROUND(F82/N82,0),X81))</f>
        <v/>
      </c>
      <c r="Y82" s="74">
        <f>IF($A82="","",IF(AND(M82&gt;0,L82&gt;0),ROUND(L82/M82,0),IF(AND(J82&gt;0,B82&gt;0),ROUND(B82/J82,0),Y81)))</f>
        <v/>
      </c>
    </row>
    <row r="83">
      <c r="A83" s="67" t="n"/>
      <c r="B83" s="68" t="n"/>
      <c r="C83" s="69" t="n"/>
      <c r="D83" s="68" t="n"/>
      <c r="E83" s="69" t="n"/>
      <c r="F83" s="68" t="n"/>
      <c r="G83" s="69" t="n"/>
      <c r="H83" s="68" t="n"/>
      <c r="I83" s="70">
        <f>IF($A83="","",R82)</f>
        <v/>
      </c>
      <c r="J83" s="71">
        <f>IF($A83="","",IF(C83="",0,C83))</f>
        <v/>
      </c>
      <c r="K83" s="71">
        <f>IF($A83="","",IF(E83="",0,E83))</f>
        <v/>
      </c>
      <c r="L83" s="70">
        <f>IF($A83="","",B83-D83)</f>
        <v/>
      </c>
      <c r="M83" s="71">
        <f>IF($A83="","",J83-K83)</f>
        <v/>
      </c>
      <c r="N83" s="71">
        <f>IF($A83="","",IF(G83="",0,G83))</f>
        <v/>
      </c>
      <c r="O83" s="70">
        <f>IF($A83="","",D83+F83)</f>
        <v/>
      </c>
      <c r="P83" s="71">
        <f>IF($A83="","",K83+N83)</f>
        <v/>
      </c>
      <c r="Q83" s="70">
        <f>IF($A83="","",I83+L83-F83)</f>
        <v/>
      </c>
      <c r="R83" s="72">
        <f>IF($A83="","",IF(H83="",Q83,H83))</f>
        <v/>
      </c>
      <c r="S83" s="73">
        <f>IF($A83="","",R83-Q83)</f>
        <v/>
      </c>
      <c r="T83" s="70">
        <f>IF($A83="","",SUMIFS($B$5:$B$800,$A$5:$A$800,"&gt;="&amp;DATE(YEAR($A83),MONTH($A83),1),$A$5:$A$800,"&lt;="&amp;$A83)+IF(AND(YEAR($A83)=YEAR(Settings!$B$3),MONTH($A83)=MONTH(Settings!$B$3)),Settings!$B$6,0))</f>
        <v/>
      </c>
      <c r="U83" s="71">
        <f>IF($A83="","",SUMIFS($J$5:$J$800,$A$5:$A$800,"&gt;="&amp;DATE(YEAR($A83),MONTH($A83),1),$A$5:$A$800,"&lt;="&amp;$A83)+IF(AND(YEAR($A83)=YEAR(Settings!$B$3),MONTH($A83)=MONTH(Settings!$B$3)),Settings!$B$7,0))</f>
        <v/>
      </c>
      <c r="V83" s="70">
        <f>IF($A83="","",Settings!$B$8+SUM($B$5:B83))</f>
        <v/>
      </c>
      <c r="W83" s="71">
        <f>IF($A83="","",Settings!$B$9+SUM($J$5:J83))</f>
        <v/>
      </c>
      <c r="X83" s="71">
        <f>IF($A83="","",IF(AND(N83&gt;0,F83&gt;0),ROUND(F83/N83,0),X82))</f>
        <v/>
      </c>
      <c r="Y83" s="74">
        <f>IF($A83="","",IF(AND(M83&gt;0,L83&gt;0),ROUND(L83/M83,0),IF(AND(J83&gt;0,B83&gt;0),ROUND(B83/J83,0),Y82)))</f>
        <v/>
      </c>
    </row>
    <row r="84">
      <c r="A84" s="67" t="n"/>
      <c r="B84" s="68" t="n"/>
      <c r="C84" s="69" t="n"/>
      <c r="D84" s="68" t="n"/>
      <c r="E84" s="69" t="n"/>
      <c r="F84" s="68" t="n"/>
      <c r="G84" s="69" t="n"/>
      <c r="H84" s="68" t="n"/>
      <c r="I84" s="70">
        <f>IF($A84="","",R83)</f>
        <v/>
      </c>
      <c r="J84" s="71">
        <f>IF($A84="","",IF(C84="",0,C84))</f>
        <v/>
      </c>
      <c r="K84" s="71">
        <f>IF($A84="","",IF(E84="",0,E84))</f>
        <v/>
      </c>
      <c r="L84" s="70">
        <f>IF($A84="","",B84-D84)</f>
        <v/>
      </c>
      <c r="M84" s="71">
        <f>IF($A84="","",J84-K84)</f>
        <v/>
      </c>
      <c r="N84" s="71">
        <f>IF($A84="","",IF(G84="",0,G84))</f>
        <v/>
      </c>
      <c r="O84" s="70">
        <f>IF($A84="","",D84+F84)</f>
        <v/>
      </c>
      <c r="P84" s="71">
        <f>IF($A84="","",K84+N84)</f>
        <v/>
      </c>
      <c r="Q84" s="70">
        <f>IF($A84="","",I84+L84-F84)</f>
        <v/>
      </c>
      <c r="R84" s="72">
        <f>IF($A84="","",IF(H84="",Q84,H84))</f>
        <v/>
      </c>
      <c r="S84" s="73">
        <f>IF($A84="","",R84-Q84)</f>
        <v/>
      </c>
      <c r="T84" s="70">
        <f>IF($A84="","",SUMIFS($B$5:$B$800,$A$5:$A$800,"&gt;="&amp;DATE(YEAR($A84),MONTH($A84),1),$A$5:$A$800,"&lt;="&amp;$A84)+IF(AND(YEAR($A84)=YEAR(Settings!$B$3),MONTH($A84)=MONTH(Settings!$B$3)),Settings!$B$6,0))</f>
        <v/>
      </c>
      <c r="U84" s="71">
        <f>IF($A84="","",SUMIFS($J$5:$J$800,$A$5:$A$800,"&gt;="&amp;DATE(YEAR($A84),MONTH($A84),1),$A$5:$A$800,"&lt;="&amp;$A84)+IF(AND(YEAR($A84)=YEAR(Settings!$B$3),MONTH($A84)=MONTH(Settings!$B$3)),Settings!$B$7,0))</f>
        <v/>
      </c>
      <c r="V84" s="70">
        <f>IF($A84="","",Settings!$B$8+SUM($B$5:B84))</f>
        <v/>
      </c>
      <c r="W84" s="71">
        <f>IF($A84="","",Settings!$B$9+SUM($J$5:J84))</f>
        <v/>
      </c>
      <c r="X84" s="71">
        <f>IF($A84="","",IF(AND(N84&gt;0,F84&gt;0),ROUND(F84/N84,0),X83))</f>
        <v/>
      </c>
      <c r="Y84" s="74">
        <f>IF($A84="","",IF(AND(M84&gt;0,L84&gt;0),ROUND(L84/M84,0),IF(AND(J84&gt;0,B84&gt;0),ROUND(B84/J84,0),Y83)))</f>
        <v/>
      </c>
    </row>
    <row r="85">
      <c r="A85" s="67" t="n"/>
      <c r="B85" s="68" t="n"/>
      <c r="C85" s="69" t="n"/>
      <c r="D85" s="68" t="n"/>
      <c r="E85" s="69" t="n"/>
      <c r="F85" s="68" t="n"/>
      <c r="G85" s="69" t="n"/>
      <c r="H85" s="68" t="n"/>
      <c r="I85" s="70">
        <f>IF($A85="","",R84)</f>
        <v/>
      </c>
      <c r="J85" s="71">
        <f>IF($A85="","",IF(C85="",0,C85))</f>
        <v/>
      </c>
      <c r="K85" s="71">
        <f>IF($A85="","",IF(E85="",0,E85))</f>
        <v/>
      </c>
      <c r="L85" s="70">
        <f>IF($A85="","",B85-D85)</f>
        <v/>
      </c>
      <c r="M85" s="71">
        <f>IF($A85="","",J85-K85)</f>
        <v/>
      </c>
      <c r="N85" s="71">
        <f>IF($A85="","",IF(G85="",0,G85))</f>
        <v/>
      </c>
      <c r="O85" s="70">
        <f>IF($A85="","",D85+F85)</f>
        <v/>
      </c>
      <c r="P85" s="71">
        <f>IF($A85="","",K85+N85)</f>
        <v/>
      </c>
      <c r="Q85" s="70">
        <f>IF($A85="","",I85+L85-F85)</f>
        <v/>
      </c>
      <c r="R85" s="72">
        <f>IF($A85="","",IF(H85="",Q85,H85))</f>
        <v/>
      </c>
      <c r="S85" s="73">
        <f>IF($A85="","",R85-Q85)</f>
        <v/>
      </c>
      <c r="T85" s="70">
        <f>IF($A85="","",SUMIFS($B$5:$B$800,$A$5:$A$800,"&gt;="&amp;DATE(YEAR($A85),MONTH($A85),1),$A$5:$A$800,"&lt;="&amp;$A85)+IF(AND(YEAR($A85)=YEAR(Settings!$B$3),MONTH($A85)=MONTH(Settings!$B$3)),Settings!$B$6,0))</f>
        <v/>
      </c>
      <c r="U85" s="71">
        <f>IF($A85="","",SUMIFS($J$5:$J$800,$A$5:$A$800,"&gt;="&amp;DATE(YEAR($A85),MONTH($A85),1),$A$5:$A$800,"&lt;="&amp;$A85)+IF(AND(YEAR($A85)=YEAR(Settings!$B$3),MONTH($A85)=MONTH(Settings!$B$3)),Settings!$B$7,0))</f>
        <v/>
      </c>
      <c r="V85" s="70">
        <f>IF($A85="","",Settings!$B$8+SUM($B$5:B85))</f>
        <v/>
      </c>
      <c r="W85" s="71">
        <f>IF($A85="","",Settings!$B$9+SUM($J$5:J85))</f>
        <v/>
      </c>
      <c r="X85" s="71">
        <f>IF($A85="","",IF(AND(N85&gt;0,F85&gt;0),ROUND(F85/N85,0),X84))</f>
        <v/>
      </c>
      <c r="Y85" s="74">
        <f>IF($A85="","",IF(AND(M85&gt;0,L85&gt;0),ROUND(L85/M85,0),IF(AND(J85&gt;0,B85&gt;0),ROUND(B85/J85,0),Y84)))</f>
        <v/>
      </c>
    </row>
    <row r="86">
      <c r="A86" s="67" t="n"/>
      <c r="B86" s="68" t="n"/>
      <c r="C86" s="69" t="n"/>
      <c r="D86" s="68" t="n"/>
      <c r="E86" s="69" t="n"/>
      <c r="F86" s="68" t="n"/>
      <c r="G86" s="69" t="n"/>
      <c r="H86" s="68" t="n"/>
      <c r="I86" s="70">
        <f>IF($A86="","",R85)</f>
        <v/>
      </c>
      <c r="J86" s="71">
        <f>IF($A86="","",IF(C86="",0,C86))</f>
        <v/>
      </c>
      <c r="K86" s="71">
        <f>IF($A86="","",IF(E86="",0,E86))</f>
        <v/>
      </c>
      <c r="L86" s="70">
        <f>IF($A86="","",B86-D86)</f>
        <v/>
      </c>
      <c r="M86" s="71">
        <f>IF($A86="","",J86-K86)</f>
        <v/>
      </c>
      <c r="N86" s="71">
        <f>IF($A86="","",IF(G86="",0,G86))</f>
        <v/>
      </c>
      <c r="O86" s="70">
        <f>IF($A86="","",D86+F86)</f>
        <v/>
      </c>
      <c r="P86" s="71">
        <f>IF($A86="","",K86+N86)</f>
        <v/>
      </c>
      <c r="Q86" s="70">
        <f>IF($A86="","",I86+L86-F86)</f>
        <v/>
      </c>
      <c r="R86" s="72">
        <f>IF($A86="","",IF(H86="",Q86,H86))</f>
        <v/>
      </c>
      <c r="S86" s="73">
        <f>IF($A86="","",R86-Q86)</f>
        <v/>
      </c>
      <c r="T86" s="70">
        <f>IF($A86="","",SUMIFS($B$5:$B$800,$A$5:$A$800,"&gt;="&amp;DATE(YEAR($A86),MONTH($A86),1),$A$5:$A$800,"&lt;="&amp;$A86)+IF(AND(YEAR($A86)=YEAR(Settings!$B$3),MONTH($A86)=MONTH(Settings!$B$3)),Settings!$B$6,0))</f>
        <v/>
      </c>
      <c r="U86" s="71">
        <f>IF($A86="","",SUMIFS($J$5:$J$800,$A$5:$A$800,"&gt;="&amp;DATE(YEAR($A86),MONTH($A86),1),$A$5:$A$800,"&lt;="&amp;$A86)+IF(AND(YEAR($A86)=YEAR(Settings!$B$3),MONTH($A86)=MONTH(Settings!$B$3)),Settings!$B$7,0))</f>
        <v/>
      </c>
      <c r="V86" s="70">
        <f>IF($A86="","",Settings!$B$8+SUM($B$5:B86))</f>
        <v/>
      </c>
      <c r="W86" s="71">
        <f>IF($A86="","",Settings!$B$9+SUM($J$5:J86))</f>
        <v/>
      </c>
      <c r="X86" s="71">
        <f>IF($A86="","",IF(AND(N86&gt;0,F86&gt;0),ROUND(F86/N86,0),X85))</f>
        <v/>
      </c>
      <c r="Y86" s="74">
        <f>IF($A86="","",IF(AND(M86&gt;0,L86&gt;0),ROUND(L86/M86,0),IF(AND(J86&gt;0,B86&gt;0),ROUND(B86/J86,0),Y85)))</f>
        <v/>
      </c>
    </row>
    <row r="87">
      <c r="A87" s="67" t="n"/>
      <c r="B87" s="68" t="n"/>
      <c r="C87" s="69" t="n"/>
      <c r="D87" s="68" t="n"/>
      <c r="E87" s="69" t="n"/>
      <c r="F87" s="68" t="n"/>
      <c r="G87" s="69" t="n"/>
      <c r="H87" s="68" t="n"/>
      <c r="I87" s="70">
        <f>IF($A87="","",R86)</f>
        <v/>
      </c>
      <c r="J87" s="71">
        <f>IF($A87="","",IF(C87="",0,C87))</f>
        <v/>
      </c>
      <c r="K87" s="71">
        <f>IF($A87="","",IF(E87="",0,E87))</f>
        <v/>
      </c>
      <c r="L87" s="70">
        <f>IF($A87="","",B87-D87)</f>
        <v/>
      </c>
      <c r="M87" s="71">
        <f>IF($A87="","",J87-K87)</f>
        <v/>
      </c>
      <c r="N87" s="71">
        <f>IF($A87="","",IF(G87="",0,G87))</f>
        <v/>
      </c>
      <c r="O87" s="70">
        <f>IF($A87="","",D87+F87)</f>
        <v/>
      </c>
      <c r="P87" s="71">
        <f>IF($A87="","",K87+N87)</f>
        <v/>
      </c>
      <c r="Q87" s="70">
        <f>IF($A87="","",I87+L87-F87)</f>
        <v/>
      </c>
      <c r="R87" s="72">
        <f>IF($A87="","",IF(H87="",Q87,H87))</f>
        <v/>
      </c>
      <c r="S87" s="73">
        <f>IF($A87="","",R87-Q87)</f>
        <v/>
      </c>
      <c r="T87" s="70">
        <f>IF($A87="","",SUMIFS($B$5:$B$800,$A$5:$A$800,"&gt;="&amp;DATE(YEAR($A87),MONTH($A87),1),$A$5:$A$800,"&lt;="&amp;$A87)+IF(AND(YEAR($A87)=YEAR(Settings!$B$3),MONTH($A87)=MONTH(Settings!$B$3)),Settings!$B$6,0))</f>
        <v/>
      </c>
      <c r="U87" s="71">
        <f>IF($A87="","",SUMIFS($J$5:$J$800,$A$5:$A$800,"&gt;="&amp;DATE(YEAR($A87),MONTH($A87),1),$A$5:$A$800,"&lt;="&amp;$A87)+IF(AND(YEAR($A87)=YEAR(Settings!$B$3),MONTH($A87)=MONTH(Settings!$B$3)),Settings!$B$7,0))</f>
        <v/>
      </c>
      <c r="V87" s="70">
        <f>IF($A87="","",Settings!$B$8+SUM($B$5:B87))</f>
        <v/>
      </c>
      <c r="W87" s="71">
        <f>IF($A87="","",Settings!$B$9+SUM($J$5:J87))</f>
        <v/>
      </c>
      <c r="X87" s="71">
        <f>IF($A87="","",IF(AND(N87&gt;0,F87&gt;0),ROUND(F87/N87,0),X86))</f>
        <v/>
      </c>
      <c r="Y87" s="74">
        <f>IF($A87="","",IF(AND(M87&gt;0,L87&gt;0),ROUND(L87/M87,0),IF(AND(J87&gt;0,B87&gt;0),ROUND(B87/J87,0),Y86)))</f>
        <v/>
      </c>
    </row>
    <row r="88">
      <c r="A88" s="67" t="n"/>
      <c r="B88" s="68" t="n"/>
      <c r="C88" s="69" t="n"/>
      <c r="D88" s="68" t="n"/>
      <c r="E88" s="69" t="n"/>
      <c r="F88" s="68" t="n"/>
      <c r="G88" s="69" t="n"/>
      <c r="H88" s="68" t="n"/>
      <c r="I88" s="70">
        <f>IF($A88="","",R87)</f>
        <v/>
      </c>
      <c r="J88" s="71">
        <f>IF($A88="","",IF(C88="",0,C88))</f>
        <v/>
      </c>
      <c r="K88" s="71">
        <f>IF($A88="","",IF(E88="",0,E88))</f>
        <v/>
      </c>
      <c r="L88" s="70">
        <f>IF($A88="","",B88-D88)</f>
        <v/>
      </c>
      <c r="M88" s="71">
        <f>IF($A88="","",J88-K88)</f>
        <v/>
      </c>
      <c r="N88" s="71">
        <f>IF($A88="","",IF(G88="",0,G88))</f>
        <v/>
      </c>
      <c r="O88" s="70">
        <f>IF($A88="","",D88+F88)</f>
        <v/>
      </c>
      <c r="P88" s="71">
        <f>IF($A88="","",K88+N88)</f>
        <v/>
      </c>
      <c r="Q88" s="70">
        <f>IF($A88="","",I88+L88-F88)</f>
        <v/>
      </c>
      <c r="R88" s="72">
        <f>IF($A88="","",IF(H88="",Q88,H88))</f>
        <v/>
      </c>
      <c r="S88" s="73">
        <f>IF($A88="","",R88-Q88)</f>
        <v/>
      </c>
      <c r="T88" s="70">
        <f>IF($A88="","",SUMIFS($B$5:$B$800,$A$5:$A$800,"&gt;="&amp;DATE(YEAR($A88),MONTH($A88),1),$A$5:$A$800,"&lt;="&amp;$A88)+IF(AND(YEAR($A88)=YEAR(Settings!$B$3),MONTH($A88)=MONTH(Settings!$B$3)),Settings!$B$6,0))</f>
        <v/>
      </c>
      <c r="U88" s="71">
        <f>IF($A88="","",SUMIFS($J$5:$J$800,$A$5:$A$800,"&gt;="&amp;DATE(YEAR($A88),MONTH($A88),1),$A$5:$A$800,"&lt;="&amp;$A88)+IF(AND(YEAR($A88)=YEAR(Settings!$B$3),MONTH($A88)=MONTH(Settings!$B$3)),Settings!$B$7,0))</f>
        <v/>
      </c>
      <c r="V88" s="70">
        <f>IF($A88="","",Settings!$B$8+SUM($B$5:B88))</f>
        <v/>
      </c>
      <c r="W88" s="71">
        <f>IF($A88="","",Settings!$B$9+SUM($J$5:J88))</f>
        <v/>
      </c>
      <c r="X88" s="71">
        <f>IF($A88="","",IF(AND(N88&gt;0,F88&gt;0),ROUND(F88/N88,0),X87))</f>
        <v/>
      </c>
      <c r="Y88" s="74">
        <f>IF($A88="","",IF(AND(M88&gt;0,L88&gt;0),ROUND(L88/M88,0),IF(AND(J88&gt;0,B88&gt;0),ROUND(B88/J88,0),Y87)))</f>
        <v/>
      </c>
    </row>
    <row r="89">
      <c r="A89" s="67" t="n"/>
      <c r="B89" s="68" t="n"/>
      <c r="C89" s="69" t="n"/>
      <c r="D89" s="68" t="n"/>
      <c r="E89" s="69" t="n"/>
      <c r="F89" s="68" t="n"/>
      <c r="G89" s="69" t="n"/>
      <c r="H89" s="68" t="n"/>
      <c r="I89" s="70">
        <f>IF($A89="","",R88)</f>
        <v/>
      </c>
      <c r="J89" s="71">
        <f>IF($A89="","",IF(C89="",0,C89))</f>
        <v/>
      </c>
      <c r="K89" s="71">
        <f>IF($A89="","",IF(E89="",0,E89))</f>
        <v/>
      </c>
      <c r="L89" s="70">
        <f>IF($A89="","",B89-D89)</f>
        <v/>
      </c>
      <c r="M89" s="71">
        <f>IF($A89="","",J89-K89)</f>
        <v/>
      </c>
      <c r="N89" s="71">
        <f>IF($A89="","",IF(G89="",0,G89))</f>
        <v/>
      </c>
      <c r="O89" s="70">
        <f>IF($A89="","",D89+F89)</f>
        <v/>
      </c>
      <c r="P89" s="71">
        <f>IF($A89="","",K89+N89)</f>
        <v/>
      </c>
      <c r="Q89" s="70">
        <f>IF($A89="","",I89+L89-F89)</f>
        <v/>
      </c>
      <c r="R89" s="72">
        <f>IF($A89="","",IF(H89="",Q89,H89))</f>
        <v/>
      </c>
      <c r="S89" s="73">
        <f>IF($A89="","",R89-Q89)</f>
        <v/>
      </c>
      <c r="T89" s="70">
        <f>IF($A89="","",SUMIFS($B$5:$B$800,$A$5:$A$800,"&gt;="&amp;DATE(YEAR($A89),MONTH($A89),1),$A$5:$A$800,"&lt;="&amp;$A89)+IF(AND(YEAR($A89)=YEAR(Settings!$B$3),MONTH($A89)=MONTH(Settings!$B$3)),Settings!$B$6,0))</f>
        <v/>
      </c>
      <c r="U89" s="71">
        <f>IF($A89="","",SUMIFS($J$5:$J$800,$A$5:$A$800,"&gt;="&amp;DATE(YEAR($A89),MONTH($A89),1),$A$5:$A$800,"&lt;="&amp;$A89)+IF(AND(YEAR($A89)=YEAR(Settings!$B$3),MONTH($A89)=MONTH(Settings!$B$3)),Settings!$B$7,0))</f>
        <v/>
      </c>
      <c r="V89" s="70">
        <f>IF($A89="","",Settings!$B$8+SUM($B$5:B89))</f>
        <v/>
      </c>
      <c r="W89" s="71">
        <f>IF($A89="","",Settings!$B$9+SUM($J$5:J89))</f>
        <v/>
      </c>
      <c r="X89" s="71">
        <f>IF($A89="","",IF(AND(N89&gt;0,F89&gt;0),ROUND(F89/N89,0),X88))</f>
        <v/>
      </c>
      <c r="Y89" s="74">
        <f>IF($A89="","",IF(AND(M89&gt;0,L89&gt;0),ROUND(L89/M89,0),IF(AND(J89&gt;0,B89&gt;0),ROUND(B89/J89,0),Y88)))</f>
        <v/>
      </c>
    </row>
    <row r="90">
      <c r="A90" s="67" t="n"/>
      <c r="B90" s="68" t="n"/>
      <c r="C90" s="69" t="n"/>
      <c r="D90" s="68" t="n"/>
      <c r="E90" s="69" t="n"/>
      <c r="F90" s="68" t="n"/>
      <c r="G90" s="69" t="n"/>
      <c r="H90" s="68" t="n"/>
      <c r="I90" s="70">
        <f>IF($A90="","",R89)</f>
        <v/>
      </c>
      <c r="J90" s="71">
        <f>IF($A90="","",IF(C90="",0,C90))</f>
        <v/>
      </c>
      <c r="K90" s="71">
        <f>IF($A90="","",IF(E90="",0,E90))</f>
        <v/>
      </c>
      <c r="L90" s="70">
        <f>IF($A90="","",B90-D90)</f>
        <v/>
      </c>
      <c r="M90" s="71">
        <f>IF($A90="","",J90-K90)</f>
        <v/>
      </c>
      <c r="N90" s="71">
        <f>IF($A90="","",IF(G90="",0,G90))</f>
        <v/>
      </c>
      <c r="O90" s="70">
        <f>IF($A90="","",D90+F90)</f>
        <v/>
      </c>
      <c r="P90" s="71">
        <f>IF($A90="","",K90+N90)</f>
        <v/>
      </c>
      <c r="Q90" s="70">
        <f>IF($A90="","",I90+L90-F90)</f>
        <v/>
      </c>
      <c r="R90" s="72">
        <f>IF($A90="","",IF(H90="",Q90,H90))</f>
        <v/>
      </c>
      <c r="S90" s="73">
        <f>IF($A90="","",R90-Q90)</f>
        <v/>
      </c>
      <c r="T90" s="70">
        <f>IF($A90="","",SUMIFS($B$5:$B$800,$A$5:$A$800,"&gt;="&amp;DATE(YEAR($A90),MONTH($A90),1),$A$5:$A$800,"&lt;="&amp;$A90)+IF(AND(YEAR($A90)=YEAR(Settings!$B$3),MONTH($A90)=MONTH(Settings!$B$3)),Settings!$B$6,0))</f>
        <v/>
      </c>
      <c r="U90" s="71">
        <f>IF($A90="","",SUMIFS($J$5:$J$800,$A$5:$A$800,"&gt;="&amp;DATE(YEAR($A90),MONTH($A90),1),$A$5:$A$800,"&lt;="&amp;$A90)+IF(AND(YEAR($A90)=YEAR(Settings!$B$3),MONTH($A90)=MONTH(Settings!$B$3)),Settings!$B$7,0))</f>
        <v/>
      </c>
      <c r="V90" s="70">
        <f>IF($A90="","",Settings!$B$8+SUM($B$5:B90))</f>
        <v/>
      </c>
      <c r="W90" s="71">
        <f>IF($A90="","",Settings!$B$9+SUM($J$5:J90))</f>
        <v/>
      </c>
      <c r="X90" s="71">
        <f>IF($A90="","",IF(AND(N90&gt;0,F90&gt;0),ROUND(F90/N90,0),X89))</f>
        <v/>
      </c>
      <c r="Y90" s="74">
        <f>IF($A90="","",IF(AND(M90&gt;0,L90&gt;0),ROUND(L90/M90,0),IF(AND(J90&gt;0,B90&gt;0),ROUND(B90/J90,0),Y89)))</f>
        <v/>
      </c>
    </row>
    <row r="91">
      <c r="A91" s="67" t="n"/>
      <c r="B91" s="68" t="n"/>
      <c r="C91" s="69" t="n"/>
      <c r="D91" s="68" t="n"/>
      <c r="E91" s="69" t="n"/>
      <c r="F91" s="68" t="n"/>
      <c r="G91" s="69" t="n"/>
      <c r="H91" s="68" t="n"/>
      <c r="I91" s="70">
        <f>IF($A91="","",R90)</f>
        <v/>
      </c>
      <c r="J91" s="71">
        <f>IF($A91="","",IF(C91="",0,C91))</f>
        <v/>
      </c>
      <c r="K91" s="71">
        <f>IF($A91="","",IF(E91="",0,E91))</f>
        <v/>
      </c>
      <c r="L91" s="70">
        <f>IF($A91="","",B91-D91)</f>
        <v/>
      </c>
      <c r="M91" s="71">
        <f>IF($A91="","",J91-K91)</f>
        <v/>
      </c>
      <c r="N91" s="71">
        <f>IF($A91="","",IF(G91="",0,G91))</f>
        <v/>
      </c>
      <c r="O91" s="70">
        <f>IF($A91="","",D91+F91)</f>
        <v/>
      </c>
      <c r="P91" s="71">
        <f>IF($A91="","",K91+N91)</f>
        <v/>
      </c>
      <c r="Q91" s="70">
        <f>IF($A91="","",I91+L91-F91)</f>
        <v/>
      </c>
      <c r="R91" s="72">
        <f>IF($A91="","",IF(H91="",Q91,H91))</f>
        <v/>
      </c>
      <c r="S91" s="73">
        <f>IF($A91="","",R91-Q91)</f>
        <v/>
      </c>
      <c r="T91" s="70">
        <f>IF($A91="","",SUMIFS($B$5:$B$800,$A$5:$A$800,"&gt;="&amp;DATE(YEAR($A91),MONTH($A91),1),$A$5:$A$800,"&lt;="&amp;$A91)+IF(AND(YEAR($A91)=YEAR(Settings!$B$3),MONTH($A91)=MONTH(Settings!$B$3)),Settings!$B$6,0))</f>
        <v/>
      </c>
      <c r="U91" s="71">
        <f>IF($A91="","",SUMIFS($J$5:$J$800,$A$5:$A$800,"&gt;="&amp;DATE(YEAR($A91),MONTH($A91),1),$A$5:$A$800,"&lt;="&amp;$A91)+IF(AND(YEAR($A91)=YEAR(Settings!$B$3),MONTH($A91)=MONTH(Settings!$B$3)),Settings!$B$7,0))</f>
        <v/>
      </c>
      <c r="V91" s="70">
        <f>IF($A91="","",Settings!$B$8+SUM($B$5:B91))</f>
        <v/>
      </c>
      <c r="W91" s="71">
        <f>IF($A91="","",Settings!$B$9+SUM($J$5:J91))</f>
        <v/>
      </c>
      <c r="X91" s="71">
        <f>IF($A91="","",IF(AND(N91&gt;0,F91&gt;0),ROUND(F91/N91,0),X90))</f>
        <v/>
      </c>
      <c r="Y91" s="74">
        <f>IF($A91="","",IF(AND(M91&gt;0,L91&gt;0),ROUND(L91/M91,0),IF(AND(J91&gt;0,B91&gt;0),ROUND(B91/J91,0),Y90)))</f>
        <v/>
      </c>
    </row>
    <row r="92">
      <c r="A92" s="67" t="n"/>
      <c r="B92" s="68" t="n"/>
      <c r="C92" s="69" t="n"/>
      <c r="D92" s="68" t="n"/>
      <c r="E92" s="69" t="n"/>
      <c r="F92" s="68" t="n"/>
      <c r="G92" s="69" t="n"/>
      <c r="H92" s="68" t="n"/>
      <c r="I92" s="70">
        <f>IF($A92="","",R91)</f>
        <v/>
      </c>
      <c r="J92" s="71">
        <f>IF($A92="","",IF(C92="",0,C92))</f>
        <v/>
      </c>
      <c r="K92" s="71">
        <f>IF($A92="","",IF(E92="",0,E92))</f>
        <v/>
      </c>
      <c r="L92" s="70">
        <f>IF($A92="","",B92-D92)</f>
        <v/>
      </c>
      <c r="M92" s="71">
        <f>IF($A92="","",J92-K92)</f>
        <v/>
      </c>
      <c r="N92" s="71">
        <f>IF($A92="","",IF(G92="",0,G92))</f>
        <v/>
      </c>
      <c r="O92" s="70">
        <f>IF($A92="","",D92+F92)</f>
        <v/>
      </c>
      <c r="P92" s="71">
        <f>IF($A92="","",K92+N92)</f>
        <v/>
      </c>
      <c r="Q92" s="70">
        <f>IF($A92="","",I92+L92-F92)</f>
        <v/>
      </c>
      <c r="R92" s="72">
        <f>IF($A92="","",IF(H92="",Q92,H92))</f>
        <v/>
      </c>
      <c r="S92" s="73">
        <f>IF($A92="","",R92-Q92)</f>
        <v/>
      </c>
      <c r="T92" s="70">
        <f>IF($A92="","",SUMIFS($B$5:$B$800,$A$5:$A$800,"&gt;="&amp;DATE(YEAR($A92),MONTH($A92),1),$A$5:$A$800,"&lt;="&amp;$A92)+IF(AND(YEAR($A92)=YEAR(Settings!$B$3),MONTH($A92)=MONTH(Settings!$B$3)),Settings!$B$6,0))</f>
        <v/>
      </c>
      <c r="U92" s="71">
        <f>IF($A92="","",SUMIFS($J$5:$J$800,$A$5:$A$800,"&gt;="&amp;DATE(YEAR($A92),MONTH($A92),1),$A$5:$A$800,"&lt;="&amp;$A92)+IF(AND(YEAR($A92)=YEAR(Settings!$B$3),MONTH($A92)=MONTH(Settings!$B$3)),Settings!$B$7,0))</f>
        <v/>
      </c>
      <c r="V92" s="70">
        <f>IF($A92="","",Settings!$B$8+SUM($B$5:B92))</f>
        <v/>
      </c>
      <c r="W92" s="71">
        <f>IF($A92="","",Settings!$B$9+SUM($J$5:J92))</f>
        <v/>
      </c>
      <c r="X92" s="71">
        <f>IF($A92="","",IF(AND(N92&gt;0,F92&gt;0),ROUND(F92/N92,0),X91))</f>
        <v/>
      </c>
      <c r="Y92" s="74">
        <f>IF($A92="","",IF(AND(M92&gt;0,L92&gt;0),ROUND(L92/M92,0),IF(AND(J92&gt;0,B92&gt;0),ROUND(B92/J92,0),Y91)))</f>
        <v/>
      </c>
    </row>
    <row r="93">
      <c r="A93" s="67" t="n"/>
      <c r="B93" s="68" t="n"/>
      <c r="C93" s="69" t="n"/>
      <c r="D93" s="68" t="n"/>
      <c r="E93" s="69" t="n"/>
      <c r="F93" s="68" t="n"/>
      <c r="G93" s="69" t="n"/>
      <c r="H93" s="68" t="n"/>
      <c r="I93" s="70">
        <f>IF($A93="","",R92)</f>
        <v/>
      </c>
      <c r="J93" s="71">
        <f>IF($A93="","",IF(C93="",0,C93))</f>
        <v/>
      </c>
      <c r="K93" s="71">
        <f>IF($A93="","",IF(E93="",0,E93))</f>
        <v/>
      </c>
      <c r="L93" s="70">
        <f>IF($A93="","",B93-D93)</f>
        <v/>
      </c>
      <c r="M93" s="71">
        <f>IF($A93="","",J93-K93)</f>
        <v/>
      </c>
      <c r="N93" s="71">
        <f>IF($A93="","",IF(G93="",0,G93))</f>
        <v/>
      </c>
      <c r="O93" s="70">
        <f>IF($A93="","",D93+F93)</f>
        <v/>
      </c>
      <c r="P93" s="71">
        <f>IF($A93="","",K93+N93)</f>
        <v/>
      </c>
      <c r="Q93" s="70">
        <f>IF($A93="","",I93+L93-F93)</f>
        <v/>
      </c>
      <c r="R93" s="72">
        <f>IF($A93="","",IF(H93="",Q93,H93))</f>
        <v/>
      </c>
      <c r="S93" s="73">
        <f>IF($A93="","",R93-Q93)</f>
        <v/>
      </c>
      <c r="T93" s="70">
        <f>IF($A93="","",SUMIFS($B$5:$B$800,$A$5:$A$800,"&gt;="&amp;DATE(YEAR($A93),MONTH($A93),1),$A$5:$A$800,"&lt;="&amp;$A93)+IF(AND(YEAR($A93)=YEAR(Settings!$B$3),MONTH($A93)=MONTH(Settings!$B$3)),Settings!$B$6,0))</f>
        <v/>
      </c>
      <c r="U93" s="71">
        <f>IF($A93="","",SUMIFS($J$5:$J$800,$A$5:$A$800,"&gt;="&amp;DATE(YEAR($A93),MONTH($A93),1),$A$5:$A$800,"&lt;="&amp;$A93)+IF(AND(YEAR($A93)=YEAR(Settings!$B$3),MONTH($A93)=MONTH(Settings!$B$3)),Settings!$B$7,0))</f>
        <v/>
      </c>
      <c r="V93" s="70">
        <f>IF($A93="","",Settings!$B$8+SUM($B$5:B93))</f>
        <v/>
      </c>
      <c r="W93" s="71">
        <f>IF($A93="","",Settings!$B$9+SUM($J$5:J93))</f>
        <v/>
      </c>
      <c r="X93" s="71">
        <f>IF($A93="","",IF(AND(N93&gt;0,F93&gt;0),ROUND(F93/N93,0),X92))</f>
        <v/>
      </c>
      <c r="Y93" s="74">
        <f>IF($A93="","",IF(AND(M93&gt;0,L93&gt;0),ROUND(L93/M93,0),IF(AND(J93&gt;0,B93&gt;0),ROUND(B93/J93,0),Y92)))</f>
        <v/>
      </c>
    </row>
    <row r="94">
      <c r="A94" s="67" t="n"/>
      <c r="B94" s="68" t="n"/>
      <c r="C94" s="69" t="n"/>
      <c r="D94" s="68" t="n"/>
      <c r="E94" s="69" t="n"/>
      <c r="F94" s="68" t="n"/>
      <c r="G94" s="69" t="n"/>
      <c r="H94" s="68" t="n"/>
      <c r="I94" s="70">
        <f>IF($A94="","",R93)</f>
        <v/>
      </c>
      <c r="J94" s="71">
        <f>IF($A94="","",IF(C94="",0,C94))</f>
        <v/>
      </c>
      <c r="K94" s="71">
        <f>IF($A94="","",IF(E94="",0,E94))</f>
        <v/>
      </c>
      <c r="L94" s="70">
        <f>IF($A94="","",B94-D94)</f>
        <v/>
      </c>
      <c r="M94" s="71">
        <f>IF($A94="","",J94-K94)</f>
        <v/>
      </c>
      <c r="N94" s="71">
        <f>IF($A94="","",IF(G94="",0,G94))</f>
        <v/>
      </c>
      <c r="O94" s="70">
        <f>IF($A94="","",D94+F94)</f>
        <v/>
      </c>
      <c r="P94" s="71">
        <f>IF($A94="","",K94+N94)</f>
        <v/>
      </c>
      <c r="Q94" s="70">
        <f>IF($A94="","",I94+L94-F94)</f>
        <v/>
      </c>
      <c r="R94" s="72">
        <f>IF($A94="","",IF(H94="",Q94,H94))</f>
        <v/>
      </c>
      <c r="S94" s="73">
        <f>IF($A94="","",R94-Q94)</f>
        <v/>
      </c>
      <c r="T94" s="70">
        <f>IF($A94="","",SUMIFS($B$5:$B$800,$A$5:$A$800,"&gt;="&amp;DATE(YEAR($A94),MONTH($A94),1),$A$5:$A$800,"&lt;="&amp;$A94)+IF(AND(YEAR($A94)=YEAR(Settings!$B$3),MONTH($A94)=MONTH(Settings!$B$3)),Settings!$B$6,0))</f>
        <v/>
      </c>
      <c r="U94" s="71">
        <f>IF($A94="","",SUMIFS($J$5:$J$800,$A$5:$A$800,"&gt;="&amp;DATE(YEAR($A94),MONTH($A94),1),$A$5:$A$800,"&lt;="&amp;$A94)+IF(AND(YEAR($A94)=YEAR(Settings!$B$3),MONTH($A94)=MONTH(Settings!$B$3)),Settings!$B$7,0))</f>
        <v/>
      </c>
      <c r="V94" s="70">
        <f>IF($A94="","",Settings!$B$8+SUM($B$5:B94))</f>
        <v/>
      </c>
      <c r="W94" s="71">
        <f>IF($A94="","",Settings!$B$9+SUM($J$5:J94))</f>
        <v/>
      </c>
      <c r="X94" s="71">
        <f>IF($A94="","",IF(AND(N94&gt;0,F94&gt;0),ROUND(F94/N94,0),X93))</f>
        <v/>
      </c>
      <c r="Y94" s="74">
        <f>IF($A94="","",IF(AND(M94&gt;0,L94&gt;0),ROUND(L94/M94,0),IF(AND(J94&gt;0,B94&gt;0),ROUND(B94/J94,0),Y93)))</f>
        <v/>
      </c>
    </row>
    <row r="95">
      <c r="A95" s="67" t="n"/>
      <c r="B95" s="68" t="n"/>
      <c r="C95" s="69" t="n"/>
      <c r="D95" s="68" t="n"/>
      <c r="E95" s="69" t="n"/>
      <c r="F95" s="68" t="n"/>
      <c r="G95" s="69" t="n"/>
      <c r="H95" s="68" t="n"/>
      <c r="I95" s="70">
        <f>IF($A95="","",R94)</f>
        <v/>
      </c>
      <c r="J95" s="71">
        <f>IF($A95="","",IF(C95="",0,C95))</f>
        <v/>
      </c>
      <c r="K95" s="71">
        <f>IF($A95="","",IF(E95="",0,E95))</f>
        <v/>
      </c>
      <c r="L95" s="70">
        <f>IF($A95="","",B95-D95)</f>
        <v/>
      </c>
      <c r="M95" s="71">
        <f>IF($A95="","",J95-K95)</f>
        <v/>
      </c>
      <c r="N95" s="71">
        <f>IF($A95="","",IF(G95="",0,G95))</f>
        <v/>
      </c>
      <c r="O95" s="70">
        <f>IF($A95="","",D95+F95)</f>
        <v/>
      </c>
      <c r="P95" s="71">
        <f>IF($A95="","",K95+N95)</f>
        <v/>
      </c>
      <c r="Q95" s="70">
        <f>IF($A95="","",I95+L95-F95)</f>
        <v/>
      </c>
      <c r="R95" s="72">
        <f>IF($A95="","",IF(H95="",Q95,H95))</f>
        <v/>
      </c>
      <c r="S95" s="73">
        <f>IF($A95="","",R95-Q95)</f>
        <v/>
      </c>
      <c r="T95" s="70">
        <f>IF($A95="","",SUMIFS($B$5:$B$800,$A$5:$A$800,"&gt;="&amp;DATE(YEAR($A95),MONTH($A95),1),$A$5:$A$800,"&lt;="&amp;$A95)+IF(AND(YEAR($A95)=YEAR(Settings!$B$3),MONTH($A95)=MONTH(Settings!$B$3)),Settings!$B$6,0))</f>
        <v/>
      </c>
      <c r="U95" s="71">
        <f>IF($A95="","",SUMIFS($J$5:$J$800,$A$5:$A$800,"&gt;="&amp;DATE(YEAR($A95),MONTH($A95),1),$A$5:$A$800,"&lt;="&amp;$A95)+IF(AND(YEAR($A95)=YEAR(Settings!$B$3),MONTH($A95)=MONTH(Settings!$B$3)),Settings!$B$7,0))</f>
        <v/>
      </c>
      <c r="V95" s="70">
        <f>IF($A95="","",Settings!$B$8+SUM($B$5:B95))</f>
        <v/>
      </c>
      <c r="W95" s="71">
        <f>IF($A95="","",Settings!$B$9+SUM($J$5:J95))</f>
        <v/>
      </c>
      <c r="X95" s="71">
        <f>IF($A95="","",IF(AND(N95&gt;0,F95&gt;0),ROUND(F95/N95,0),X94))</f>
        <v/>
      </c>
      <c r="Y95" s="74">
        <f>IF($A95="","",IF(AND(M95&gt;0,L95&gt;0),ROUND(L95/M95,0),IF(AND(J95&gt;0,B95&gt;0),ROUND(B95/J95,0),Y94)))</f>
        <v/>
      </c>
    </row>
    <row r="96">
      <c r="A96" s="67" t="n"/>
      <c r="B96" s="68" t="n"/>
      <c r="C96" s="69" t="n"/>
      <c r="D96" s="68" t="n"/>
      <c r="E96" s="69" t="n"/>
      <c r="F96" s="68" t="n"/>
      <c r="G96" s="69" t="n"/>
      <c r="H96" s="68" t="n"/>
      <c r="I96" s="70">
        <f>IF($A96="","",R95)</f>
        <v/>
      </c>
      <c r="J96" s="71">
        <f>IF($A96="","",IF(C96="",0,C96))</f>
        <v/>
      </c>
      <c r="K96" s="71">
        <f>IF($A96="","",IF(E96="",0,E96))</f>
        <v/>
      </c>
      <c r="L96" s="70">
        <f>IF($A96="","",B96-D96)</f>
        <v/>
      </c>
      <c r="M96" s="71">
        <f>IF($A96="","",J96-K96)</f>
        <v/>
      </c>
      <c r="N96" s="71">
        <f>IF($A96="","",IF(G96="",0,G96))</f>
        <v/>
      </c>
      <c r="O96" s="70">
        <f>IF($A96="","",D96+F96)</f>
        <v/>
      </c>
      <c r="P96" s="71">
        <f>IF($A96="","",K96+N96)</f>
        <v/>
      </c>
      <c r="Q96" s="70">
        <f>IF($A96="","",I96+L96-F96)</f>
        <v/>
      </c>
      <c r="R96" s="72">
        <f>IF($A96="","",IF(H96="",Q96,H96))</f>
        <v/>
      </c>
      <c r="S96" s="73">
        <f>IF($A96="","",R96-Q96)</f>
        <v/>
      </c>
      <c r="T96" s="70">
        <f>IF($A96="","",SUMIFS($B$5:$B$800,$A$5:$A$800,"&gt;="&amp;DATE(YEAR($A96),MONTH($A96),1),$A$5:$A$800,"&lt;="&amp;$A96)+IF(AND(YEAR($A96)=YEAR(Settings!$B$3),MONTH($A96)=MONTH(Settings!$B$3)),Settings!$B$6,0))</f>
        <v/>
      </c>
      <c r="U96" s="71">
        <f>IF($A96="","",SUMIFS($J$5:$J$800,$A$5:$A$800,"&gt;="&amp;DATE(YEAR($A96),MONTH($A96),1),$A$5:$A$800,"&lt;="&amp;$A96)+IF(AND(YEAR($A96)=YEAR(Settings!$B$3),MONTH($A96)=MONTH(Settings!$B$3)),Settings!$B$7,0))</f>
        <v/>
      </c>
      <c r="V96" s="70">
        <f>IF($A96="","",Settings!$B$8+SUM($B$5:B96))</f>
        <v/>
      </c>
      <c r="W96" s="71">
        <f>IF($A96="","",Settings!$B$9+SUM($J$5:J96))</f>
        <v/>
      </c>
      <c r="X96" s="71">
        <f>IF($A96="","",IF(AND(N96&gt;0,F96&gt;0),ROUND(F96/N96,0),X95))</f>
        <v/>
      </c>
      <c r="Y96" s="74">
        <f>IF($A96="","",IF(AND(M96&gt;0,L96&gt;0),ROUND(L96/M96,0),IF(AND(J96&gt;0,B96&gt;0),ROUND(B96/J96,0),Y95)))</f>
        <v/>
      </c>
    </row>
    <row r="97">
      <c r="A97" s="67" t="n"/>
      <c r="B97" s="68" t="n"/>
      <c r="C97" s="69" t="n"/>
      <c r="D97" s="68" t="n"/>
      <c r="E97" s="69" t="n"/>
      <c r="F97" s="68" t="n"/>
      <c r="G97" s="69" t="n"/>
      <c r="H97" s="68" t="n"/>
      <c r="I97" s="70">
        <f>IF($A97="","",R96)</f>
        <v/>
      </c>
      <c r="J97" s="71">
        <f>IF($A97="","",IF(C97="",0,C97))</f>
        <v/>
      </c>
      <c r="K97" s="71">
        <f>IF($A97="","",IF(E97="",0,E97))</f>
        <v/>
      </c>
      <c r="L97" s="70">
        <f>IF($A97="","",B97-D97)</f>
        <v/>
      </c>
      <c r="M97" s="71">
        <f>IF($A97="","",J97-K97)</f>
        <v/>
      </c>
      <c r="N97" s="71">
        <f>IF($A97="","",IF(G97="",0,G97))</f>
        <v/>
      </c>
      <c r="O97" s="70">
        <f>IF($A97="","",D97+F97)</f>
        <v/>
      </c>
      <c r="P97" s="71">
        <f>IF($A97="","",K97+N97)</f>
        <v/>
      </c>
      <c r="Q97" s="70">
        <f>IF($A97="","",I97+L97-F97)</f>
        <v/>
      </c>
      <c r="R97" s="72">
        <f>IF($A97="","",IF(H97="",Q97,H97))</f>
        <v/>
      </c>
      <c r="S97" s="73">
        <f>IF($A97="","",R97-Q97)</f>
        <v/>
      </c>
      <c r="T97" s="70">
        <f>IF($A97="","",SUMIFS($B$5:$B$800,$A$5:$A$800,"&gt;="&amp;DATE(YEAR($A97),MONTH($A97),1),$A$5:$A$800,"&lt;="&amp;$A97)+IF(AND(YEAR($A97)=YEAR(Settings!$B$3),MONTH($A97)=MONTH(Settings!$B$3)),Settings!$B$6,0))</f>
        <v/>
      </c>
      <c r="U97" s="71">
        <f>IF($A97="","",SUMIFS($J$5:$J$800,$A$5:$A$800,"&gt;="&amp;DATE(YEAR($A97),MONTH($A97),1),$A$5:$A$800,"&lt;="&amp;$A97)+IF(AND(YEAR($A97)=YEAR(Settings!$B$3),MONTH($A97)=MONTH(Settings!$B$3)),Settings!$B$7,0))</f>
        <v/>
      </c>
      <c r="V97" s="70">
        <f>IF($A97="","",Settings!$B$8+SUM($B$5:B97))</f>
        <v/>
      </c>
      <c r="W97" s="71">
        <f>IF($A97="","",Settings!$B$9+SUM($J$5:J97))</f>
        <v/>
      </c>
      <c r="X97" s="71">
        <f>IF($A97="","",IF(AND(N97&gt;0,F97&gt;0),ROUND(F97/N97,0),X96))</f>
        <v/>
      </c>
      <c r="Y97" s="74">
        <f>IF($A97="","",IF(AND(M97&gt;0,L97&gt;0),ROUND(L97/M97,0),IF(AND(J97&gt;0,B97&gt;0),ROUND(B97/J97,0),Y96)))</f>
        <v/>
      </c>
    </row>
    <row r="98">
      <c r="A98" s="67" t="n"/>
      <c r="B98" s="68" t="n"/>
      <c r="C98" s="69" t="n"/>
      <c r="D98" s="68" t="n"/>
      <c r="E98" s="69" t="n"/>
      <c r="F98" s="68" t="n"/>
      <c r="G98" s="69" t="n"/>
      <c r="H98" s="68" t="n"/>
      <c r="I98" s="70">
        <f>IF($A98="","",R97)</f>
        <v/>
      </c>
      <c r="J98" s="71">
        <f>IF($A98="","",IF(C98="",0,C98))</f>
        <v/>
      </c>
      <c r="K98" s="71">
        <f>IF($A98="","",IF(E98="",0,E98))</f>
        <v/>
      </c>
      <c r="L98" s="70">
        <f>IF($A98="","",B98-D98)</f>
        <v/>
      </c>
      <c r="M98" s="71">
        <f>IF($A98="","",J98-K98)</f>
        <v/>
      </c>
      <c r="N98" s="71">
        <f>IF($A98="","",IF(G98="",0,G98))</f>
        <v/>
      </c>
      <c r="O98" s="70">
        <f>IF($A98="","",D98+F98)</f>
        <v/>
      </c>
      <c r="P98" s="71">
        <f>IF($A98="","",K98+N98)</f>
        <v/>
      </c>
      <c r="Q98" s="70">
        <f>IF($A98="","",I98+L98-F98)</f>
        <v/>
      </c>
      <c r="R98" s="72">
        <f>IF($A98="","",IF(H98="",Q98,H98))</f>
        <v/>
      </c>
      <c r="S98" s="73">
        <f>IF($A98="","",R98-Q98)</f>
        <v/>
      </c>
      <c r="T98" s="70">
        <f>IF($A98="","",SUMIFS($B$5:$B$800,$A$5:$A$800,"&gt;="&amp;DATE(YEAR($A98),MONTH($A98),1),$A$5:$A$800,"&lt;="&amp;$A98)+IF(AND(YEAR($A98)=YEAR(Settings!$B$3),MONTH($A98)=MONTH(Settings!$B$3)),Settings!$B$6,0))</f>
        <v/>
      </c>
      <c r="U98" s="71">
        <f>IF($A98="","",SUMIFS($J$5:$J$800,$A$5:$A$800,"&gt;="&amp;DATE(YEAR($A98),MONTH($A98),1),$A$5:$A$800,"&lt;="&amp;$A98)+IF(AND(YEAR($A98)=YEAR(Settings!$B$3),MONTH($A98)=MONTH(Settings!$B$3)),Settings!$B$7,0))</f>
        <v/>
      </c>
      <c r="V98" s="70">
        <f>IF($A98="","",Settings!$B$8+SUM($B$5:B98))</f>
        <v/>
      </c>
      <c r="W98" s="71">
        <f>IF($A98="","",Settings!$B$9+SUM($J$5:J98))</f>
        <v/>
      </c>
      <c r="X98" s="71">
        <f>IF($A98="","",IF(AND(N98&gt;0,F98&gt;0),ROUND(F98/N98,0),X97))</f>
        <v/>
      </c>
      <c r="Y98" s="74">
        <f>IF($A98="","",IF(AND(M98&gt;0,L98&gt;0),ROUND(L98/M98,0),IF(AND(J98&gt;0,B98&gt;0),ROUND(B98/J98,0),Y97)))</f>
        <v/>
      </c>
    </row>
    <row r="99">
      <c r="A99" s="67" t="n"/>
      <c r="B99" s="68" t="n"/>
      <c r="C99" s="69" t="n"/>
      <c r="D99" s="68" t="n"/>
      <c r="E99" s="69" t="n"/>
      <c r="F99" s="68" t="n"/>
      <c r="G99" s="69" t="n"/>
      <c r="H99" s="68" t="n"/>
      <c r="I99" s="70">
        <f>IF($A99="","",R98)</f>
        <v/>
      </c>
      <c r="J99" s="71">
        <f>IF($A99="","",IF(C99="",0,C99))</f>
        <v/>
      </c>
      <c r="K99" s="71">
        <f>IF($A99="","",IF(E99="",0,E99))</f>
        <v/>
      </c>
      <c r="L99" s="70">
        <f>IF($A99="","",B99-D99)</f>
        <v/>
      </c>
      <c r="M99" s="71">
        <f>IF($A99="","",J99-K99)</f>
        <v/>
      </c>
      <c r="N99" s="71">
        <f>IF($A99="","",IF(G99="",0,G99))</f>
        <v/>
      </c>
      <c r="O99" s="70">
        <f>IF($A99="","",D99+F99)</f>
        <v/>
      </c>
      <c r="P99" s="71">
        <f>IF($A99="","",K99+N99)</f>
        <v/>
      </c>
      <c r="Q99" s="70">
        <f>IF($A99="","",I99+L99-F99)</f>
        <v/>
      </c>
      <c r="R99" s="72">
        <f>IF($A99="","",IF(H99="",Q99,H99))</f>
        <v/>
      </c>
      <c r="S99" s="73">
        <f>IF($A99="","",R99-Q99)</f>
        <v/>
      </c>
      <c r="T99" s="70">
        <f>IF($A99="","",SUMIFS($B$5:$B$800,$A$5:$A$800,"&gt;="&amp;DATE(YEAR($A99),MONTH($A99),1),$A$5:$A$800,"&lt;="&amp;$A99)+IF(AND(YEAR($A99)=YEAR(Settings!$B$3),MONTH($A99)=MONTH(Settings!$B$3)),Settings!$B$6,0))</f>
        <v/>
      </c>
      <c r="U99" s="71">
        <f>IF($A99="","",SUMIFS($J$5:$J$800,$A$5:$A$800,"&gt;="&amp;DATE(YEAR($A99),MONTH($A99),1),$A$5:$A$800,"&lt;="&amp;$A99)+IF(AND(YEAR($A99)=YEAR(Settings!$B$3),MONTH($A99)=MONTH(Settings!$B$3)),Settings!$B$7,0))</f>
        <v/>
      </c>
      <c r="V99" s="70">
        <f>IF($A99="","",Settings!$B$8+SUM($B$5:B99))</f>
        <v/>
      </c>
      <c r="W99" s="71">
        <f>IF($A99="","",Settings!$B$9+SUM($J$5:J99))</f>
        <v/>
      </c>
      <c r="X99" s="71">
        <f>IF($A99="","",IF(AND(N99&gt;0,F99&gt;0),ROUND(F99/N99,0),X98))</f>
        <v/>
      </c>
      <c r="Y99" s="74">
        <f>IF($A99="","",IF(AND(M99&gt;0,L99&gt;0),ROUND(L99/M99,0),IF(AND(J99&gt;0,B99&gt;0),ROUND(B99/J99,0),Y98)))</f>
        <v/>
      </c>
    </row>
    <row r="100">
      <c r="A100" s="67" t="n"/>
      <c r="B100" s="68" t="n"/>
      <c r="C100" s="69" t="n"/>
      <c r="D100" s="68" t="n"/>
      <c r="E100" s="69" t="n"/>
      <c r="F100" s="68" t="n"/>
      <c r="G100" s="69" t="n"/>
      <c r="H100" s="68" t="n"/>
      <c r="I100" s="70">
        <f>IF($A100="","",R99)</f>
        <v/>
      </c>
      <c r="J100" s="71">
        <f>IF($A100="","",IF(C100="",0,C100))</f>
        <v/>
      </c>
      <c r="K100" s="71">
        <f>IF($A100="","",IF(E100="",0,E100))</f>
        <v/>
      </c>
      <c r="L100" s="70">
        <f>IF($A100="","",B100-D100)</f>
        <v/>
      </c>
      <c r="M100" s="71">
        <f>IF($A100="","",J100-K100)</f>
        <v/>
      </c>
      <c r="N100" s="71">
        <f>IF($A100="","",IF(G100="",0,G100))</f>
        <v/>
      </c>
      <c r="O100" s="70">
        <f>IF($A100="","",D100+F100)</f>
        <v/>
      </c>
      <c r="P100" s="71">
        <f>IF($A100="","",K100+N100)</f>
        <v/>
      </c>
      <c r="Q100" s="70">
        <f>IF($A100="","",I100+L100-F100)</f>
        <v/>
      </c>
      <c r="R100" s="72">
        <f>IF($A100="","",IF(H100="",Q100,H100))</f>
        <v/>
      </c>
      <c r="S100" s="73">
        <f>IF($A100="","",R100-Q100)</f>
        <v/>
      </c>
      <c r="T100" s="70">
        <f>IF($A100="","",SUMIFS($B$5:$B$800,$A$5:$A$800,"&gt;="&amp;DATE(YEAR($A100),MONTH($A100),1),$A$5:$A$800,"&lt;="&amp;$A100)+IF(AND(YEAR($A100)=YEAR(Settings!$B$3),MONTH($A100)=MONTH(Settings!$B$3)),Settings!$B$6,0))</f>
        <v/>
      </c>
      <c r="U100" s="71">
        <f>IF($A100="","",SUMIFS($J$5:$J$800,$A$5:$A$800,"&gt;="&amp;DATE(YEAR($A100),MONTH($A100),1),$A$5:$A$800,"&lt;="&amp;$A100)+IF(AND(YEAR($A100)=YEAR(Settings!$B$3),MONTH($A100)=MONTH(Settings!$B$3)),Settings!$B$7,0))</f>
        <v/>
      </c>
      <c r="V100" s="70">
        <f>IF($A100="","",Settings!$B$8+SUM($B$5:B100))</f>
        <v/>
      </c>
      <c r="W100" s="71">
        <f>IF($A100="","",Settings!$B$9+SUM($J$5:J100))</f>
        <v/>
      </c>
      <c r="X100" s="71">
        <f>IF($A100="","",IF(AND(N100&gt;0,F100&gt;0),ROUND(F100/N100,0),X99))</f>
        <v/>
      </c>
      <c r="Y100" s="74">
        <f>IF($A100="","",IF(AND(M100&gt;0,L100&gt;0),ROUND(L100/M100,0),IF(AND(J100&gt;0,B100&gt;0),ROUND(B100/J100,0),Y99)))</f>
        <v/>
      </c>
    </row>
    <row r="101">
      <c r="A101" s="67" t="n"/>
      <c r="B101" s="68" t="n"/>
      <c r="C101" s="69" t="n"/>
      <c r="D101" s="68" t="n"/>
      <c r="E101" s="69" t="n"/>
      <c r="F101" s="68" t="n"/>
      <c r="G101" s="69" t="n"/>
      <c r="H101" s="68" t="n"/>
      <c r="I101" s="70">
        <f>IF($A101="","",R100)</f>
        <v/>
      </c>
      <c r="J101" s="71">
        <f>IF($A101="","",IF(C101="",0,C101))</f>
        <v/>
      </c>
      <c r="K101" s="71">
        <f>IF($A101="","",IF(E101="",0,E101))</f>
        <v/>
      </c>
      <c r="L101" s="70">
        <f>IF($A101="","",B101-D101)</f>
        <v/>
      </c>
      <c r="M101" s="71">
        <f>IF($A101="","",J101-K101)</f>
        <v/>
      </c>
      <c r="N101" s="71">
        <f>IF($A101="","",IF(G101="",0,G101))</f>
        <v/>
      </c>
      <c r="O101" s="70">
        <f>IF($A101="","",D101+F101)</f>
        <v/>
      </c>
      <c r="P101" s="71">
        <f>IF($A101="","",K101+N101)</f>
        <v/>
      </c>
      <c r="Q101" s="70">
        <f>IF($A101="","",I101+L101-F101)</f>
        <v/>
      </c>
      <c r="R101" s="72">
        <f>IF($A101="","",IF(H101="",Q101,H101))</f>
        <v/>
      </c>
      <c r="S101" s="73">
        <f>IF($A101="","",R101-Q101)</f>
        <v/>
      </c>
      <c r="T101" s="70">
        <f>IF($A101="","",SUMIFS($B$5:$B$800,$A$5:$A$800,"&gt;="&amp;DATE(YEAR($A101),MONTH($A101),1),$A$5:$A$800,"&lt;="&amp;$A101)+IF(AND(YEAR($A101)=YEAR(Settings!$B$3),MONTH($A101)=MONTH(Settings!$B$3)),Settings!$B$6,0))</f>
        <v/>
      </c>
      <c r="U101" s="71">
        <f>IF($A101="","",SUMIFS($J$5:$J$800,$A$5:$A$800,"&gt;="&amp;DATE(YEAR($A101),MONTH($A101),1),$A$5:$A$800,"&lt;="&amp;$A101)+IF(AND(YEAR($A101)=YEAR(Settings!$B$3),MONTH($A101)=MONTH(Settings!$B$3)),Settings!$B$7,0))</f>
        <v/>
      </c>
      <c r="V101" s="70">
        <f>IF($A101="","",Settings!$B$8+SUM($B$5:B101))</f>
        <v/>
      </c>
      <c r="W101" s="71">
        <f>IF($A101="","",Settings!$B$9+SUM($J$5:J101))</f>
        <v/>
      </c>
      <c r="X101" s="71">
        <f>IF($A101="","",IF(AND(N101&gt;0,F101&gt;0),ROUND(F101/N101,0),X100))</f>
        <v/>
      </c>
      <c r="Y101" s="74">
        <f>IF($A101="","",IF(AND(M101&gt;0,L101&gt;0),ROUND(L101/M101,0),IF(AND(J101&gt;0,B101&gt;0),ROUND(B101/J101,0),Y100)))</f>
        <v/>
      </c>
    </row>
    <row r="102">
      <c r="A102" s="67" t="n"/>
      <c r="B102" s="68" t="n"/>
      <c r="C102" s="69" t="n"/>
      <c r="D102" s="68" t="n"/>
      <c r="E102" s="69" t="n"/>
      <c r="F102" s="68" t="n"/>
      <c r="G102" s="69" t="n"/>
      <c r="H102" s="68" t="n"/>
      <c r="I102" s="70">
        <f>IF($A102="","",R101)</f>
        <v/>
      </c>
      <c r="J102" s="71">
        <f>IF($A102="","",IF(C102="",0,C102))</f>
        <v/>
      </c>
      <c r="K102" s="71">
        <f>IF($A102="","",IF(E102="",0,E102))</f>
        <v/>
      </c>
      <c r="L102" s="70">
        <f>IF($A102="","",B102-D102)</f>
        <v/>
      </c>
      <c r="M102" s="71">
        <f>IF($A102="","",J102-K102)</f>
        <v/>
      </c>
      <c r="N102" s="71">
        <f>IF($A102="","",IF(G102="",0,G102))</f>
        <v/>
      </c>
      <c r="O102" s="70">
        <f>IF($A102="","",D102+F102)</f>
        <v/>
      </c>
      <c r="P102" s="71">
        <f>IF($A102="","",K102+N102)</f>
        <v/>
      </c>
      <c r="Q102" s="70">
        <f>IF($A102="","",I102+L102-F102)</f>
        <v/>
      </c>
      <c r="R102" s="72">
        <f>IF($A102="","",IF(H102="",Q102,H102))</f>
        <v/>
      </c>
      <c r="S102" s="73">
        <f>IF($A102="","",R102-Q102)</f>
        <v/>
      </c>
      <c r="T102" s="70">
        <f>IF($A102="","",SUMIFS($B$5:$B$800,$A$5:$A$800,"&gt;="&amp;DATE(YEAR($A102),MONTH($A102),1),$A$5:$A$800,"&lt;="&amp;$A102)+IF(AND(YEAR($A102)=YEAR(Settings!$B$3),MONTH($A102)=MONTH(Settings!$B$3)),Settings!$B$6,0))</f>
        <v/>
      </c>
      <c r="U102" s="71">
        <f>IF($A102="","",SUMIFS($J$5:$J$800,$A$5:$A$800,"&gt;="&amp;DATE(YEAR($A102),MONTH($A102),1),$A$5:$A$800,"&lt;="&amp;$A102)+IF(AND(YEAR($A102)=YEAR(Settings!$B$3),MONTH($A102)=MONTH(Settings!$B$3)),Settings!$B$7,0))</f>
        <v/>
      </c>
      <c r="V102" s="70">
        <f>IF($A102="","",Settings!$B$8+SUM($B$5:B102))</f>
        <v/>
      </c>
      <c r="W102" s="71">
        <f>IF($A102="","",Settings!$B$9+SUM($J$5:J102))</f>
        <v/>
      </c>
      <c r="X102" s="71">
        <f>IF($A102="","",IF(AND(N102&gt;0,F102&gt;0),ROUND(F102/N102,0),X101))</f>
        <v/>
      </c>
      <c r="Y102" s="74">
        <f>IF($A102="","",IF(AND(M102&gt;0,L102&gt;0),ROUND(L102/M102,0),IF(AND(J102&gt;0,B102&gt;0),ROUND(B102/J102,0),Y101)))</f>
        <v/>
      </c>
    </row>
    <row r="103">
      <c r="A103" s="67" t="n"/>
      <c r="B103" s="68" t="n"/>
      <c r="C103" s="69" t="n"/>
      <c r="D103" s="68" t="n"/>
      <c r="E103" s="69" t="n"/>
      <c r="F103" s="68" t="n"/>
      <c r="G103" s="69" t="n"/>
      <c r="H103" s="68" t="n"/>
      <c r="I103" s="70">
        <f>IF($A103="","",R102)</f>
        <v/>
      </c>
      <c r="J103" s="71">
        <f>IF($A103="","",IF(C103="",0,C103))</f>
        <v/>
      </c>
      <c r="K103" s="71">
        <f>IF($A103="","",IF(E103="",0,E103))</f>
        <v/>
      </c>
      <c r="L103" s="70">
        <f>IF($A103="","",B103-D103)</f>
        <v/>
      </c>
      <c r="M103" s="71">
        <f>IF($A103="","",J103-K103)</f>
        <v/>
      </c>
      <c r="N103" s="71">
        <f>IF($A103="","",IF(G103="",0,G103))</f>
        <v/>
      </c>
      <c r="O103" s="70">
        <f>IF($A103="","",D103+F103)</f>
        <v/>
      </c>
      <c r="P103" s="71">
        <f>IF($A103="","",K103+N103)</f>
        <v/>
      </c>
      <c r="Q103" s="70">
        <f>IF($A103="","",I103+L103-F103)</f>
        <v/>
      </c>
      <c r="R103" s="72">
        <f>IF($A103="","",IF(H103="",Q103,H103))</f>
        <v/>
      </c>
      <c r="S103" s="73">
        <f>IF($A103="","",R103-Q103)</f>
        <v/>
      </c>
      <c r="T103" s="70">
        <f>IF($A103="","",SUMIFS($B$5:$B$800,$A$5:$A$800,"&gt;="&amp;DATE(YEAR($A103),MONTH($A103),1),$A$5:$A$800,"&lt;="&amp;$A103)+IF(AND(YEAR($A103)=YEAR(Settings!$B$3),MONTH($A103)=MONTH(Settings!$B$3)),Settings!$B$6,0))</f>
        <v/>
      </c>
      <c r="U103" s="71">
        <f>IF($A103="","",SUMIFS($J$5:$J$800,$A$5:$A$800,"&gt;="&amp;DATE(YEAR($A103),MONTH($A103),1),$A$5:$A$800,"&lt;="&amp;$A103)+IF(AND(YEAR($A103)=YEAR(Settings!$B$3),MONTH($A103)=MONTH(Settings!$B$3)),Settings!$B$7,0))</f>
        <v/>
      </c>
      <c r="V103" s="70">
        <f>IF($A103="","",Settings!$B$8+SUM($B$5:B103))</f>
        <v/>
      </c>
      <c r="W103" s="71">
        <f>IF($A103="","",Settings!$B$9+SUM($J$5:J103))</f>
        <v/>
      </c>
      <c r="X103" s="71">
        <f>IF($A103="","",IF(AND(N103&gt;0,F103&gt;0),ROUND(F103/N103,0),X102))</f>
        <v/>
      </c>
      <c r="Y103" s="74">
        <f>IF($A103="","",IF(AND(M103&gt;0,L103&gt;0),ROUND(L103/M103,0),IF(AND(J103&gt;0,B103&gt;0),ROUND(B103/J103,0),Y102)))</f>
        <v/>
      </c>
    </row>
    <row r="104">
      <c r="A104" s="67" t="n"/>
      <c r="B104" s="68" t="n"/>
      <c r="C104" s="69" t="n"/>
      <c r="D104" s="68" t="n"/>
      <c r="E104" s="69" t="n"/>
      <c r="F104" s="68" t="n"/>
      <c r="G104" s="69" t="n"/>
      <c r="H104" s="68" t="n"/>
      <c r="I104" s="70">
        <f>IF($A104="","",R103)</f>
        <v/>
      </c>
      <c r="J104" s="71">
        <f>IF($A104="","",IF(C104="",0,C104))</f>
        <v/>
      </c>
      <c r="K104" s="71">
        <f>IF($A104="","",IF(E104="",0,E104))</f>
        <v/>
      </c>
      <c r="L104" s="70">
        <f>IF($A104="","",B104-D104)</f>
        <v/>
      </c>
      <c r="M104" s="71">
        <f>IF($A104="","",J104-K104)</f>
        <v/>
      </c>
      <c r="N104" s="71">
        <f>IF($A104="","",IF(G104="",0,G104))</f>
        <v/>
      </c>
      <c r="O104" s="70">
        <f>IF($A104="","",D104+F104)</f>
        <v/>
      </c>
      <c r="P104" s="71">
        <f>IF($A104="","",K104+N104)</f>
        <v/>
      </c>
      <c r="Q104" s="70">
        <f>IF($A104="","",I104+L104-F104)</f>
        <v/>
      </c>
      <c r="R104" s="72">
        <f>IF($A104="","",IF(H104="",Q104,H104))</f>
        <v/>
      </c>
      <c r="S104" s="73">
        <f>IF($A104="","",R104-Q104)</f>
        <v/>
      </c>
      <c r="T104" s="70">
        <f>IF($A104="","",SUMIFS($B$5:$B$800,$A$5:$A$800,"&gt;="&amp;DATE(YEAR($A104),MONTH($A104),1),$A$5:$A$800,"&lt;="&amp;$A104)+IF(AND(YEAR($A104)=YEAR(Settings!$B$3),MONTH($A104)=MONTH(Settings!$B$3)),Settings!$B$6,0))</f>
        <v/>
      </c>
      <c r="U104" s="71">
        <f>IF($A104="","",SUMIFS($J$5:$J$800,$A$5:$A$800,"&gt;="&amp;DATE(YEAR($A104),MONTH($A104),1),$A$5:$A$800,"&lt;="&amp;$A104)+IF(AND(YEAR($A104)=YEAR(Settings!$B$3),MONTH($A104)=MONTH(Settings!$B$3)),Settings!$B$7,0))</f>
        <v/>
      </c>
      <c r="V104" s="70">
        <f>IF($A104="","",Settings!$B$8+SUM($B$5:B104))</f>
        <v/>
      </c>
      <c r="W104" s="71">
        <f>IF($A104="","",Settings!$B$9+SUM($J$5:J104))</f>
        <v/>
      </c>
      <c r="X104" s="71">
        <f>IF($A104="","",IF(AND(N104&gt;0,F104&gt;0),ROUND(F104/N104,0),X103))</f>
        <v/>
      </c>
      <c r="Y104" s="74">
        <f>IF($A104="","",IF(AND(M104&gt;0,L104&gt;0),ROUND(L104/M104,0),IF(AND(J104&gt;0,B104&gt;0),ROUND(B104/J104,0),Y103)))</f>
        <v/>
      </c>
    </row>
    <row r="105">
      <c r="A105" s="67" t="n"/>
      <c r="B105" s="68" t="n"/>
      <c r="C105" s="69" t="n"/>
      <c r="D105" s="68" t="n"/>
      <c r="E105" s="69" t="n"/>
      <c r="F105" s="68" t="n"/>
      <c r="G105" s="69" t="n"/>
      <c r="H105" s="68" t="n"/>
      <c r="I105" s="70">
        <f>IF($A105="","",R104)</f>
        <v/>
      </c>
      <c r="J105" s="71">
        <f>IF($A105="","",IF(C105="",0,C105))</f>
        <v/>
      </c>
      <c r="K105" s="71">
        <f>IF($A105="","",IF(E105="",0,E105))</f>
        <v/>
      </c>
      <c r="L105" s="70">
        <f>IF($A105="","",B105-D105)</f>
        <v/>
      </c>
      <c r="M105" s="71">
        <f>IF($A105="","",J105-K105)</f>
        <v/>
      </c>
      <c r="N105" s="71">
        <f>IF($A105="","",IF(G105="",0,G105))</f>
        <v/>
      </c>
      <c r="O105" s="70">
        <f>IF($A105="","",D105+F105)</f>
        <v/>
      </c>
      <c r="P105" s="71">
        <f>IF($A105="","",K105+N105)</f>
        <v/>
      </c>
      <c r="Q105" s="70">
        <f>IF($A105="","",I105+L105-F105)</f>
        <v/>
      </c>
      <c r="R105" s="72">
        <f>IF($A105="","",IF(H105="",Q105,H105))</f>
        <v/>
      </c>
      <c r="S105" s="73">
        <f>IF($A105="","",R105-Q105)</f>
        <v/>
      </c>
      <c r="T105" s="70">
        <f>IF($A105="","",SUMIFS($B$5:$B$800,$A$5:$A$800,"&gt;="&amp;DATE(YEAR($A105),MONTH($A105),1),$A$5:$A$800,"&lt;="&amp;$A105)+IF(AND(YEAR($A105)=YEAR(Settings!$B$3),MONTH($A105)=MONTH(Settings!$B$3)),Settings!$B$6,0))</f>
        <v/>
      </c>
      <c r="U105" s="71">
        <f>IF($A105="","",SUMIFS($J$5:$J$800,$A$5:$A$800,"&gt;="&amp;DATE(YEAR($A105),MONTH($A105),1),$A$5:$A$800,"&lt;="&amp;$A105)+IF(AND(YEAR($A105)=YEAR(Settings!$B$3),MONTH($A105)=MONTH(Settings!$B$3)),Settings!$B$7,0))</f>
        <v/>
      </c>
      <c r="V105" s="70">
        <f>IF($A105="","",Settings!$B$8+SUM($B$5:B105))</f>
        <v/>
      </c>
      <c r="W105" s="71">
        <f>IF($A105="","",Settings!$B$9+SUM($J$5:J105))</f>
        <v/>
      </c>
      <c r="X105" s="71">
        <f>IF($A105="","",IF(AND(N105&gt;0,F105&gt;0),ROUND(F105/N105,0),X104))</f>
        <v/>
      </c>
      <c r="Y105" s="74">
        <f>IF($A105="","",IF(AND(M105&gt;0,L105&gt;0),ROUND(L105/M105,0),IF(AND(J105&gt;0,B105&gt;0),ROUND(B105/J105,0),Y104)))</f>
        <v/>
      </c>
    </row>
    <row r="106">
      <c r="A106" s="67" t="n"/>
      <c r="B106" s="68" t="n"/>
      <c r="C106" s="69" t="n"/>
      <c r="D106" s="68" t="n"/>
      <c r="E106" s="69" t="n"/>
      <c r="F106" s="68" t="n"/>
      <c r="G106" s="69" t="n"/>
      <c r="H106" s="68" t="n"/>
      <c r="I106" s="70">
        <f>IF($A106="","",R105)</f>
        <v/>
      </c>
      <c r="J106" s="71">
        <f>IF($A106="","",IF(C106="",0,C106))</f>
        <v/>
      </c>
      <c r="K106" s="71">
        <f>IF($A106="","",IF(E106="",0,E106))</f>
        <v/>
      </c>
      <c r="L106" s="70">
        <f>IF($A106="","",B106-D106)</f>
        <v/>
      </c>
      <c r="M106" s="71">
        <f>IF($A106="","",J106-K106)</f>
        <v/>
      </c>
      <c r="N106" s="71">
        <f>IF($A106="","",IF(G106="",0,G106))</f>
        <v/>
      </c>
      <c r="O106" s="70">
        <f>IF($A106="","",D106+F106)</f>
        <v/>
      </c>
      <c r="P106" s="71">
        <f>IF($A106="","",K106+N106)</f>
        <v/>
      </c>
      <c r="Q106" s="70">
        <f>IF($A106="","",I106+L106-F106)</f>
        <v/>
      </c>
      <c r="R106" s="72">
        <f>IF($A106="","",IF(H106="",Q106,H106))</f>
        <v/>
      </c>
      <c r="S106" s="73">
        <f>IF($A106="","",R106-Q106)</f>
        <v/>
      </c>
      <c r="T106" s="70">
        <f>IF($A106="","",SUMIFS($B$5:$B$800,$A$5:$A$800,"&gt;="&amp;DATE(YEAR($A106),MONTH($A106),1),$A$5:$A$800,"&lt;="&amp;$A106)+IF(AND(YEAR($A106)=YEAR(Settings!$B$3),MONTH($A106)=MONTH(Settings!$B$3)),Settings!$B$6,0))</f>
        <v/>
      </c>
      <c r="U106" s="71">
        <f>IF($A106="","",SUMIFS($J$5:$J$800,$A$5:$A$800,"&gt;="&amp;DATE(YEAR($A106),MONTH($A106),1),$A$5:$A$800,"&lt;="&amp;$A106)+IF(AND(YEAR($A106)=YEAR(Settings!$B$3),MONTH($A106)=MONTH(Settings!$B$3)),Settings!$B$7,0))</f>
        <v/>
      </c>
      <c r="V106" s="70">
        <f>IF($A106="","",Settings!$B$8+SUM($B$5:B106))</f>
        <v/>
      </c>
      <c r="W106" s="71">
        <f>IF($A106="","",Settings!$B$9+SUM($J$5:J106))</f>
        <v/>
      </c>
      <c r="X106" s="71">
        <f>IF($A106="","",IF(AND(N106&gt;0,F106&gt;0),ROUND(F106/N106,0),X105))</f>
        <v/>
      </c>
      <c r="Y106" s="74">
        <f>IF($A106="","",IF(AND(M106&gt;0,L106&gt;0),ROUND(L106/M106,0),IF(AND(J106&gt;0,B106&gt;0),ROUND(B106/J106,0),Y105)))</f>
        <v/>
      </c>
    </row>
    <row r="107">
      <c r="A107" s="67" t="n"/>
      <c r="B107" s="68" t="n"/>
      <c r="C107" s="69" t="n"/>
      <c r="D107" s="68" t="n"/>
      <c r="E107" s="69" t="n"/>
      <c r="F107" s="68" t="n"/>
      <c r="G107" s="69" t="n"/>
      <c r="H107" s="68" t="n"/>
      <c r="I107" s="70">
        <f>IF($A107="","",R106)</f>
        <v/>
      </c>
      <c r="J107" s="71">
        <f>IF($A107="","",IF(C107="",0,C107))</f>
        <v/>
      </c>
      <c r="K107" s="71">
        <f>IF($A107="","",IF(E107="",0,E107))</f>
        <v/>
      </c>
      <c r="L107" s="70">
        <f>IF($A107="","",B107-D107)</f>
        <v/>
      </c>
      <c r="M107" s="71">
        <f>IF($A107="","",J107-K107)</f>
        <v/>
      </c>
      <c r="N107" s="71">
        <f>IF($A107="","",IF(G107="",0,G107))</f>
        <v/>
      </c>
      <c r="O107" s="70">
        <f>IF($A107="","",D107+F107)</f>
        <v/>
      </c>
      <c r="P107" s="71">
        <f>IF($A107="","",K107+N107)</f>
        <v/>
      </c>
      <c r="Q107" s="70">
        <f>IF($A107="","",I107+L107-F107)</f>
        <v/>
      </c>
      <c r="R107" s="72">
        <f>IF($A107="","",IF(H107="",Q107,H107))</f>
        <v/>
      </c>
      <c r="S107" s="73">
        <f>IF($A107="","",R107-Q107)</f>
        <v/>
      </c>
      <c r="T107" s="70">
        <f>IF($A107="","",SUMIFS($B$5:$B$800,$A$5:$A$800,"&gt;="&amp;DATE(YEAR($A107),MONTH($A107),1),$A$5:$A$800,"&lt;="&amp;$A107)+IF(AND(YEAR($A107)=YEAR(Settings!$B$3),MONTH($A107)=MONTH(Settings!$B$3)),Settings!$B$6,0))</f>
        <v/>
      </c>
      <c r="U107" s="71">
        <f>IF($A107="","",SUMIFS($J$5:$J$800,$A$5:$A$800,"&gt;="&amp;DATE(YEAR($A107),MONTH($A107),1),$A$5:$A$800,"&lt;="&amp;$A107)+IF(AND(YEAR($A107)=YEAR(Settings!$B$3),MONTH($A107)=MONTH(Settings!$B$3)),Settings!$B$7,0))</f>
        <v/>
      </c>
      <c r="V107" s="70">
        <f>IF($A107="","",Settings!$B$8+SUM($B$5:B107))</f>
        <v/>
      </c>
      <c r="W107" s="71">
        <f>IF($A107="","",Settings!$B$9+SUM($J$5:J107))</f>
        <v/>
      </c>
      <c r="X107" s="71">
        <f>IF($A107="","",IF(AND(N107&gt;0,F107&gt;0),ROUND(F107/N107,0),X106))</f>
        <v/>
      </c>
      <c r="Y107" s="74">
        <f>IF($A107="","",IF(AND(M107&gt;0,L107&gt;0),ROUND(L107/M107,0),IF(AND(J107&gt;0,B107&gt;0),ROUND(B107/J107,0),Y106)))</f>
        <v/>
      </c>
    </row>
    <row r="108">
      <c r="A108" s="67" t="n"/>
      <c r="B108" s="68" t="n"/>
      <c r="C108" s="69" t="n"/>
      <c r="D108" s="68" t="n"/>
      <c r="E108" s="69" t="n"/>
      <c r="F108" s="68" t="n"/>
      <c r="G108" s="69" t="n"/>
      <c r="H108" s="68" t="n"/>
      <c r="I108" s="70">
        <f>IF($A108="","",R107)</f>
        <v/>
      </c>
      <c r="J108" s="71">
        <f>IF($A108="","",IF(C108="",0,C108))</f>
        <v/>
      </c>
      <c r="K108" s="71">
        <f>IF($A108="","",IF(E108="",0,E108))</f>
        <v/>
      </c>
      <c r="L108" s="70">
        <f>IF($A108="","",B108-D108)</f>
        <v/>
      </c>
      <c r="M108" s="71">
        <f>IF($A108="","",J108-K108)</f>
        <v/>
      </c>
      <c r="N108" s="71">
        <f>IF($A108="","",IF(G108="",0,G108))</f>
        <v/>
      </c>
      <c r="O108" s="70">
        <f>IF($A108="","",D108+F108)</f>
        <v/>
      </c>
      <c r="P108" s="71">
        <f>IF($A108="","",K108+N108)</f>
        <v/>
      </c>
      <c r="Q108" s="70">
        <f>IF($A108="","",I108+L108-F108)</f>
        <v/>
      </c>
      <c r="R108" s="72">
        <f>IF($A108="","",IF(H108="",Q108,H108))</f>
        <v/>
      </c>
      <c r="S108" s="73">
        <f>IF($A108="","",R108-Q108)</f>
        <v/>
      </c>
      <c r="T108" s="70">
        <f>IF($A108="","",SUMIFS($B$5:$B$800,$A$5:$A$800,"&gt;="&amp;DATE(YEAR($A108),MONTH($A108),1),$A$5:$A$800,"&lt;="&amp;$A108)+IF(AND(YEAR($A108)=YEAR(Settings!$B$3),MONTH($A108)=MONTH(Settings!$B$3)),Settings!$B$6,0))</f>
        <v/>
      </c>
      <c r="U108" s="71">
        <f>IF($A108="","",SUMIFS($J$5:$J$800,$A$5:$A$800,"&gt;="&amp;DATE(YEAR($A108),MONTH($A108),1),$A$5:$A$800,"&lt;="&amp;$A108)+IF(AND(YEAR($A108)=YEAR(Settings!$B$3),MONTH($A108)=MONTH(Settings!$B$3)),Settings!$B$7,0))</f>
        <v/>
      </c>
      <c r="V108" s="70">
        <f>IF($A108="","",Settings!$B$8+SUM($B$5:B108))</f>
        <v/>
      </c>
      <c r="W108" s="71">
        <f>IF($A108="","",Settings!$B$9+SUM($J$5:J108))</f>
        <v/>
      </c>
      <c r="X108" s="71">
        <f>IF($A108="","",IF(AND(N108&gt;0,F108&gt;0),ROUND(F108/N108,0),X107))</f>
        <v/>
      </c>
      <c r="Y108" s="74">
        <f>IF($A108="","",IF(AND(M108&gt;0,L108&gt;0),ROUND(L108/M108,0),IF(AND(J108&gt;0,B108&gt;0),ROUND(B108/J108,0),Y107)))</f>
        <v/>
      </c>
    </row>
    <row r="109">
      <c r="A109" s="67" t="n"/>
      <c r="B109" s="68" t="n"/>
      <c r="C109" s="69" t="n"/>
      <c r="D109" s="68" t="n"/>
      <c r="E109" s="69" t="n"/>
      <c r="F109" s="68" t="n"/>
      <c r="G109" s="69" t="n"/>
      <c r="H109" s="68" t="n"/>
      <c r="I109" s="70">
        <f>IF($A109="","",R108)</f>
        <v/>
      </c>
      <c r="J109" s="71">
        <f>IF($A109="","",IF(C109="",0,C109))</f>
        <v/>
      </c>
      <c r="K109" s="71">
        <f>IF($A109="","",IF(E109="",0,E109))</f>
        <v/>
      </c>
      <c r="L109" s="70">
        <f>IF($A109="","",B109-D109)</f>
        <v/>
      </c>
      <c r="M109" s="71">
        <f>IF($A109="","",J109-K109)</f>
        <v/>
      </c>
      <c r="N109" s="71">
        <f>IF($A109="","",IF(G109="",0,G109))</f>
        <v/>
      </c>
      <c r="O109" s="70">
        <f>IF($A109="","",D109+F109)</f>
        <v/>
      </c>
      <c r="P109" s="71">
        <f>IF($A109="","",K109+N109)</f>
        <v/>
      </c>
      <c r="Q109" s="70">
        <f>IF($A109="","",I109+L109-F109)</f>
        <v/>
      </c>
      <c r="R109" s="72">
        <f>IF($A109="","",IF(H109="",Q109,H109))</f>
        <v/>
      </c>
      <c r="S109" s="73">
        <f>IF($A109="","",R109-Q109)</f>
        <v/>
      </c>
      <c r="T109" s="70">
        <f>IF($A109="","",SUMIFS($B$5:$B$800,$A$5:$A$800,"&gt;="&amp;DATE(YEAR($A109),MONTH($A109),1),$A$5:$A$800,"&lt;="&amp;$A109)+IF(AND(YEAR($A109)=YEAR(Settings!$B$3),MONTH($A109)=MONTH(Settings!$B$3)),Settings!$B$6,0))</f>
        <v/>
      </c>
      <c r="U109" s="71">
        <f>IF($A109="","",SUMIFS($J$5:$J$800,$A$5:$A$800,"&gt;="&amp;DATE(YEAR($A109),MONTH($A109),1),$A$5:$A$800,"&lt;="&amp;$A109)+IF(AND(YEAR($A109)=YEAR(Settings!$B$3),MONTH($A109)=MONTH(Settings!$B$3)),Settings!$B$7,0))</f>
        <v/>
      </c>
      <c r="V109" s="70">
        <f>IF($A109="","",Settings!$B$8+SUM($B$5:B109))</f>
        <v/>
      </c>
      <c r="W109" s="71">
        <f>IF($A109="","",Settings!$B$9+SUM($J$5:J109))</f>
        <v/>
      </c>
      <c r="X109" s="71">
        <f>IF($A109="","",IF(AND(N109&gt;0,F109&gt;0),ROUND(F109/N109,0),X108))</f>
        <v/>
      </c>
      <c r="Y109" s="74">
        <f>IF($A109="","",IF(AND(M109&gt;0,L109&gt;0),ROUND(L109/M109,0),IF(AND(J109&gt;0,B109&gt;0),ROUND(B109/J109,0),Y108)))</f>
        <v/>
      </c>
    </row>
    <row r="110">
      <c r="A110" s="67" t="n"/>
      <c r="B110" s="68" t="n"/>
      <c r="C110" s="69" t="n"/>
      <c r="D110" s="68" t="n"/>
      <c r="E110" s="69" t="n"/>
      <c r="F110" s="68" t="n"/>
      <c r="G110" s="69" t="n"/>
      <c r="H110" s="68" t="n"/>
      <c r="I110" s="70">
        <f>IF($A110="","",R109)</f>
        <v/>
      </c>
      <c r="J110" s="71">
        <f>IF($A110="","",IF(C110="",0,C110))</f>
        <v/>
      </c>
      <c r="K110" s="71">
        <f>IF($A110="","",IF(E110="",0,E110))</f>
        <v/>
      </c>
      <c r="L110" s="70">
        <f>IF($A110="","",B110-D110)</f>
        <v/>
      </c>
      <c r="M110" s="71">
        <f>IF($A110="","",J110-K110)</f>
        <v/>
      </c>
      <c r="N110" s="71">
        <f>IF($A110="","",IF(G110="",0,G110))</f>
        <v/>
      </c>
      <c r="O110" s="70">
        <f>IF($A110="","",D110+F110)</f>
        <v/>
      </c>
      <c r="P110" s="71">
        <f>IF($A110="","",K110+N110)</f>
        <v/>
      </c>
      <c r="Q110" s="70">
        <f>IF($A110="","",I110+L110-F110)</f>
        <v/>
      </c>
      <c r="R110" s="72">
        <f>IF($A110="","",IF(H110="",Q110,H110))</f>
        <v/>
      </c>
      <c r="S110" s="73">
        <f>IF($A110="","",R110-Q110)</f>
        <v/>
      </c>
      <c r="T110" s="70">
        <f>IF($A110="","",SUMIFS($B$5:$B$800,$A$5:$A$800,"&gt;="&amp;DATE(YEAR($A110),MONTH($A110),1),$A$5:$A$800,"&lt;="&amp;$A110)+IF(AND(YEAR($A110)=YEAR(Settings!$B$3),MONTH($A110)=MONTH(Settings!$B$3)),Settings!$B$6,0))</f>
        <v/>
      </c>
      <c r="U110" s="71">
        <f>IF($A110="","",SUMIFS($J$5:$J$800,$A$5:$A$800,"&gt;="&amp;DATE(YEAR($A110),MONTH($A110),1),$A$5:$A$800,"&lt;="&amp;$A110)+IF(AND(YEAR($A110)=YEAR(Settings!$B$3),MONTH($A110)=MONTH(Settings!$B$3)),Settings!$B$7,0))</f>
        <v/>
      </c>
      <c r="V110" s="70">
        <f>IF($A110="","",Settings!$B$8+SUM($B$5:B110))</f>
        <v/>
      </c>
      <c r="W110" s="71">
        <f>IF($A110="","",Settings!$B$9+SUM($J$5:J110))</f>
        <v/>
      </c>
      <c r="X110" s="71">
        <f>IF($A110="","",IF(AND(N110&gt;0,F110&gt;0),ROUND(F110/N110,0),X109))</f>
        <v/>
      </c>
      <c r="Y110" s="74">
        <f>IF($A110="","",IF(AND(M110&gt;0,L110&gt;0),ROUND(L110/M110,0),IF(AND(J110&gt;0,B110&gt;0),ROUND(B110/J110,0),Y109)))</f>
        <v/>
      </c>
    </row>
    <row r="111">
      <c r="A111" s="67" t="n"/>
      <c r="B111" s="68" t="n"/>
      <c r="C111" s="69" t="n"/>
      <c r="D111" s="68" t="n"/>
      <c r="E111" s="69" t="n"/>
      <c r="F111" s="68" t="n"/>
      <c r="G111" s="69" t="n"/>
      <c r="H111" s="68" t="n"/>
      <c r="I111" s="70">
        <f>IF($A111="","",R110)</f>
        <v/>
      </c>
      <c r="J111" s="71">
        <f>IF($A111="","",IF(C111="",0,C111))</f>
        <v/>
      </c>
      <c r="K111" s="71">
        <f>IF($A111="","",IF(E111="",0,E111))</f>
        <v/>
      </c>
      <c r="L111" s="70">
        <f>IF($A111="","",B111-D111)</f>
        <v/>
      </c>
      <c r="M111" s="71">
        <f>IF($A111="","",J111-K111)</f>
        <v/>
      </c>
      <c r="N111" s="71">
        <f>IF($A111="","",IF(G111="",0,G111))</f>
        <v/>
      </c>
      <c r="O111" s="70">
        <f>IF($A111="","",D111+F111)</f>
        <v/>
      </c>
      <c r="P111" s="71">
        <f>IF($A111="","",K111+N111)</f>
        <v/>
      </c>
      <c r="Q111" s="70">
        <f>IF($A111="","",I111+L111-F111)</f>
        <v/>
      </c>
      <c r="R111" s="72">
        <f>IF($A111="","",IF(H111="",Q111,H111))</f>
        <v/>
      </c>
      <c r="S111" s="73">
        <f>IF($A111="","",R111-Q111)</f>
        <v/>
      </c>
      <c r="T111" s="70">
        <f>IF($A111="","",SUMIFS($B$5:$B$800,$A$5:$A$800,"&gt;="&amp;DATE(YEAR($A111),MONTH($A111),1),$A$5:$A$800,"&lt;="&amp;$A111)+IF(AND(YEAR($A111)=YEAR(Settings!$B$3),MONTH($A111)=MONTH(Settings!$B$3)),Settings!$B$6,0))</f>
        <v/>
      </c>
      <c r="U111" s="71">
        <f>IF($A111="","",SUMIFS($J$5:$J$800,$A$5:$A$800,"&gt;="&amp;DATE(YEAR($A111),MONTH($A111),1),$A$5:$A$800,"&lt;="&amp;$A111)+IF(AND(YEAR($A111)=YEAR(Settings!$B$3),MONTH($A111)=MONTH(Settings!$B$3)),Settings!$B$7,0))</f>
        <v/>
      </c>
      <c r="V111" s="70">
        <f>IF($A111="","",Settings!$B$8+SUM($B$5:B111))</f>
        <v/>
      </c>
      <c r="W111" s="71">
        <f>IF($A111="","",Settings!$B$9+SUM($J$5:J111))</f>
        <v/>
      </c>
      <c r="X111" s="71">
        <f>IF($A111="","",IF(AND(N111&gt;0,F111&gt;0),ROUND(F111/N111,0),X110))</f>
        <v/>
      </c>
      <c r="Y111" s="74">
        <f>IF($A111="","",IF(AND(M111&gt;0,L111&gt;0),ROUND(L111/M111,0),IF(AND(J111&gt;0,B111&gt;0),ROUND(B111/J111,0),Y110)))</f>
        <v/>
      </c>
    </row>
    <row r="112">
      <c r="A112" s="67" t="n"/>
      <c r="B112" s="68" t="n"/>
      <c r="C112" s="69" t="n"/>
      <c r="D112" s="68" t="n"/>
      <c r="E112" s="69" t="n"/>
      <c r="F112" s="68" t="n"/>
      <c r="G112" s="69" t="n"/>
      <c r="H112" s="68" t="n"/>
      <c r="I112" s="70">
        <f>IF($A112="","",R111)</f>
        <v/>
      </c>
      <c r="J112" s="71">
        <f>IF($A112="","",IF(C112="",0,C112))</f>
        <v/>
      </c>
      <c r="K112" s="71">
        <f>IF($A112="","",IF(E112="",0,E112))</f>
        <v/>
      </c>
      <c r="L112" s="70">
        <f>IF($A112="","",B112-D112)</f>
        <v/>
      </c>
      <c r="M112" s="71">
        <f>IF($A112="","",J112-K112)</f>
        <v/>
      </c>
      <c r="N112" s="71">
        <f>IF($A112="","",IF(G112="",0,G112))</f>
        <v/>
      </c>
      <c r="O112" s="70">
        <f>IF($A112="","",D112+F112)</f>
        <v/>
      </c>
      <c r="P112" s="71">
        <f>IF($A112="","",K112+N112)</f>
        <v/>
      </c>
      <c r="Q112" s="70">
        <f>IF($A112="","",I112+L112-F112)</f>
        <v/>
      </c>
      <c r="R112" s="72">
        <f>IF($A112="","",IF(H112="",Q112,H112))</f>
        <v/>
      </c>
      <c r="S112" s="73">
        <f>IF($A112="","",R112-Q112)</f>
        <v/>
      </c>
      <c r="T112" s="70">
        <f>IF($A112="","",SUMIFS($B$5:$B$800,$A$5:$A$800,"&gt;="&amp;DATE(YEAR($A112),MONTH($A112),1),$A$5:$A$800,"&lt;="&amp;$A112)+IF(AND(YEAR($A112)=YEAR(Settings!$B$3),MONTH($A112)=MONTH(Settings!$B$3)),Settings!$B$6,0))</f>
        <v/>
      </c>
      <c r="U112" s="71">
        <f>IF($A112="","",SUMIFS($J$5:$J$800,$A$5:$A$800,"&gt;="&amp;DATE(YEAR($A112),MONTH($A112),1),$A$5:$A$800,"&lt;="&amp;$A112)+IF(AND(YEAR($A112)=YEAR(Settings!$B$3),MONTH($A112)=MONTH(Settings!$B$3)),Settings!$B$7,0))</f>
        <v/>
      </c>
      <c r="V112" s="70">
        <f>IF($A112="","",Settings!$B$8+SUM($B$5:B112))</f>
        <v/>
      </c>
      <c r="W112" s="71">
        <f>IF($A112="","",Settings!$B$9+SUM($J$5:J112))</f>
        <v/>
      </c>
      <c r="X112" s="71">
        <f>IF($A112="","",IF(AND(N112&gt;0,F112&gt;0),ROUND(F112/N112,0),X111))</f>
        <v/>
      </c>
      <c r="Y112" s="74">
        <f>IF($A112="","",IF(AND(M112&gt;0,L112&gt;0),ROUND(L112/M112,0),IF(AND(J112&gt;0,B112&gt;0),ROUND(B112/J112,0),Y111)))</f>
        <v/>
      </c>
    </row>
    <row r="113">
      <c r="A113" s="67" t="n"/>
      <c r="B113" s="68" t="n"/>
      <c r="C113" s="69" t="n"/>
      <c r="D113" s="68" t="n"/>
      <c r="E113" s="69" t="n"/>
      <c r="F113" s="68" t="n"/>
      <c r="G113" s="69" t="n"/>
      <c r="H113" s="68" t="n"/>
      <c r="I113" s="70">
        <f>IF($A113="","",R112)</f>
        <v/>
      </c>
      <c r="J113" s="71">
        <f>IF($A113="","",IF(C113="",0,C113))</f>
        <v/>
      </c>
      <c r="K113" s="71">
        <f>IF($A113="","",IF(E113="",0,E113))</f>
        <v/>
      </c>
      <c r="L113" s="70">
        <f>IF($A113="","",B113-D113)</f>
        <v/>
      </c>
      <c r="M113" s="71">
        <f>IF($A113="","",J113-K113)</f>
        <v/>
      </c>
      <c r="N113" s="71">
        <f>IF($A113="","",IF(G113="",0,G113))</f>
        <v/>
      </c>
      <c r="O113" s="70">
        <f>IF($A113="","",D113+F113)</f>
        <v/>
      </c>
      <c r="P113" s="71">
        <f>IF($A113="","",K113+N113)</f>
        <v/>
      </c>
      <c r="Q113" s="70">
        <f>IF($A113="","",I113+L113-F113)</f>
        <v/>
      </c>
      <c r="R113" s="72">
        <f>IF($A113="","",IF(H113="",Q113,H113))</f>
        <v/>
      </c>
      <c r="S113" s="73">
        <f>IF($A113="","",R113-Q113)</f>
        <v/>
      </c>
      <c r="T113" s="70">
        <f>IF($A113="","",SUMIFS($B$5:$B$800,$A$5:$A$800,"&gt;="&amp;DATE(YEAR($A113),MONTH($A113),1),$A$5:$A$800,"&lt;="&amp;$A113)+IF(AND(YEAR($A113)=YEAR(Settings!$B$3),MONTH($A113)=MONTH(Settings!$B$3)),Settings!$B$6,0))</f>
        <v/>
      </c>
      <c r="U113" s="71">
        <f>IF($A113="","",SUMIFS($J$5:$J$800,$A$5:$A$800,"&gt;="&amp;DATE(YEAR($A113),MONTH($A113),1),$A$5:$A$800,"&lt;="&amp;$A113)+IF(AND(YEAR($A113)=YEAR(Settings!$B$3),MONTH($A113)=MONTH(Settings!$B$3)),Settings!$B$7,0))</f>
        <v/>
      </c>
      <c r="V113" s="70">
        <f>IF($A113="","",Settings!$B$8+SUM($B$5:B113))</f>
        <v/>
      </c>
      <c r="W113" s="71">
        <f>IF($A113="","",Settings!$B$9+SUM($J$5:J113))</f>
        <v/>
      </c>
      <c r="X113" s="71">
        <f>IF($A113="","",IF(AND(N113&gt;0,F113&gt;0),ROUND(F113/N113,0),X112))</f>
        <v/>
      </c>
      <c r="Y113" s="74">
        <f>IF($A113="","",IF(AND(M113&gt;0,L113&gt;0),ROUND(L113/M113,0),IF(AND(J113&gt;0,B113&gt;0),ROUND(B113/J113,0),Y112)))</f>
        <v/>
      </c>
    </row>
    <row r="114">
      <c r="A114" s="67" t="n"/>
      <c r="B114" s="68" t="n"/>
      <c r="C114" s="69" t="n"/>
      <c r="D114" s="68" t="n"/>
      <c r="E114" s="69" t="n"/>
      <c r="F114" s="68" t="n"/>
      <c r="G114" s="69" t="n"/>
      <c r="H114" s="68" t="n"/>
      <c r="I114" s="70">
        <f>IF($A114="","",R113)</f>
        <v/>
      </c>
      <c r="J114" s="71">
        <f>IF($A114="","",IF(C114="",0,C114))</f>
        <v/>
      </c>
      <c r="K114" s="71">
        <f>IF($A114="","",IF(E114="",0,E114))</f>
        <v/>
      </c>
      <c r="L114" s="70">
        <f>IF($A114="","",B114-D114)</f>
        <v/>
      </c>
      <c r="M114" s="71">
        <f>IF($A114="","",J114-K114)</f>
        <v/>
      </c>
      <c r="N114" s="71">
        <f>IF($A114="","",IF(G114="",0,G114))</f>
        <v/>
      </c>
      <c r="O114" s="70">
        <f>IF($A114="","",D114+F114)</f>
        <v/>
      </c>
      <c r="P114" s="71">
        <f>IF($A114="","",K114+N114)</f>
        <v/>
      </c>
      <c r="Q114" s="70">
        <f>IF($A114="","",I114+L114-F114)</f>
        <v/>
      </c>
      <c r="R114" s="72">
        <f>IF($A114="","",IF(H114="",Q114,H114))</f>
        <v/>
      </c>
      <c r="S114" s="73">
        <f>IF($A114="","",R114-Q114)</f>
        <v/>
      </c>
      <c r="T114" s="70">
        <f>IF($A114="","",SUMIFS($B$5:$B$800,$A$5:$A$800,"&gt;="&amp;DATE(YEAR($A114),MONTH($A114),1),$A$5:$A$800,"&lt;="&amp;$A114)+IF(AND(YEAR($A114)=YEAR(Settings!$B$3),MONTH($A114)=MONTH(Settings!$B$3)),Settings!$B$6,0))</f>
        <v/>
      </c>
      <c r="U114" s="71">
        <f>IF($A114="","",SUMIFS($J$5:$J$800,$A$5:$A$800,"&gt;="&amp;DATE(YEAR($A114),MONTH($A114),1),$A$5:$A$800,"&lt;="&amp;$A114)+IF(AND(YEAR($A114)=YEAR(Settings!$B$3),MONTH($A114)=MONTH(Settings!$B$3)),Settings!$B$7,0))</f>
        <v/>
      </c>
      <c r="V114" s="70">
        <f>IF($A114="","",Settings!$B$8+SUM($B$5:B114))</f>
        <v/>
      </c>
      <c r="W114" s="71">
        <f>IF($A114="","",Settings!$B$9+SUM($J$5:J114))</f>
        <v/>
      </c>
      <c r="X114" s="71">
        <f>IF($A114="","",IF(AND(N114&gt;0,F114&gt;0),ROUND(F114/N114,0),X113))</f>
        <v/>
      </c>
      <c r="Y114" s="74">
        <f>IF($A114="","",IF(AND(M114&gt;0,L114&gt;0),ROUND(L114/M114,0),IF(AND(J114&gt;0,B114&gt;0),ROUND(B114/J114,0),Y113)))</f>
        <v/>
      </c>
    </row>
    <row r="115">
      <c r="A115" s="67" t="n"/>
      <c r="B115" s="68" t="n"/>
      <c r="C115" s="69" t="n"/>
      <c r="D115" s="68" t="n"/>
      <c r="E115" s="69" t="n"/>
      <c r="F115" s="68" t="n"/>
      <c r="G115" s="69" t="n"/>
      <c r="H115" s="68" t="n"/>
      <c r="I115" s="70">
        <f>IF($A115="","",R114)</f>
        <v/>
      </c>
      <c r="J115" s="71">
        <f>IF($A115="","",IF(C115="",0,C115))</f>
        <v/>
      </c>
      <c r="K115" s="71">
        <f>IF($A115="","",IF(E115="",0,E115))</f>
        <v/>
      </c>
      <c r="L115" s="70">
        <f>IF($A115="","",B115-D115)</f>
        <v/>
      </c>
      <c r="M115" s="71">
        <f>IF($A115="","",J115-K115)</f>
        <v/>
      </c>
      <c r="N115" s="71">
        <f>IF($A115="","",IF(G115="",0,G115))</f>
        <v/>
      </c>
      <c r="O115" s="70">
        <f>IF($A115="","",D115+F115)</f>
        <v/>
      </c>
      <c r="P115" s="71">
        <f>IF($A115="","",K115+N115)</f>
        <v/>
      </c>
      <c r="Q115" s="70">
        <f>IF($A115="","",I115+L115-F115)</f>
        <v/>
      </c>
      <c r="R115" s="72">
        <f>IF($A115="","",IF(H115="",Q115,H115))</f>
        <v/>
      </c>
      <c r="S115" s="73">
        <f>IF($A115="","",R115-Q115)</f>
        <v/>
      </c>
      <c r="T115" s="70">
        <f>IF($A115="","",SUMIFS($B$5:$B$800,$A$5:$A$800,"&gt;="&amp;DATE(YEAR($A115),MONTH($A115),1),$A$5:$A$800,"&lt;="&amp;$A115)+IF(AND(YEAR($A115)=YEAR(Settings!$B$3),MONTH($A115)=MONTH(Settings!$B$3)),Settings!$B$6,0))</f>
        <v/>
      </c>
      <c r="U115" s="71">
        <f>IF($A115="","",SUMIFS($J$5:$J$800,$A$5:$A$800,"&gt;="&amp;DATE(YEAR($A115),MONTH($A115),1),$A$5:$A$800,"&lt;="&amp;$A115)+IF(AND(YEAR($A115)=YEAR(Settings!$B$3),MONTH($A115)=MONTH(Settings!$B$3)),Settings!$B$7,0))</f>
        <v/>
      </c>
      <c r="V115" s="70">
        <f>IF($A115="","",Settings!$B$8+SUM($B$5:B115))</f>
        <v/>
      </c>
      <c r="W115" s="71">
        <f>IF($A115="","",Settings!$B$9+SUM($J$5:J115))</f>
        <v/>
      </c>
      <c r="X115" s="71">
        <f>IF($A115="","",IF(AND(N115&gt;0,F115&gt;0),ROUND(F115/N115,0),X114))</f>
        <v/>
      </c>
      <c r="Y115" s="74">
        <f>IF($A115="","",IF(AND(M115&gt;0,L115&gt;0),ROUND(L115/M115,0),IF(AND(J115&gt;0,B115&gt;0),ROUND(B115/J115,0),Y114)))</f>
        <v/>
      </c>
    </row>
    <row r="116">
      <c r="A116" s="67" t="n"/>
      <c r="B116" s="68" t="n"/>
      <c r="C116" s="69" t="n"/>
      <c r="D116" s="68" t="n"/>
      <c r="E116" s="69" t="n"/>
      <c r="F116" s="68" t="n"/>
      <c r="G116" s="69" t="n"/>
      <c r="H116" s="68" t="n"/>
      <c r="I116" s="70">
        <f>IF($A116="","",R115)</f>
        <v/>
      </c>
      <c r="J116" s="71">
        <f>IF($A116="","",IF(C116="",0,C116))</f>
        <v/>
      </c>
      <c r="K116" s="71">
        <f>IF($A116="","",IF(E116="",0,E116))</f>
        <v/>
      </c>
      <c r="L116" s="70">
        <f>IF($A116="","",B116-D116)</f>
        <v/>
      </c>
      <c r="M116" s="71">
        <f>IF($A116="","",J116-K116)</f>
        <v/>
      </c>
      <c r="N116" s="71">
        <f>IF($A116="","",IF(G116="",0,G116))</f>
        <v/>
      </c>
      <c r="O116" s="70">
        <f>IF($A116="","",D116+F116)</f>
        <v/>
      </c>
      <c r="P116" s="71">
        <f>IF($A116="","",K116+N116)</f>
        <v/>
      </c>
      <c r="Q116" s="70">
        <f>IF($A116="","",I116+L116-F116)</f>
        <v/>
      </c>
      <c r="R116" s="72">
        <f>IF($A116="","",IF(H116="",Q116,H116))</f>
        <v/>
      </c>
      <c r="S116" s="73">
        <f>IF($A116="","",R116-Q116)</f>
        <v/>
      </c>
      <c r="T116" s="70">
        <f>IF($A116="","",SUMIFS($B$5:$B$800,$A$5:$A$800,"&gt;="&amp;DATE(YEAR($A116),MONTH($A116),1),$A$5:$A$800,"&lt;="&amp;$A116)+IF(AND(YEAR($A116)=YEAR(Settings!$B$3),MONTH($A116)=MONTH(Settings!$B$3)),Settings!$B$6,0))</f>
        <v/>
      </c>
      <c r="U116" s="71">
        <f>IF($A116="","",SUMIFS($J$5:$J$800,$A$5:$A$800,"&gt;="&amp;DATE(YEAR($A116),MONTH($A116),1),$A$5:$A$800,"&lt;="&amp;$A116)+IF(AND(YEAR($A116)=YEAR(Settings!$B$3),MONTH($A116)=MONTH(Settings!$B$3)),Settings!$B$7,0))</f>
        <v/>
      </c>
      <c r="V116" s="70">
        <f>IF($A116="","",Settings!$B$8+SUM($B$5:B116))</f>
        <v/>
      </c>
      <c r="W116" s="71">
        <f>IF($A116="","",Settings!$B$9+SUM($J$5:J116))</f>
        <v/>
      </c>
      <c r="X116" s="71">
        <f>IF($A116="","",IF(AND(N116&gt;0,F116&gt;0),ROUND(F116/N116,0),X115))</f>
        <v/>
      </c>
      <c r="Y116" s="74">
        <f>IF($A116="","",IF(AND(M116&gt;0,L116&gt;0),ROUND(L116/M116,0),IF(AND(J116&gt;0,B116&gt;0),ROUND(B116/J116,0),Y115)))</f>
        <v/>
      </c>
    </row>
    <row r="117">
      <c r="A117" s="67" t="n"/>
      <c r="B117" s="68" t="n"/>
      <c r="C117" s="69" t="n"/>
      <c r="D117" s="68" t="n"/>
      <c r="E117" s="69" t="n"/>
      <c r="F117" s="68" t="n"/>
      <c r="G117" s="69" t="n"/>
      <c r="H117" s="68" t="n"/>
      <c r="I117" s="70">
        <f>IF($A117="","",R116)</f>
        <v/>
      </c>
      <c r="J117" s="71">
        <f>IF($A117="","",IF(C117="",0,C117))</f>
        <v/>
      </c>
      <c r="K117" s="71">
        <f>IF($A117="","",IF(E117="",0,E117))</f>
        <v/>
      </c>
      <c r="L117" s="70">
        <f>IF($A117="","",B117-D117)</f>
        <v/>
      </c>
      <c r="M117" s="71">
        <f>IF($A117="","",J117-K117)</f>
        <v/>
      </c>
      <c r="N117" s="71">
        <f>IF($A117="","",IF(G117="",0,G117))</f>
        <v/>
      </c>
      <c r="O117" s="70">
        <f>IF($A117="","",D117+F117)</f>
        <v/>
      </c>
      <c r="P117" s="71">
        <f>IF($A117="","",K117+N117)</f>
        <v/>
      </c>
      <c r="Q117" s="70">
        <f>IF($A117="","",I117+L117-F117)</f>
        <v/>
      </c>
      <c r="R117" s="72">
        <f>IF($A117="","",IF(H117="",Q117,H117))</f>
        <v/>
      </c>
      <c r="S117" s="73">
        <f>IF($A117="","",R117-Q117)</f>
        <v/>
      </c>
      <c r="T117" s="70">
        <f>IF($A117="","",SUMIFS($B$5:$B$800,$A$5:$A$800,"&gt;="&amp;DATE(YEAR($A117),MONTH($A117),1),$A$5:$A$800,"&lt;="&amp;$A117)+IF(AND(YEAR($A117)=YEAR(Settings!$B$3),MONTH($A117)=MONTH(Settings!$B$3)),Settings!$B$6,0))</f>
        <v/>
      </c>
      <c r="U117" s="71">
        <f>IF($A117="","",SUMIFS($J$5:$J$800,$A$5:$A$800,"&gt;="&amp;DATE(YEAR($A117),MONTH($A117),1),$A$5:$A$800,"&lt;="&amp;$A117)+IF(AND(YEAR($A117)=YEAR(Settings!$B$3),MONTH($A117)=MONTH(Settings!$B$3)),Settings!$B$7,0))</f>
        <v/>
      </c>
      <c r="V117" s="70">
        <f>IF($A117="","",Settings!$B$8+SUM($B$5:B117))</f>
        <v/>
      </c>
      <c r="W117" s="71">
        <f>IF($A117="","",Settings!$B$9+SUM($J$5:J117))</f>
        <v/>
      </c>
      <c r="X117" s="71">
        <f>IF($A117="","",IF(AND(N117&gt;0,F117&gt;0),ROUND(F117/N117,0),X116))</f>
        <v/>
      </c>
      <c r="Y117" s="74">
        <f>IF($A117="","",IF(AND(M117&gt;0,L117&gt;0),ROUND(L117/M117,0),IF(AND(J117&gt;0,B117&gt;0),ROUND(B117/J117,0),Y116)))</f>
        <v/>
      </c>
    </row>
    <row r="118">
      <c r="A118" s="67" t="n"/>
      <c r="B118" s="68" t="n"/>
      <c r="C118" s="69" t="n"/>
      <c r="D118" s="68" t="n"/>
      <c r="E118" s="69" t="n"/>
      <c r="F118" s="68" t="n"/>
      <c r="G118" s="69" t="n"/>
      <c r="H118" s="68" t="n"/>
      <c r="I118" s="70">
        <f>IF($A118="","",R117)</f>
        <v/>
      </c>
      <c r="J118" s="71">
        <f>IF($A118="","",IF(C118="",0,C118))</f>
        <v/>
      </c>
      <c r="K118" s="71">
        <f>IF($A118="","",IF(E118="",0,E118))</f>
        <v/>
      </c>
      <c r="L118" s="70">
        <f>IF($A118="","",B118-D118)</f>
        <v/>
      </c>
      <c r="M118" s="71">
        <f>IF($A118="","",J118-K118)</f>
        <v/>
      </c>
      <c r="N118" s="71">
        <f>IF($A118="","",IF(G118="",0,G118))</f>
        <v/>
      </c>
      <c r="O118" s="70">
        <f>IF($A118="","",D118+F118)</f>
        <v/>
      </c>
      <c r="P118" s="71">
        <f>IF($A118="","",K118+N118)</f>
        <v/>
      </c>
      <c r="Q118" s="70">
        <f>IF($A118="","",I118+L118-F118)</f>
        <v/>
      </c>
      <c r="R118" s="72">
        <f>IF($A118="","",IF(H118="",Q118,H118))</f>
        <v/>
      </c>
      <c r="S118" s="73">
        <f>IF($A118="","",R118-Q118)</f>
        <v/>
      </c>
      <c r="T118" s="70">
        <f>IF($A118="","",SUMIFS($B$5:$B$800,$A$5:$A$800,"&gt;="&amp;DATE(YEAR($A118),MONTH($A118),1),$A$5:$A$800,"&lt;="&amp;$A118)+IF(AND(YEAR($A118)=YEAR(Settings!$B$3),MONTH($A118)=MONTH(Settings!$B$3)),Settings!$B$6,0))</f>
        <v/>
      </c>
      <c r="U118" s="71">
        <f>IF($A118="","",SUMIFS($J$5:$J$800,$A$5:$A$800,"&gt;="&amp;DATE(YEAR($A118),MONTH($A118),1),$A$5:$A$800,"&lt;="&amp;$A118)+IF(AND(YEAR($A118)=YEAR(Settings!$B$3),MONTH($A118)=MONTH(Settings!$B$3)),Settings!$B$7,0))</f>
        <v/>
      </c>
      <c r="V118" s="70">
        <f>IF($A118="","",Settings!$B$8+SUM($B$5:B118))</f>
        <v/>
      </c>
      <c r="W118" s="71">
        <f>IF($A118="","",Settings!$B$9+SUM($J$5:J118))</f>
        <v/>
      </c>
      <c r="X118" s="71">
        <f>IF($A118="","",IF(AND(N118&gt;0,F118&gt;0),ROUND(F118/N118,0),X117))</f>
        <v/>
      </c>
      <c r="Y118" s="74">
        <f>IF($A118="","",IF(AND(M118&gt;0,L118&gt;0),ROUND(L118/M118,0),IF(AND(J118&gt;0,B118&gt;0),ROUND(B118/J118,0),Y117)))</f>
        <v/>
      </c>
    </row>
    <row r="119">
      <c r="A119" s="67" t="n"/>
      <c r="B119" s="68" t="n"/>
      <c r="C119" s="69" t="n"/>
      <c r="D119" s="68" t="n"/>
      <c r="E119" s="69" t="n"/>
      <c r="F119" s="68" t="n"/>
      <c r="G119" s="69" t="n"/>
      <c r="H119" s="68" t="n"/>
      <c r="I119" s="70">
        <f>IF($A119="","",R118)</f>
        <v/>
      </c>
      <c r="J119" s="71">
        <f>IF($A119="","",IF(C119="",0,C119))</f>
        <v/>
      </c>
      <c r="K119" s="71">
        <f>IF($A119="","",IF(E119="",0,E119))</f>
        <v/>
      </c>
      <c r="L119" s="70">
        <f>IF($A119="","",B119-D119)</f>
        <v/>
      </c>
      <c r="M119" s="71">
        <f>IF($A119="","",J119-K119)</f>
        <v/>
      </c>
      <c r="N119" s="71">
        <f>IF($A119="","",IF(G119="",0,G119))</f>
        <v/>
      </c>
      <c r="O119" s="70">
        <f>IF($A119="","",D119+F119)</f>
        <v/>
      </c>
      <c r="P119" s="71">
        <f>IF($A119="","",K119+N119)</f>
        <v/>
      </c>
      <c r="Q119" s="70">
        <f>IF($A119="","",I119+L119-F119)</f>
        <v/>
      </c>
      <c r="R119" s="72">
        <f>IF($A119="","",IF(H119="",Q119,H119))</f>
        <v/>
      </c>
      <c r="S119" s="73">
        <f>IF($A119="","",R119-Q119)</f>
        <v/>
      </c>
      <c r="T119" s="70">
        <f>IF($A119="","",SUMIFS($B$5:$B$800,$A$5:$A$800,"&gt;="&amp;DATE(YEAR($A119),MONTH($A119),1),$A$5:$A$800,"&lt;="&amp;$A119)+IF(AND(YEAR($A119)=YEAR(Settings!$B$3),MONTH($A119)=MONTH(Settings!$B$3)),Settings!$B$6,0))</f>
        <v/>
      </c>
      <c r="U119" s="71">
        <f>IF($A119="","",SUMIFS($J$5:$J$800,$A$5:$A$800,"&gt;="&amp;DATE(YEAR($A119),MONTH($A119),1),$A$5:$A$800,"&lt;="&amp;$A119)+IF(AND(YEAR($A119)=YEAR(Settings!$B$3),MONTH($A119)=MONTH(Settings!$B$3)),Settings!$B$7,0))</f>
        <v/>
      </c>
      <c r="V119" s="70">
        <f>IF($A119="","",Settings!$B$8+SUM($B$5:B119))</f>
        <v/>
      </c>
      <c r="W119" s="71">
        <f>IF($A119="","",Settings!$B$9+SUM($J$5:J119))</f>
        <v/>
      </c>
      <c r="X119" s="71">
        <f>IF($A119="","",IF(AND(N119&gt;0,F119&gt;0),ROUND(F119/N119,0),X118))</f>
        <v/>
      </c>
      <c r="Y119" s="74">
        <f>IF($A119="","",IF(AND(M119&gt;0,L119&gt;0),ROUND(L119/M119,0),IF(AND(J119&gt;0,B119&gt;0),ROUND(B119/J119,0),Y118)))</f>
        <v/>
      </c>
    </row>
    <row r="120">
      <c r="A120" s="67" t="n"/>
      <c r="B120" s="68" t="n"/>
      <c r="C120" s="69" t="n"/>
      <c r="D120" s="68" t="n"/>
      <c r="E120" s="69" t="n"/>
      <c r="F120" s="68" t="n"/>
      <c r="G120" s="69" t="n"/>
      <c r="H120" s="68" t="n"/>
      <c r="I120" s="70">
        <f>IF($A120="","",R119)</f>
        <v/>
      </c>
      <c r="J120" s="71">
        <f>IF($A120="","",IF(C120="",0,C120))</f>
        <v/>
      </c>
      <c r="K120" s="71">
        <f>IF($A120="","",IF(E120="",0,E120))</f>
        <v/>
      </c>
      <c r="L120" s="70">
        <f>IF($A120="","",B120-D120)</f>
        <v/>
      </c>
      <c r="M120" s="71">
        <f>IF($A120="","",J120-K120)</f>
        <v/>
      </c>
      <c r="N120" s="71">
        <f>IF($A120="","",IF(G120="",0,G120))</f>
        <v/>
      </c>
      <c r="O120" s="70">
        <f>IF($A120="","",D120+F120)</f>
        <v/>
      </c>
      <c r="P120" s="71">
        <f>IF($A120="","",K120+N120)</f>
        <v/>
      </c>
      <c r="Q120" s="70">
        <f>IF($A120="","",I120+L120-F120)</f>
        <v/>
      </c>
      <c r="R120" s="72">
        <f>IF($A120="","",IF(H120="",Q120,H120))</f>
        <v/>
      </c>
      <c r="S120" s="73">
        <f>IF($A120="","",R120-Q120)</f>
        <v/>
      </c>
      <c r="T120" s="70">
        <f>IF($A120="","",SUMIFS($B$5:$B$800,$A$5:$A$800,"&gt;="&amp;DATE(YEAR($A120),MONTH($A120),1),$A$5:$A$800,"&lt;="&amp;$A120)+IF(AND(YEAR($A120)=YEAR(Settings!$B$3),MONTH($A120)=MONTH(Settings!$B$3)),Settings!$B$6,0))</f>
        <v/>
      </c>
      <c r="U120" s="71">
        <f>IF($A120="","",SUMIFS($J$5:$J$800,$A$5:$A$800,"&gt;="&amp;DATE(YEAR($A120),MONTH($A120),1),$A$5:$A$800,"&lt;="&amp;$A120)+IF(AND(YEAR($A120)=YEAR(Settings!$B$3),MONTH($A120)=MONTH(Settings!$B$3)),Settings!$B$7,0))</f>
        <v/>
      </c>
      <c r="V120" s="70">
        <f>IF($A120="","",Settings!$B$8+SUM($B$5:B120))</f>
        <v/>
      </c>
      <c r="W120" s="71">
        <f>IF($A120="","",Settings!$B$9+SUM($J$5:J120))</f>
        <v/>
      </c>
      <c r="X120" s="71">
        <f>IF($A120="","",IF(AND(N120&gt;0,F120&gt;0),ROUND(F120/N120,0),X119))</f>
        <v/>
      </c>
      <c r="Y120" s="74">
        <f>IF($A120="","",IF(AND(M120&gt;0,L120&gt;0),ROUND(L120/M120,0),IF(AND(J120&gt;0,B120&gt;0),ROUND(B120/J120,0),Y119)))</f>
        <v/>
      </c>
    </row>
    <row r="121">
      <c r="A121" s="67" t="n"/>
      <c r="B121" s="68" t="n"/>
      <c r="C121" s="69" t="n"/>
      <c r="D121" s="68" t="n"/>
      <c r="E121" s="69" t="n"/>
      <c r="F121" s="68" t="n"/>
      <c r="G121" s="69" t="n"/>
      <c r="H121" s="68" t="n"/>
      <c r="I121" s="70">
        <f>IF($A121="","",R120)</f>
        <v/>
      </c>
      <c r="J121" s="71">
        <f>IF($A121="","",IF(C121="",0,C121))</f>
        <v/>
      </c>
      <c r="K121" s="71">
        <f>IF($A121="","",IF(E121="",0,E121))</f>
        <v/>
      </c>
      <c r="L121" s="70">
        <f>IF($A121="","",B121-D121)</f>
        <v/>
      </c>
      <c r="M121" s="71">
        <f>IF($A121="","",J121-K121)</f>
        <v/>
      </c>
      <c r="N121" s="71">
        <f>IF($A121="","",IF(G121="",0,G121))</f>
        <v/>
      </c>
      <c r="O121" s="70">
        <f>IF($A121="","",D121+F121)</f>
        <v/>
      </c>
      <c r="P121" s="71">
        <f>IF($A121="","",K121+N121)</f>
        <v/>
      </c>
      <c r="Q121" s="70">
        <f>IF($A121="","",I121+L121-F121)</f>
        <v/>
      </c>
      <c r="R121" s="72">
        <f>IF($A121="","",IF(H121="",Q121,H121))</f>
        <v/>
      </c>
      <c r="S121" s="73">
        <f>IF($A121="","",R121-Q121)</f>
        <v/>
      </c>
      <c r="T121" s="70">
        <f>IF($A121="","",SUMIFS($B$5:$B$800,$A$5:$A$800,"&gt;="&amp;DATE(YEAR($A121),MONTH($A121),1),$A$5:$A$800,"&lt;="&amp;$A121)+IF(AND(YEAR($A121)=YEAR(Settings!$B$3),MONTH($A121)=MONTH(Settings!$B$3)),Settings!$B$6,0))</f>
        <v/>
      </c>
      <c r="U121" s="71">
        <f>IF($A121="","",SUMIFS($J$5:$J$800,$A$5:$A$800,"&gt;="&amp;DATE(YEAR($A121),MONTH($A121),1),$A$5:$A$800,"&lt;="&amp;$A121)+IF(AND(YEAR($A121)=YEAR(Settings!$B$3),MONTH($A121)=MONTH(Settings!$B$3)),Settings!$B$7,0))</f>
        <v/>
      </c>
      <c r="V121" s="70">
        <f>IF($A121="","",Settings!$B$8+SUM($B$5:B121))</f>
        <v/>
      </c>
      <c r="W121" s="71">
        <f>IF($A121="","",Settings!$B$9+SUM($J$5:J121))</f>
        <v/>
      </c>
      <c r="X121" s="71">
        <f>IF($A121="","",IF(AND(N121&gt;0,F121&gt;0),ROUND(F121/N121,0),X120))</f>
        <v/>
      </c>
      <c r="Y121" s="74">
        <f>IF($A121="","",IF(AND(M121&gt;0,L121&gt;0),ROUND(L121/M121,0),IF(AND(J121&gt;0,B121&gt;0),ROUND(B121/J121,0),Y120)))</f>
        <v/>
      </c>
    </row>
    <row r="122">
      <c r="A122" s="67" t="n"/>
      <c r="B122" s="68" t="n"/>
      <c r="C122" s="69" t="n"/>
      <c r="D122" s="68" t="n"/>
      <c r="E122" s="69" t="n"/>
      <c r="F122" s="68" t="n"/>
      <c r="G122" s="69" t="n"/>
      <c r="H122" s="68" t="n"/>
      <c r="I122" s="70">
        <f>IF($A122="","",R121)</f>
        <v/>
      </c>
      <c r="J122" s="71">
        <f>IF($A122="","",IF(C122="",0,C122))</f>
        <v/>
      </c>
      <c r="K122" s="71">
        <f>IF($A122="","",IF(E122="",0,E122))</f>
        <v/>
      </c>
      <c r="L122" s="70">
        <f>IF($A122="","",B122-D122)</f>
        <v/>
      </c>
      <c r="M122" s="71">
        <f>IF($A122="","",J122-K122)</f>
        <v/>
      </c>
      <c r="N122" s="71">
        <f>IF($A122="","",IF(G122="",0,G122))</f>
        <v/>
      </c>
      <c r="O122" s="70">
        <f>IF($A122="","",D122+F122)</f>
        <v/>
      </c>
      <c r="P122" s="71">
        <f>IF($A122="","",K122+N122)</f>
        <v/>
      </c>
      <c r="Q122" s="70">
        <f>IF($A122="","",I122+L122-F122)</f>
        <v/>
      </c>
      <c r="R122" s="72">
        <f>IF($A122="","",IF(H122="",Q122,H122))</f>
        <v/>
      </c>
      <c r="S122" s="73">
        <f>IF($A122="","",R122-Q122)</f>
        <v/>
      </c>
      <c r="T122" s="70">
        <f>IF($A122="","",SUMIFS($B$5:$B$800,$A$5:$A$800,"&gt;="&amp;DATE(YEAR($A122),MONTH($A122),1),$A$5:$A$800,"&lt;="&amp;$A122)+IF(AND(YEAR($A122)=YEAR(Settings!$B$3),MONTH($A122)=MONTH(Settings!$B$3)),Settings!$B$6,0))</f>
        <v/>
      </c>
      <c r="U122" s="71">
        <f>IF($A122="","",SUMIFS($J$5:$J$800,$A$5:$A$800,"&gt;="&amp;DATE(YEAR($A122),MONTH($A122),1),$A$5:$A$800,"&lt;="&amp;$A122)+IF(AND(YEAR($A122)=YEAR(Settings!$B$3),MONTH($A122)=MONTH(Settings!$B$3)),Settings!$B$7,0))</f>
        <v/>
      </c>
      <c r="V122" s="70">
        <f>IF($A122="","",Settings!$B$8+SUM($B$5:B122))</f>
        <v/>
      </c>
      <c r="W122" s="71">
        <f>IF($A122="","",Settings!$B$9+SUM($J$5:J122))</f>
        <v/>
      </c>
      <c r="X122" s="71">
        <f>IF($A122="","",IF(AND(N122&gt;0,F122&gt;0),ROUND(F122/N122,0),X121))</f>
        <v/>
      </c>
      <c r="Y122" s="74">
        <f>IF($A122="","",IF(AND(M122&gt;0,L122&gt;0),ROUND(L122/M122,0),IF(AND(J122&gt;0,B122&gt;0),ROUND(B122/J122,0),Y121)))</f>
        <v/>
      </c>
    </row>
    <row r="123">
      <c r="A123" s="67" t="n"/>
      <c r="B123" s="68" t="n"/>
      <c r="C123" s="69" t="n"/>
      <c r="D123" s="68" t="n"/>
      <c r="E123" s="69" t="n"/>
      <c r="F123" s="68" t="n"/>
      <c r="G123" s="69" t="n"/>
      <c r="H123" s="68" t="n"/>
      <c r="I123" s="70">
        <f>IF($A123="","",R122)</f>
        <v/>
      </c>
      <c r="J123" s="71">
        <f>IF($A123="","",IF(C123="",0,C123))</f>
        <v/>
      </c>
      <c r="K123" s="71">
        <f>IF($A123="","",IF(E123="",0,E123))</f>
        <v/>
      </c>
      <c r="L123" s="70">
        <f>IF($A123="","",B123-D123)</f>
        <v/>
      </c>
      <c r="M123" s="71">
        <f>IF($A123="","",J123-K123)</f>
        <v/>
      </c>
      <c r="N123" s="71">
        <f>IF($A123="","",IF(G123="",0,G123))</f>
        <v/>
      </c>
      <c r="O123" s="70">
        <f>IF($A123="","",D123+F123)</f>
        <v/>
      </c>
      <c r="P123" s="71">
        <f>IF($A123="","",K123+N123)</f>
        <v/>
      </c>
      <c r="Q123" s="70">
        <f>IF($A123="","",I123+L123-F123)</f>
        <v/>
      </c>
      <c r="R123" s="72">
        <f>IF($A123="","",IF(H123="",Q123,H123))</f>
        <v/>
      </c>
      <c r="S123" s="73">
        <f>IF($A123="","",R123-Q123)</f>
        <v/>
      </c>
      <c r="T123" s="70">
        <f>IF($A123="","",SUMIFS($B$5:$B$800,$A$5:$A$800,"&gt;="&amp;DATE(YEAR($A123),MONTH($A123),1),$A$5:$A$800,"&lt;="&amp;$A123)+IF(AND(YEAR($A123)=YEAR(Settings!$B$3),MONTH($A123)=MONTH(Settings!$B$3)),Settings!$B$6,0))</f>
        <v/>
      </c>
      <c r="U123" s="71">
        <f>IF($A123="","",SUMIFS($J$5:$J$800,$A$5:$A$800,"&gt;="&amp;DATE(YEAR($A123),MONTH($A123),1),$A$5:$A$800,"&lt;="&amp;$A123)+IF(AND(YEAR($A123)=YEAR(Settings!$B$3),MONTH($A123)=MONTH(Settings!$B$3)),Settings!$B$7,0))</f>
        <v/>
      </c>
      <c r="V123" s="70">
        <f>IF($A123="","",Settings!$B$8+SUM($B$5:B123))</f>
        <v/>
      </c>
      <c r="W123" s="71">
        <f>IF($A123="","",Settings!$B$9+SUM($J$5:J123))</f>
        <v/>
      </c>
      <c r="X123" s="71">
        <f>IF($A123="","",IF(AND(N123&gt;0,F123&gt;0),ROUND(F123/N123,0),X122))</f>
        <v/>
      </c>
      <c r="Y123" s="74">
        <f>IF($A123="","",IF(AND(M123&gt;0,L123&gt;0),ROUND(L123/M123,0),IF(AND(J123&gt;0,B123&gt;0),ROUND(B123/J123,0),Y122)))</f>
        <v/>
      </c>
    </row>
    <row r="124">
      <c r="A124" s="67" t="n"/>
      <c r="B124" s="68" t="n"/>
      <c r="C124" s="69" t="n"/>
      <c r="D124" s="68" t="n"/>
      <c r="E124" s="69" t="n"/>
      <c r="F124" s="68" t="n"/>
      <c r="G124" s="69" t="n"/>
      <c r="H124" s="68" t="n"/>
      <c r="I124" s="70">
        <f>IF($A124="","",R123)</f>
        <v/>
      </c>
      <c r="J124" s="71">
        <f>IF($A124="","",IF(C124="",0,C124))</f>
        <v/>
      </c>
      <c r="K124" s="71">
        <f>IF($A124="","",IF(E124="",0,E124))</f>
        <v/>
      </c>
      <c r="L124" s="70">
        <f>IF($A124="","",B124-D124)</f>
        <v/>
      </c>
      <c r="M124" s="71">
        <f>IF($A124="","",J124-K124)</f>
        <v/>
      </c>
      <c r="N124" s="71">
        <f>IF($A124="","",IF(G124="",0,G124))</f>
        <v/>
      </c>
      <c r="O124" s="70">
        <f>IF($A124="","",D124+F124)</f>
        <v/>
      </c>
      <c r="P124" s="71">
        <f>IF($A124="","",K124+N124)</f>
        <v/>
      </c>
      <c r="Q124" s="70">
        <f>IF($A124="","",I124+L124-F124)</f>
        <v/>
      </c>
      <c r="R124" s="72">
        <f>IF($A124="","",IF(H124="",Q124,H124))</f>
        <v/>
      </c>
      <c r="S124" s="73">
        <f>IF($A124="","",R124-Q124)</f>
        <v/>
      </c>
      <c r="T124" s="70">
        <f>IF($A124="","",SUMIFS($B$5:$B$800,$A$5:$A$800,"&gt;="&amp;DATE(YEAR($A124),MONTH($A124),1),$A$5:$A$800,"&lt;="&amp;$A124)+IF(AND(YEAR($A124)=YEAR(Settings!$B$3),MONTH($A124)=MONTH(Settings!$B$3)),Settings!$B$6,0))</f>
        <v/>
      </c>
      <c r="U124" s="71">
        <f>IF($A124="","",SUMIFS($J$5:$J$800,$A$5:$A$800,"&gt;="&amp;DATE(YEAR($A124),MONTH($A124),1),$A$5:$A$800,"&lt;="&amp;$A124)+IF(AND(YEAR($A124)=YEAR(Settings!$B$3),MONTH($A124)=MONTH(Settings!$B$3)),Settings!$B$7,0))</f>
        <v/>
      </c>
      <c r="V124" s="70">
        <f>IF($A124="","",Settings!$B$8+SUM($B$5:B124))</f>
        <v/>
      </c>
      <c r="W124" s="71">
        <f>IF($A124="","",Settings!$B$9+SUM($J$5:J124))</f>
        <v/>
      </c>
      <c r="X124" s="71">
        <f>IF($A124="","",IF(AND(N124&gt;0,F124&gt;0),ROUND(F124/N124,0),X123))</f>
        <v/>
      </c>
      <c r="Y124" s="74">
        <f>IF($A124="","",IF(AND(M124&gt;0,L124&gt;0),ROUND(L124/M124,0),IF(AND(J124&gt;0,B124&gt;0),ROUND(B124/J124,0),Y123)))</f>
        <v/>
      </c>
    </row>
    <row r="125">
      <c r="A125" s="67" t="n"/>
      <c r="B125" s="68" t="n"/>
      <c r="C125" s="69" t="n"/>
      <c r="D125" s="68" t="n"/>
      <c r="E125" s="69" t="n"/>
      <c r="F125" s="68" t="n"/>
      <c r="G125" s="69" t="n"/>
      <c r="H125" s="68" t="n"/>
      <c r="I125" s="70">
        <f>IF($A125="","",R124)</f>
        <v/>
      </c>
      <c r="J125" s="71">
        <f>IF($A125="","",IF(C125="",0,C125))</f>
        <v/>
      </c>
      <c r="K125" s="71">
        <f>IF($A125="","",IF(E125="",0,E125))</f>
        <v/>
      </c>
      <c r="L125" s="70">
        <f>IF($A125="","",B125-D125)</f>
        <v/>
      </c>
      <c r="M125" s="71">
        <f>IF($A125="","",J125-K125)</f>
        <v/>
      </c>
      <c r="N125" s="71">
        <f>IF($A125="","",IF(G125="",0,G125))</f>
        <v/>
      </c>
      <c r="O125" s="70">
        <f>IF($A125="","",D125+F125)</f>
        <v/>
      </c>
      <c r="P125" s="71">
        <f>IF($A125="","",K125+N125)</f>
        <v/>
      </c>
      <c r="Q125" s="70">
        <f>IF($A125="","",I125+L125-F125)</f>
        <v/>
      </c>
      <c r="R125" s="72">
        <f>IF($A125="","",IF(H125="",Q125,H125))</f>
        <v/>
      </c>
      <c r="S125" s="73">
        <f>IF($A125="","",R125-Q125)</f>
        <v/>
      </c>
      <c r="T125" s="70">
        <f>IF($A125="","",SUMIFS($B$5:$B$800,$A$5:$A$800,"&gt;="&amp;DATE(YEAR($A125),MONTH($A125),1),$A$5:$A$800,"&lt;="&amp;$A125)+IF(AND(YEAR($A125)=YEAR(Settings!$B$3),MONTH($A125)=MONTH(Settings!$B$3)),Settings!$B$6,0))</f>
        <v/>
      </c>
      <c r="U125" s="71">
        <f>IF($A125="","",SUMIFS($J$5:$J$800,$A$5:$A$800,"&gt;="&amp;DATE(YEAR($A125),MONTH($A125),1),$A$5:$A$800,"&lt;="&amp;$A125)+IF(AND(YEAR($A125)=YEAR(Settings!$B$3),MONTH($A125)=MONTH(Settings!$B$3)),Settings!$B$7,0))</f>
        <v/>
      </c>
      <c r="V125" s="70">
        <f>IF($A125="","",Settings!$B$8+SUM($B$5:B125))</f>
        <v/>
      </c>
      <c r="W125" s="71">
        <f>IF($A125="","",Settings!$B$9+SUM($J$5:J125))</f>
        <v/>
      </c>
      <c r="X125" s="71">
        <f>IF($A125="","",IF(AND(N125&gt;0,F125&gt;0),ROUND(F125/N125,0),X124))</f>
        <v/>
      </c>
      <c r="Y125" s="74">
        <f>IF($A125="","",IF(AND(M125&gt;0,L125&gt;0),ROUND(L125/M125,0),IF(AND(J125&gt;0,B125&gt;0),ROUND(B125/J125,0),Y124)))</f>
        <v/>
      </c>
    </row>
    <row r="126">
      <c r="A126" s="67" t="n"/>
      <c r="B126" s="68" t="n"/>
      <c r="C126" s="69" t="n"/>
      <c r="D126" s="68" t="n"/>
      <c r="E126" s="69" t="n"/>
      <c r="F126" s="68" t="n"/>
      <c r="G126" s="69" t="n"/>
      <c r="H126" s="68" t="n"/>
      <c r="I126" s="70">
        <f>IF($A126="","",R125)</f>
        <v/>
      </c>
      <c r="J126" s="71">
        <f>IF($A126="","",IF(C126="",0,C126))</f>
        <v/>
      </c>
      <c r="K126" s="71">
        <f>IF($A126="","",IF(E126="",0,E126))</f>
        <v/>
      </c>
      <c r="L126" s="70">
        <f>IF($A126="","",B126-D126)</f>
        <v/>
      </c>
      <c r="M126" s="71">
        <f>IF($A126="","",J126-K126)</f>
        <v/>
      </c>
      <c r="N126" s="71">
        <f>IF($A126="","",IF(G126="",0,G126))</f>
        <v/>
      </c>
      <c r="O126" s="70">
        <f>IF($A126="","",D126+F126)</f>
        <v/>
      </c>
      <c r="P126" s="71">
        <f>IF($A126="","",K126+N126)</f>
        <v/>
      </c>
      <c r="Q126" s="70">
        <f>IF($A126="","",I126+L126-F126)</f>
        <v/>
      </c>
      <c r="R126" s="72">
        <f>IF($A126="","",IF(H126="",Q126,H126))</f>
        <v/>
      </c>
      <c r="S126" s="73">
        <f>IF($A126="","",R126-Q126)</f>
        <v/>
      </c>
      <c r="T126" s="70">
        <f>IF($A126="","",SUMIFS($B$5:$B$800,$A$5:$A$800,"&gt;="&amp;DATE(YEAR($A126),MONTH($A126),1),$A$5:$A$800,"&lt;="&amp;$A126)+IF(AND(YEAR($A126)=YEAR(Settings!$B$3),MONTH($A126)=MONTH(Settings!$B$3)),Settings!$B$6,0))</f>
        <v/>
      </c>
      <c r="U126" s="71">
        <f>IF($A126="","",SUMIFS($J$5:$J$800,$A$5:$A$800,"&gt;="&amp;DATE(YEAR($A126),MONTH($A126),1),$A$5:$A$800,"&lt;="&amp;$A126)+IF(AND(YEAR($A126)=YEAR(Settings!$B$3),MONTH($A126)=MONTH(Settings!$B$3)),Settings!$B$7,0))</f>
        <v/>
      </c>
      <c r="V126" s="70">
        <f>IF($A126="","",Settings!$B$8+SUM($B$5:B126))</f>
        <v/>
      </c>
      <c r="W126" s="71">
        <f>IF($A126="","",Settings!$B$9+SUM($J$5:J126))</f>
        <v/>
      </c>
      <c r="X126" s="71">
        <f>IF($A126="","",IF(AND(N126&gt;0,F126&gt;0),ROUND(F126/N126,0),X125))</f>
        <v/>
      </c>
      <c r="Y126" s="74">
        <f>IF($A126="","",IF(AND(M126&gt;0,L126&gt;0),ROUND(L126/M126,0),IF(AND(J126&gt;0,B126&gt;0),ROUND(B126/J126,0),Y125)))</f>
        <v/>
      </c>
    </row>
    <row r="127">
      <c r="A127" s="67" t="n"/>
      <c r="B127" s="68" t="n"/>
      <c r="C127" s="69" t="n"/>
      <c r="D127" s="68" t="n"/>
      <c r="E127" s="69" t="n"/>
      <c r="F127" s="68" t="n"/>
      <c r="G127" s="69" t="n"/>
      <c r="H127" s="68" t="n"/>
      <c r="I127" s="70">
        <f>IF($A127="","",R126)</f>
        <v/>
      </c>
      <c r="J127" s="71">
        <f>IF($A127="","",IF(C127="",0,C127))</f>
        <v/>
      </c>
      <c r="K127" s="71">
        <f>IF($A127="","",IF(E127="",0,E127))</f>
        <v/>
      </c>
      <c r="L127" s="70">
        <f>IF($A127="","",B127-D127)</f>
        <v/>
      </c>
      <c r="M127" s="71">
        <f>IF($A127="","",J127-K127)</f>
        <v/>
      </c>
      <c r="N127" s="71">
        <f>IF($A127="","",IF(G127="",0,G127))</f>
        <v/>
      </c>
      <c r="O127" s="70">
        <f>IF($A127="","",D127+F127)</f>
        <v/>
      </c>
      <c r="P127" s="71">
        <f>IF($A127="","",K127+N127)</f>
        <v/>
      </c>
      <c r="Q127" s="70">
        <f>IF($A127="","",I127+L127-F127)</f>
        <v/>
      </c>
      <c r="R127" s="72">
        <f>IF($A127="","",IF(H127="",Q127,H127))</f>
        <v/>
      </c>
      <c r="S127" s="73">
        <f>IF($A127="","",R127-Q127)</f>
        <v/>
      </c>
      <c r="T127" s="70">
        <f>IF($A127="","",SUMIFS($B$5:$B$800,$A$5:$A$800,"&gt;="&amp;DATE(YEAR($A127),MONTH($A127),1),$A$5:$A$800,"&lt;="&amp;$A127)+IF(AND(YEAR($A127)=YEAR(Settings!$B$3),MONTH($A127)=MONTH(Settings!$B$3)),Settings!$B$6,0))</f>
        <v/>
      </c>
      <c r="U127" s="71">
        <f>IF($A127="","",SUMIFS($J$5:$J$800,$A$5:$A$800,"&gt;="&amp;DATE(YEAR($A127),MONTH($A127),1),$A$5:$A$800,"&lt;="&amp;$A127)+IF(AND(YEAR($A127)=YEAR(Settings!$B$3),MONTH($A127)=MONTH(Settings!$B$3)),Settings!$B$7,0))</f>
        <v/>
      </c>
      <c r="V127" s="70">
        <f>IF($A127="","",Settings!$B$8+SUM($B$5:B127))</f>
        <v/>
      </c>
      <c r="W127" s="71">
        <f>IF($A127="","",Settings!$B$9+SUM($J$5:J127))</f>
        <v/>
      </c>
      <c r="X127" s="71">
        <f>IF($A127="","",IF(AND(N127&gt;0,F127&gt;0),ROUND(F127/N127,0),X126))</f>
        <v/>
      </c>
      <c r="Y127" s="74">
        <f>IF($A127="","",IF(AND(M127&gt;0,L127&gt;0),ROUND(L127/M127,0),IF(AND(J127&gt;0,B127&gt;0),ROUND(B127/J127,0),Y126)))</f>
        <v/>
      </c>
    </row>
    <row r="128">
      <c r="A128" s="67" t="n"/>
      <c r="B128" s="68" t="n"/>
      <c r="C128" s="69" t="n"/>
      <c r="D128" s="68" t="n"/>
      <c r="E128" s="69" t="n"/>
      <c r="F128" s="68" t="n"/>
      <c r="G128" s="69" t="n"/>
      <c r="H128" s="68" t="n"/>
      <c r="I128" s="70">
        <f>IF($A128="","",R127)</f>
        <v/>
      </c>
      <c r="J128" s="71">
        <f>IF($A128="","",IF(C128="",0,C128))</f>
        <v/>
      </c>
      <c r="K128" s="71">
        <f>IF($A128="","",IF(E128="",0,E128))</f>
        <v/>
      </c>
      <c r="L128" s="70">
        <f>IF($A128="","",B128-D128)</f>
        <v/>
      </c>
      <c r="M128" s="71">
        <f>IF($A128="","",J128-K128)</f>
        <v/>
      </c>
      <c r="N128" s="71">
        <f>IF($A128="","",IF(G128="",0,G128))</f>
        <v/>
      </c>
      <c r="O128" s="70">
        <f>IF($A128="","",D128+F128)</f>
        <v/>
      </c>
      <c r="P128" s="71">
        <f>IF($A128="","",K128+N128)</f>
        <v/>
      </c>
      <c r="Q128" s="70">
        <f>IF($A128="","",I128+L128-F128)</f>
        <v/>
      </c>
      <c r="R128" s="72">
        <f>IF($A128="","",IF(H128="",Q128,H128))</f>
        <v/>
      </c>
      <c r="S128" s="73">
        <f>IF($A128="","",R128-Q128)</f>
        <v/>
      </c>
      <c r="T128" s="70">
        <f>IF($A128="","",SUMIFS($B$5:$B$800,$A$5:$A$800,"&gt;="&amp;DATE(YEAR($A128),MONTH($A128),1),$A$5:$A$800,"&lt;="&amp;$A128)+IF(AND(YEAR($A128)=YEAR(Settings!$B$3),MONTH($A128)=MONTH(Settings!$B$3)),Settings!$B$6,0))</f>
        <v/>
      </c>
      <c r="U128" s="71">
        <f>IF($A128="","",SUMIFS($J$5:$J$800,$A$5:$A$800,"&gt;="&amp;DATE(YEAR($A128),MONTH($A128),1),$A$5:$A$800,"&lt;="&amp;$A128)+IF(AND(YEAR($A128)=YEAR(Settings!$B$3),MONTH($A128)=MONTH(Settings!$B$3)),Settings!$B$7,0))</f>
        <v/>
      </c>
      <c r="V128" s="70">
        <f>IF($A128="","",Settings!$B$8+SUM($B$5:B128))</f>
        <v/>
      </c>
      <c r="W128" s="71">
        <f>IF($A128="","",Settings!$B$9+SUM($J$5:J128))</f>
        <v/>
      </c>
      <c r="X128" s="71">
        <f>IF($A128="","",IF(AND(N128&gt;0,F128&gt;0),ROUND(F128/N128,0),X127))</f>
        <v/>
      </c>
      <c r="Y128" s="74">
        <f>IF($A128="","",IF(AND(M128&gt;0,L128&gt;0),ROUND(L128/M128,0),IF(AND(J128&gt;0,B128&gt;0),ROUND(B128/J128,0),Y127)))</f>
        <v/>
      </c>
    </row>
    <row r="129">
      <c r="A129" s="67" t="n"/>
      <c r="B129" s="68" t="n"/>
      <c r="C129" s="69" t="n"/>
      <c r="D129" s="68" t="n"/>
      <c r="E129" s="69" t="n"/>
      <c r="F129" s="68" t="n"/>
      <c r="G129" s="69" t="n"/>
      <c r="H129" s="68" t="n"/>
      <c r="I129" s="70">
        <f>IF($A129="","",R128)</f>
        <v/>
      </c>
      <c r="J129" s="71">
        <f>IF($A129="","",IF(C129="",0,C129))</f>
        <v/>
      </c>
      <c r="K129" s="71">
        <f>IF($A129="","",IF(E129="",0,E129))</f>
        <v/>
      </c>
      <c r="L129" s="70">
        <f>IF($A129="","",B129-D129)</f>
        <v/>
      </c>
      <c r="M129" s="71">
        <f>IF($A129="","",J129-K129)</f>
        <v/>
      </c>
      <c r="N129" s="71">
        <f>IF($A129="","",IF(G129="",0,G129))</f>
        <v/>
      </c>
      <c r="O129" s="70">
        <f>IF($A129="","",D129+F129)</f>
        <v/>
      </c>
      <c r="P129" s="71">
        <f>IF($A129="","",K129+N129)</f>
        <v/>
      </c>
      <c r="Q129" s="70">
        <f>IF($A129="","",I129+L129-F129)</f>
        <v/>
      </c>
      <c r="R129" s="72">
        <f>IF($A129="","",IF(H129="",Q129,H129))</f>
        <v/>
      </c>
      <c r="S129" s="73">
        <f>IF($A129="","",R129-Q129)</f>
        <v/>
      </c>
      <c r="T129" s="70">
        <f>IF($A129="","",SUMIFS($B$5:$B$800,$A$5:$A$800,"&gt;="&amp;DATE(YEAR($A129),MONTH($A129),1),$A$5:$A$800,"&lt;="&amp;$A129)+IF(AND(YEAR($A129)=YEAR(Settings!$B$3),MONTH($A129)=MONTH(Settings!$B$3)),Settings!$B$6,0))</f>
        <v/>
      </c>
      <c r="U129" s="71">
        <f>IF($A129="","",SUMIFS($J$5:$J$800,$A$5:$A$800,"&gt;="&amp;DATE(YEAR($A129),MONTH($A129),1),$A$5:$A$800,"&lt;="&amp;$A129)+IF(AND(YEAR($A129)=YEAR(Settings!$B$3),MONTH($A129)=MONTH(Settings!$B$3)),Settings!$B$7,0))</f>
        <v/>
      </c>
      <c r="V129" s="70">
        <f>IF($A129="","",Settings!$B$8+SUM($B$5:B129))</f>
        <v/>
      </c>
      <c r="W129" s="71">
        <f>IF($A129="","",Settings!$B$9+SUM($J$5:J129))</f>
        <v/>
      </c>
      <c r="X129" s="71">
        <f>IF($A129="","",IF(AND(N129&gt;0,F129&gt;0),ROUND(F129/N129,0),X128))</f>
        <v/>
      </c>
      <c r="Y129" s="74">
        <f>IF($A129="","",IF(AND(M129&gt;0,L129&gt;0),ROUND(L129/M129,0),IF(AND(J129&gt;0,B129&gt;0),ROUND(B129/J129,0),Y128)))</f>
        <v/>
      </c>
    </row>
    <row r="130">
      <c r="A130" s="67" t="n"/>
      <c r="B130" s="68" t="n"/>
      <c r="C130" s="69" t="n"/>
      <c r="D130" s="68" t="n"/>
      <c r="E130" s="69" t="n"/>
      <c r="F130" s="68" t="n"/>
      <c r="G130" s="69" t="n"/>
      <c r="H130" s="68" t="n"/>
      <c r="I130" s="70">
        <f>IF($A130="","",R129)</f>
        <v/>
      </c>
      <c r="J130" s="71">
        <f>IF($A130="","",IF(C130="",0,C130))</f>
        <v/>
      </c>
      <c r="K130" s="71">
        <f>IF($A130="","",IF(E130="",0,E130))</f>
        <v/>
      </c>
      <c r="L130" s="70">
        <f>IF($A130="","",B130-D130)</f>
        <v/>
      </c>
      <c r="M130" s="71">
        <f>IF($A130="","",J130-K130)</f>
        <v/>
      </c>
      <c r="N130" s="71">
        <f>IF($A130="","",IF(G130="",0,G130))</f>
        <v/>
      </c>
      <c r="O130" s="70">
        <f>IF($A130="","",D130+F130)</f>
        <v/>
      </c>
      <c r="P130" s="71">
        <f>IF($A130="","",K130+N130)</f>
        <v/>
      </c>
      <c r="Q130" s="70">
        <f>IF($A130="","",I130+L130-F130)</f>
        <v/>
      </c>
      <c r="R130" s="72">
        <f>IF($A130="","",IF(H130="",Q130,H130))</f>
        <v/>
      </c>
      <c r="S130" s="73">
        <f>IF($A130="","",R130-Q130)</f>
        <v/>
      </c>
      <c r="T130" s="70">
        <f>IF($A130="","",SUMIFS($B$5:$B$800,$A$5:$A$800,"&gt;="&amp;DATE(YEAR($A130),MONTH($A130),1),$A$5:$A$800,"&lt;="&amp;$A130)+IF(AND(YEAR($A130)=YEAR(Settings!$B$3),MONTH($A130)=MONTH(Settings!$B$3)),Settings!$B$6,0))</f>
        <v/>
      </c>
      <c r="U130" s="71">
        <f>IF($A130="","",SUMIFS($J$5:$J$800,$A$5:$A$800,"&gt;="&amp;DATE(YEAR($A130),MONTH($A130),1),$A$5:$A$800,"&lt;="&amp;$A130)+IF(AND(YEAR($A130)=YEAR(Settings!$B$3),MONTH($A130)=MONTH(Settings!$B$3)),Settings!$B$7,0))</f>
        <v/>
      </c>
      <c r="V130" s="70">
        <f>IF($A130="","",Settings!$B$8+SUM($B$5:B130))</f>
        <v/>
      </c>
      <c r="W130" s="71">
        <f>IF($A130="","",Settings!$B$9+SUM($J$5:J130))</f>
        <v/>
      </c>
      <c r="X130" s="71">
        <f>IF($A130="","",IF(AND(N130&gt;0,F130&gt;0),ROUND(F130/N130,0),X129))</f>
        <v/>
      </c>
      <c r="Y130" s="74">
        <f>IF($A130="","",IF(AND(M130&gt;0,L130&gt;0),ROUND(L130/M130,0),IF(AND(J130&gt;0,B130&gt;0),ROUND(B130/J130,0),Y129)))</f>
        <v/>
      </c>
    </row>
    <row r="131">
      <c r="A131" s="67" t="n"/>
      <c r="B131" s="68" t="n"/>
      <c r="C131" s="69" t="n"/>
      <c r="D131" s="68" t="n"/>
      <c r="E131" s="69" t="n"/>
      <c r="F131" s="68" t="n"/>
      <c r="G131" s="69" t="n"/>
      <c r="H131" s="68" t="n"/>
      <c r="I131" s="70">
        <f>IF($A131="","",R130)</f>
        <v/>
      </c>
      <c r="J131" s="71">
        <f>IF($A131="","",IF(C131="",0,C131))</f>
        <v/>
      </c>
      <c r="K131" s="71">
        <f>IF($A131="","",IF(E131="",0,E131))</f>
        <v/>
      </c>
      <c r="L131" s="70">
        <f>IF($A131="","",B131-D131)</f>
        <v/>
      </c>
      <c r="M131" s="71">
        <f>IF($A131="","",J131-K131)</f>
        <v/>
      </c>
      <c r="N131" s="71">
        <f>IF($A131="","",IF(G131="",0,G131))</f>
        <v/>
      </c>
      <c r="O131" s="70">
        <f>IF($A131="","",D131+F131)</f>
        <v/>
      </c>
      <c r="P131" s="71">
        <f>IF($A131="","",K131+N131)</f>
        <v/>
      </c>
      <c r="Q131" s="70">
        <f>IF($A131="","",I131+L131-F131)</f>
        <v/>
      </c>
      <c r="R131" s="72">
        <f>IF($A131="","",IF(H131="",Q131,H131))</f>
        <v/>
      </c>
      <c r="S131" s="73">
        <f>IF($A131="","",R131-Q131)</f>
        <v/>
      </c>
      <c r="T131" s="70">
        <f>IF($A131="","",SUMIFS($B$5:$B$800,$A$5:$A$800,"&gt;="&amp;DATE(YEAR($A131),MONTH($A131),1),$A$5:$A$800,"&lt;="&amp;$A131)+IF(AND(YEAR($A131)=YEAR(Settings!$B$3),MONTH($A131)=MONTH(Settings!$B$3)),Settings!$B$6,0))</f>
        <v/>
      </c>
      <c r="U131" s="71">
        <f>IF($A131="","",SUMIFS($J$5:$J$800,$A$5:$A$800,"&gt;="&amp;DATE(YEAR($A131),MONTH($A131),1),$A$5:$A$800,"&lt;="&amp;$A131)+IF(AND(YEAR($A131)=YEAR(Settings!$B$3),MONTH($A131)=MONTH(Settings!$B$3)),Settings!$B$7,0))</f>
        <v/>
      </c>
      <c r="V131" s="70">
        <f>IF($A131="","",Settings!$B$8+SUM($B$5:B131))</f>
        <v/>
      </c>
      <c r="W131" s="71">
        <f>IF($A131="","",Settings!$B$9+SUM($J$5:J131))</f>
        <v/>
      </c>
      <c r="X131" s="71">
        <f>IF($A131="","",IF(AND(N131&gt;0,F131&gt;0),ROUND(F131/N131,0),X130))</f>
        <v/>
      </c>
      <c r="Y131" s="74">
        <f>IF($A131="","",IF(AND(M131&gt;0,L131&gt;0),ROUND(L131/M131,0),IF(AND(J131&gt;0,B131&gt;0),ROUND(B131/J131,0),Y130)))</f>
        <v/>
      </c>
    </row>
    <row r="132">
      <c r="A132" s="67" t="n"/>
      <c r="B132" s="68" t="n"/>
      <c r="C132" s="69" t="n"/>
      <c r="D132" s="68" t="n"/>
      <c r="E132" s="69" t="n"/>
      <c r="F132" s="68" t="n"/>
      <c r="G132" s="69" t="n"/>
      <c r="H132" s="68" t="n"/>
      <c r="I132" s="70">
        <f>IF($A132="","",R131)</f>
        <v/>
      </c>
      <c r="J132" s="71">
        <f>IF($A132="","",IF(C132="",0,C132))</f>
        <v/>
      </c>
      <c r="K132" s="71">
        <f>IF($A132="","",IF(E132="",0,E132))</f>
        <v/>
      </c>
      <c r="L132" s="70">
        <f>IF($A132="","",B132-D132)</f>
        <v/>
      </c>
      <c r="M132" s="71">
        <f>IF($A132="","",J132-K132)</f>
        <v/>
      </c>
      <c r="N132" s="71">
        <f>IF($A132="","",IF(G132="",0,G132))</f>
        <v/>
      </c>
      <c r="O132" s="70">
        <f>IF($A132="","",D132+F132)</f>
        <v/>
      </c>
      <c r="P132" s="71">
        <f>IF($A132="","",K132+N132)</f>
        <v/>
      </c>
      <c r="Q132" s="70">
        <f>IF($A132="","",I132+L132-F132)</f>
        <v/>
      </c>
      <c r="R132" s="72">
        <f>IF($A132="","",IF(H132="",Q132,H132))</f>
        <v/>
      </c>
      <c r="S132" s="73">
        <f>IF($A132="","",R132-Q132)</f>
        <v/>
      </c>
      <c r="T132" s="70">
        <f>IF($A132="","",SUMIFS($B$5:$B$800,$A$5:$A$800,"&gt;="&amp;DATE(YEAR($A132),MONTH($A132),1),$A$5:$A$800,"&lt;="&amp;$A132)+IF(AND(YEAR($A132)=YEAR(Settings!$B$3),MONTH($A132)=MONTH(Settings!$B$3)),Settings!$B$6,0))</f>
        <v/>
      </c>
      <c r="U132" s="71">
        <f>IF($A132="","",SUMIFS($J$5:$J$800,$A$5:$A$800,"&gt;="&amp;DATE(YEAR($A132),MONTH($A132),1),$A$5:$A$800,"&lt;="&amp;$A132)+IF(AND(YEAR($A132)=YEAR(Settings!$B$3),MONTH($A132)=MONTH(Settings!$B$3)),Settings!$B$7,0))</f>
        <v/>
      </c>
      <c r="V132" s="70">
        <f>IF($A132="","",Settings!$B$8+SUM($B$5:B132))</f>
        <v/>
      </c>
      <c r="W132" s="71">
        <f>IF($A132="","",Settings!$B$9+SUM($J$5:J132))</f>
        <v/>
      </c>
      <c r="X132" s="71">
        <f>IF($A132="","",IF(AND(N132&gt;0,F132&gt;0),ROUND(F132/N132,0),X131))</f>
        <v/>
      </c>
      <c r="Y132" s="74">
        <f>IF($A132="","",IF(AND(M132&gt;0,L132&gt;0),ROUND(L132/M132,0),IF(AND(J132&gt;0,B132&gt;0),ROUND(B132/J132,0),Y131)))</f>
        <v/>
      </c>
    </row>
    <row r="133">
      <c r="A133" s="67" t="n"/>
      <c r="B133" s="68" t="n"/>
      <c r="C133" s="69" t="n"/>
      <c r="D133" s="68" t="n"/>
      <c r="E133" s="69" t="n"/>
      <c r="F133" s="68" t="n"/>
      <c r="G133" s="69" t="n"/>
      <c r="H133" s="68" t="n"/>
      <c r="I133" s="70">
        <f>IF($A133="","",R132)</f>
        <v/>
      </c>
      <c r="J133" s="71">
        <f>IF($A133="","",IF(C133="",0,C133))</f>
        <v/>
      </c>
      <c r="K133" s="71">
        <f>IF($A133="","",IF(E133="",0,E133))</f>
        <v/>
      </c>
      <c r="L133" s="70">
        <f>IF($A133="","",B133-D133)</f>
        <v/>
      </c>
      <c r="M133" s="71">
        <f>IF($A133="","",J133-K133)</f>
        <v/>
      </c>
      <c r="N133" s="71">
        <f>IF($A133="","",IF(G133="",0,G133))</f>
        <v/>
      </c>
      <c r="O133" s="70">
        <f>IF($A133="","",D133+F133)</f>
        <v/>
      </c>
      <c r="P133" s="71">
        <f>IF($A133="","",K133+N133)</f>
        <v/>
      </c>
      <c r="Q133" s="70">
        <f>IF($A133="","",I133+L133-F133)</f>
        <v/>
      </c>
      <c r="R133" s="72">
        <f>IF($A133="","",IF(H133="",Q133,H133))</f>
        <v/>
      </c>
      <c r="S133" s="73">
        <f>IF($A133="","",R133-Q133)</f>
        <v/>
      </c>
      <c r="T133" s="70">
        <f>IF($A133="","",SUMIFS($B$5:$B$800,$A$5:$A$800,"&gt;="&amp;DATE(YEAR($A133),MONTH($A133),1),$A$5:$A$800,"&lt;="&amp;$A133)+IF(AND(YEAR($A133)=YEAR(Settings!$B$3),MONTH($A133)=MONTH(Settings!$B$3)),Settings!$B$6,0))</f>
        <v/>
      </c>
      <c r="U133" s="71">
        <f>IF($A133="","",SUMIFS($J$5:$J$800,$A$5:$A$800,"&gt;="&amp;DATE(YEAR($A133),MONTH($A133),1),$A$5:$A$800,"&lt;="&amp;$A133)+IF(AND(YEAR($A133)=YEAR(Settings!$B$3),MONTH($A133)=MONTH(Settings!$B$3)),Settings!$B$7,0))</f>
        <v/>
      </c>
      <c r="V133" s="70">
        <f>IF($A133="","",Settings!$B$8+SUM($B$5:B133))</f>
        <v/>
      </c>
      <c r="W133" s="71">
        <f>IF($A133="","",Settings!$B$9+SUM($J$5:J133))</f>
        <v/>
      </c>
      <c r="X133" s="71">
        <f>IF($A133="","",IF(AND(N133&gt;0,F133&gt;0),ROUND(F133/N133,0),X132))</f>
        <v/>
      </c>
      <c r="Y133" s="74">
        <f>IF($A133="","",IF(AND(M133&gt;0,L133&gt;0),ROUND(L133/M133,0),IF(AND(J133&gt;0,B133&gt;0),ROUND(B133/J133,0),Y132)))</f>
        <v/>
      </c>
    </row>
    <row r="134">
      <c r="A134" s="67" t="n"/>
      <c r="B134" s="68" t="n"/>
      <c r="C134" s="69" t="n"/>
      <c r="D134" s="68" t="n"/>
      <c r="E134" s="69" t="n"/>
      <c r="F134" s="68" t="n"/>
      <c r="G134" s="69" t="n"/>
      <c r="H134" s="68" t="n"/>
      <c r="I134" s="70">
        <f>IF($A134="","",R133)</f>
        <v/>
      </c>
      <c r="J134" s="71">
        <f>IF($A134="","",IF(C134="",0,C134))</f>
        <v/>
      </c>
      <c r="K134" s="71">
        <f>IF($A134="","",IF(E134="",0,E134))</f>
        <v/>
      </c>
      <c r="L134" s="70">
        <f>IF($A134="","",B134-D134)</f>
        <v/>
      </c>
      <c r="M134" s="71">
        <f>IF($A134="","",J134-K134)</f>
        <v/>
      </c>
      <c r="N134" s="71">
        <f>IF($A134="","",IF(G134="",0,G134))</f>
        <v/>
      </c>
      <c r="O134" s="70">
        <f>IF($A134="","",D134+F134)</f>
        <v/>
      </c>
      <c r="P134" s="71">
        <f>IF($A134="","",K134+N134)</f>
        <v/>
      </c>
      <c r="Q134" s="70">
        <f>IF($A134="","",I134+L134-F134)</f>
        <v/>
      </c>
      <c r="R134" s="72">
        <f>IF($A134="","",IF(H134="",Q134,H134))</f>
        <v/>
      </c>
      <c r="S134" s="73">
        <f>IF($A134="","",R134-Q134)</f>
        <v/>
      </c>
      <c r="T134" s="70">
        <f>IF($A134="","",SUMIFS($B$5:$B$800,$A$5:$A$800,"&gt;="&amp;DATE(YEAR($A134),MONTH($A134),1),$A$5:$A$800,"&lt;="&amp;$A134)+IF(AND(YEAR($A134)=YEAR(Settings!$B$3),MONTH($A134)=MONTH(Settings!$B$3)),Settings!$B$6,0))</f>
        <v/>
      </c>
      <c r="U134" s="71">
        <f>IF($A134="","",SUMIFS($J$5:$J$800,$A$5:$A$800,"&gt;="&amp;DATE(YEAR($A134),MONTH($A134),1),$A$5:$A$800,"&lt;="&amp;$A134)+IF(AND(YEAR($A134)=YEAR(Settings!$B$3),MONTH($A134)=MONTH(Settings!$B$3)),Settings!$B$7,0))</f>
        <v/>
      </c>
      <c r="V134" s="70">
        <f>IF($A134="","",Settings!$B$8+SUM($B$5:B134))</f>
        <v/>
      </c>
      <c r="W134" s="71">
        <f>IF($A134="","",Settings!$B$9+SUM($J$5:J134))</f>
        <v/>
      </c>
      <c r="X134" s="71">
        <f>IF($A134="","",IF(AND(N134&gt;0,F134&gt;0),ROUND(F134/N134,0),X133))</f>
        <v/>
      </c>
      <c r="Y134" s="74">
        <f>IF($A134="","",IF(AND(M134&gt;0,L134&gt;0),ROUND(L134/M134,0),IF(AND(J134&gt;0,B134&gt;0),ROUND(B134/J134,0),Y133)))</f>
        <v/>
      </c>
    </row>
    <row r="135">
      <c r="A135" s="67" t="n"/>
      <c r="B135" s="68" t="n"/>
      <c r="C135" s="69" t="n"/>
      <c r="D135" s="68" t="n"/>
      <c r="E135" s="69" t="n"/>
      <c r="F135" s="68" t="n"/>
      <c r="G135" s="69" t="n"/>
      <c r="H135" s="68" t="n"/>
      <c r="I135" s="70">
        <f>IF($A135="","",R134)</f>
        <v/>
      </c>
      <c r="J135" s="71">
        <f>IF($A135="","",IF(C135="",0,C135))</f>
        <v/>
      </c>
      <c r="K135" s="71">
        <f>IF($A135="","",IF(E135="",0,E135))</f>
        <v/>
      </c>
      <c r="L135" s="70">
        <f>IF($A135="","",B135-D135)</f>
        <v/>
      </c>
      <c r="M135" s="71">
        <f>IF($A135="","",J135-K135)</f>
        <v/>
      </c>
      <c r="N135" s="71">
        <f>IF($A135="","",IF(G135="",0,G135))</f>
        <v/>
      </c>
      <c r="O135" s="70">
        <f>IF($A135="","",D135+F135)</f>
        <v/>
      </c>
      <c r="P135" s="71">
        <f>IF($A135="","",K135+N135)</f>
        <v/>
      </c>
      <c r="Q135" s="70">
        <f>IF($A135="","",I135+L135-F135)</f>
        <v/>
      </c>
      <c r="R135" s="72">
        <f>IF($A135="","",IF(H135="",Q135,H135))</f>
        <v/>
      </c>
      <c r="S135" s="73">
        <f>IF($A135="","",R135-Q135)</f>
        <v/>
      </c>
      <c r="T135" s="70">
        <f>IF($A135="","",SUMIFS($B$5:$B$800,$A$5:$A$800,"&gt;="&amp;DATE(YEAR($A135),MONTH($A135),1),$A$5:$A$800,"&lt;="&amp;$A135)+IF(AND(YEAR($A135)=YEAR(Settings!$B$3),MONTH($A135)=MONTH(Settings!$B$3)),Settings!$B$6,0))</f>
        <v/>
      </c>
      <c r="U135" s="71">
        <f>IF($A135="","",SUMIFS($J$5:$J$800,$A$5:$A$800,"&gt;="&amp;DATE(YEAR($A135),MONTH($A135),1),$A$5:$A$800,"&lt;="&amp;$A135)+IF(AND(YEAR($A135)=YEAR(Settings!$B$3),MONTH($A135)=MONTH(Settings!$B$3)),Settings!$B$7,0))</f>
        <v/>
      </c>
      <c r="V135" s="70">
        <f>IF($A135="","",Settings!$B$8+SUM($B$5:B135))</f>
        <v/>
      </c>
      <c r="W135" s="71">
        <f>IF($A135="","",Settings!$B$9+SUM($J$5:J135))</f>
        <v/>
      </c>
      <c r="X135" s="71">
        <f>IF($A135="","",IF(AND(N135&gt;0,F135&gt;0),ROUND(F135/N135,0),X134))</f>
        <v/>
      </c>
      <c r="Y135" s="74">
        <f>IF($A135="","",IF(AND(M135&gt;0,L135&gt;0),ROUND(L135/M135,0),IF(AND(J135&gt;0,B135&gt;0),ROUND(B135/J135,0),Y134)))</f>
        <v/>
      </c>
    </row>
    <row r="136">
      <c r="A136" s="67" t="n"/>
      <c r="B136" s="68" t="n"/>
      <c r="C136" s="69" t="n"/>
      <c r="D136" s="68" t="n"/>
      <c r="E136" s="69" t="n"/>
      <c r="F136" s="68" t="n"/>
      <c r="G136" s="69" t="n"/>
      <c r="H136" s="68" t="n"/>
      <c r="I136" s="70">
        <f>IF($A136="","",R135)</f>
        <v/>
      </c>
      <c r="J136" s="71">
        <f>IF($A136="","",IF(C136="",0,C136))</f>
        <v/>
      </c>
      <c r="K136" s="71">
        <f>IF($A136="","",IF(E136="",0,E136))</f>
        <v/>
      </c>
      <c r="L136" s="70">
        <f>IF($A136="","",B136-D136)</f>
        <v/>
      </c>
      <c r="M136" s="71">
        <f>IF($A136="","",J136-K136)</f>
        <v/>
      </c>
      <c r="N136" s="71">
        <f>IF($A136="","",IF(G136="",0,G136))</f>
        <v/>
      </c>
      <c r="O136" s="70">
        <f>IF($A136="","",D136+F136)</f>
        <v/>
      </c>
      <c r="P136" s="71">
        <f>IF($A136="","",K136+N136)</f>
        <v/>
      </c>
      <c r="Q136" s="70">
        <f>IF($A136="","",I136+L136-F136)</f>
        <v/>
      </c>
      <c r="R136" s="72">
        <f>IF($A136="","",IF(H136="",Q136,H136))</f>
        <v/>
      </c>
      <c r="S136" s="73">
        <f>IF($A136="","",R136-Q136)</f>
        <v/>
      </c>
      <c r="T136" s="70">
        <f>IF($A136="","",SUMIFS($B$5:$B$800,$A$5:$A$800,"&gt;="&amp;DATE(YEAR($A136),MONTH($A136),1),$A$5:$A$800,"&lt;="&amp;$A136)+IF(AND(YEAR($A136)=YEAR(Settings!$B$3),MONTH($A136)=MONTH(Settings!$B$3)),Settings!$B$6,0))</f>
        <v/>
      </c>
      <c r="U136" s="71">
        <f>IF($A136="","",SUMIFS($J$5:$J$800,$A$5:$A$800,"&gt;="&amp;DATE(YEAR($A136),MONTH($A136),1),$A$5:$A$800,"&lt;="&amp;$A136)+IF(AND(YEAR($A136)=YEAR(Settings!$B$3),MONTH($A136)=MONTH(Settings!$B$3)),Settings!$B$7,0))</f>
        <v/>
      </c>
      <c r="V136" s="70">
        <f>IF($A136="","",Settings!$B$8+SUM($B$5:B136))</f>
        <v/>
      </c>
      <c r="W136" s="71">
        <f>IF($A136="","",Settings!$B$9+SUM($J$5:J136))</f>
        <v/>
      </c>
      <c r="X136" s="71">
        <f>IF($A136="","",IF(AND(N136&gt;0,F136&gt;0),ROUND(F136/N136,0),X135))</f>
        <v/>
      </c>
      <c r="Y136" s="74">
        <f>IF($A136="","",IF(AND(M136&gt;0,L136&gt;0),ROUND(L136/M136,0),IF(AND(J136&gt;0,B136&gt;0),ROUND(B136/J136,0),Y135)))</f>
        <v/>
      </c>
    </row>
    <row r="137">
      <c r="A137" s="67" t="n"/>
      <c r="B137" s="68" t="n"/>
      <c r="C137" s="69" t="n"/>
      <c r="D137" s="68" t="n"/>
      <c r="E137" s="69" t="n"/>
      <c r="F137" s="68" t="n"/>
      <c r="G137" s="69" t="n"/>
      <c r="H137" s="68" t="n"/>
      <c r="I137" s="70">
        <f>IF($A137="","",R136)</f>
        <v/>
      </c>
      <c r="J137" s="71">
        <f>IF($A137="","",IF(C137="",0,C137))</f>
        <v/>
      </c>
      <c r="K137" s="71">
        <f>IF($A137="","",IF(E137="",0,E137))</f>
        <v/>
      </c>
      <c r="L137" s="70">
        <f>IF($A137="","",B137-D137)</f>
        <v/>
      </c>
      <c r="M137" s="71">
        <f>IF($A137="","",J137-K137)</f>
        <v/>
      </c>
      <c r="N137" s="71">
        <f>IF($A137="","",IF(G137="",0,G137))</f>
        <v/>
      </c>
      <c r="O137" s="70">
        <f>IF($A137="","",D137+F137)</f>
        <v/>
      </c>
      <c r="P137" s="71">
        <f>IF($A137="","",K137+N137)</f>
        <v/>
      </c>
      <c r="Q137" s="70">
        <f>IF($A137="","",I137+L137-F137)</f>
        <v/>
      </c>
      <c r="R137" s="72">
        <f>IF($A137="","",IF(H137="",Q137,H137))</f>
        <v/>
      </c>
      <c r="S137" s="73">
        <f>IF($A137="","",R137-Q137)</f>
        <v/>
      </c>
      <c r="T137" s="70">
        <f>IF($A137="","",SUMIFS($B$5:$B$800,$A$5:$A$800,"&gt;="&amp;DATE(YEAR($A137),MONTH($A137),1),$A$5:$A$800,"&lt;="&amp;$A137)+IF(AND(YEAR($A137)=YEAR(Settings!$B$3),MONTH($A137)=MONTH(Settings!$B$3)),Settings!$B$6,0))</f>
        <v/>
      </c>
      <c r="U137" s="71">
        <f>IF($A137="","",SUMIFS($J$5:$J$800,$A$5:$A$800,"&gt;="&amp;DATE(YEAR($A137),MONTH($A137),1),$A$5:$A$800,"&lt;="&amp;$A137)+IF(AND(YEAR($A137)=YEAR(Settings!$B$3),MONTH($A137)=MONTH(Settings!$B$3)),Settings!$B$7,0))</f>
        <v/>
      </c>
      <c r="V137" s="70">
        <f>IF($A137="","",Settings!$B$8+SUM($B$5:B137))</f>
        <v/>
      </c>
      <c r="W137" s="71">
        <f>IF($A137="","",Settings!$B$9+SUM($J$5:J137))</f>
        <v/>
      </c>
      <c r="X137" s="71">
        <f>IF($A137="","",IF(AND(N137&gt;0,F137&gt;0),ROUND(F137/N137,0),X136))</f>
        <v/>
      </c>
      <c r="Y137" s="74">
        <f>IF($A137="","",IF(AND(M137&gt;0,L137&gt;0),ROUND(L137/M137,0),IF(AND(J137&gt;0,B137&gt;0),ROUND(B137/J137,0),Y136)))</f>
        <v/>
      </c>
    </row>
    <row r="138">
      <c r="A138" s="67" t="n"/>
      <c r="B138" s="68" t="n"/>
      <c r="C138" s="69" t="n"/>
      <c r="D138" s="68" t="n"/>
      <c r="E138" s="69" t="n"/>
      <c r="F138" s="68" t="n"/>
      <c r="G138" s="69" t="n"/>
      <c r="H138" s="68" t="n"/>
      <c r="I138" s="70">
        <f>IF($A138="","",R137)</f>
        <v/>
      </c>
      <c r="J138" s="71">
        <f>IF($A138="","",IF(C138="",0,C138))</f>
        <v/>
      </c>
      <c r="K138" s="71">
        <f>IF($A138="","",IF(E138="",0,E138))</f>
        <v/>
      </c>
      <c r="L138" s="70">
        <f>IF($A138="","",B138-D138)</f>
        <v/>
      </c>
      <c r="M138" s="71">
        <f>IF($A138="","",J138-K138)</f>
        <v/>
      </c>
      <c r="N138" s="71">
        <f>IF($A138="","",IF(G138="",0,G138))</f>
        <v/>
      </c>
      <c r="O138" s="70">
        <f>IF($A138="","",D138+F138)</f>
        <v/>
      </c>
      <c r="P138" s="71">
        <f>IF($A138="","",K138+N138)</f>
        <v/>
      </c>
      <c r="Q138" s="70">
        <f>IF($A138="","",I138+L138-F138)</f>
        <v/>
      </c>
      <c r="R138" s="72">
        <f>IF($A138="","",IF(H138="",Q138,H138))</f>
        <v/>
      </c>
      <c r="S138" s="73">
        <f>IF($A138="","",R138-Q138)</f>
        <v/>
      </c>
      <c r="T138" s="70">
        <f>IF($A138="","",SUMIFS($B$5:$B$800,$A$5:$A$800,"&gt;="&amp;DATE(YEAR($A138),MONTH($A138),1),$A$5:$A$800,"&lt;="&amp;$A138)+IF(AND(YEAR($A138)=YEAR(Settings!$B$3),MONTH($A138)=MONTH(Settings!$B$3)),Settings!$B$6,0))</f>
        <v/>
      </c>
      <c r="U138" s="71">
        <f>IF($A138="","",SUMIFS($J$5:$J$800,$A$5:$A$800,"&gt;="&amp;DATE(YEAR($A138),MONTH($A138),1),$A$5:$A$800,"&lt;="&amp;$A138)+IF(AND(YEAR($A138)=YEAR(Settings!$B$3),MONTH($A138)=MONTH(Settings!$B$3)),Settings!$B$7,0))</f>
        <v/>
      </c>
      <c r="V138" s="70">
        <f>IF($A138="","",Settings!$B$8+SUM($B$5:B138))</f>
        <v/>
      </c>
      <c r="W138" s="71">
        <f>IF($A138="","",Settings!$B$9+SUM($J$5:J138))</f>
        <v/>
      </c>
      <c r="X138" s="71">
        <f>IF($A138="","",IF(AND(N138&gt;0,F138&gt;0),ROUND(F138/N138,0),X137))</f>
        <v/>
      </c>
      <c r="Y138" s="74">
        <f>IF($A138="","",IF(AND(M138&gt;0,L138&gt;0),ROUND(L138/M138,0),IF(AND(J138&gt;0,B138&gt;0),ROUND(B138/J138,0),Y137)))</f>
        <v/>
      </c>
    </row>
    <row r="139">
      <c r="A139" s="67" t="n"/>
      <c r="B139" s="68" t="n"/>
      <c r="C139" s="69" t="n"/>
      <c r="D139" s="68" t="n"/>
      <c r="E139" s="69" t="n"/>
      <c r="F139" s="68" t="n"/>
      <c r="G139" s="69" t="n"/>
      <c r="H139" s="68" t="n"/>
      <c r="I139" s="70">
        <f>IF($A139="","",R138)</f>
        <v/>
      </c>
      <c r="J139" s="71">
        <f>IF($A139="","",IF(C139="",0,C139))</f>
        <v/>
      </c>
      <c r="K139" s="71">
        <f>IF($A139="","",IF(E139="",0,E139))</f>
        <v/>
      </c>
      <c r="L139" s="70">
        <f>IF($A139="","",B139-D139)</f>
        <v/>
      </c>
      <c r="M139" s="71">
        <f>IF($A139="","",J139-K139)</f>
        <v/>
      </c>
      <c r="N139" s="71">
        <f>IF($A139="","",IF(G139="",0,G139))</f>
        <v/>
      </c>
      <c r="O139" s="70">
        <f>IF($A139="","",D139+F139)</f>
        <v/>
      </c>
      <c r="P139" s="71">
        <f>IF($A139="","",K139+N139)</f>
        <v/>
      </c>
      <c r="Q139" s="70">
        <f>IF($A139="","",I139+L139-F139)</f>
        <v/>
      </c>
      <c r="R139" s="72">
        <f>IF($A139="","",IF(H139="",Q139,H139))</f>
        <v/>
      </c>
      <c r="S139" s="73">
        <f>IF($A139="","",R139-Q139)</f>
        <v/>
      </c>
      <c r="T139" s="70">
        <f>IF($A139="","",SUMIFS($B$5:$B$800,$A$5:$A$800,"&gt;="&amp;DATE(YEAR($A139),MONTH($A139),1),$A$5:$A$800,"&lt;="&amp;$A139)+IF(AND(YEAR($A139)=YEAR(Settings!$B$3),MONTH($A139)=MONTH(Settings!$B$3)),Settings!$B$6,0))</f>
        <v/>
      </c>
      <c r="U139" s="71">
        <f>IF($A139="","",SUMIFS($J$5:$J$800,$A$5:$A$800,"&gt;="&amp;DATE(YEAR($A139),MONTH($A139),1),$A$5:$A$800,"&lt;="&amp;$A139)+IF(AND(YEAR($A139)=YEAR(Settings!$B$3),MONTH($A139)=MONTH(Settings!$B$3)),Settings!$B$7,0))</f>
        <v/>
      </c>
      <c r="V139" s="70">
        <f>IF($A139="","",Settings!$B$8+SUM($B$5:B139))</f>
        <v/>
      </c>
      <c r="W139" s="71">
        <f>IF($A139="","",Settings!$B$9+SUM($J$5:J139))</f>
        <v/>
      </c>
      <c r="X139" s="71">
        <f>IF($A139="","",IF(AND(N139&gt;0,F139&gt;0),ROUND(F139/N139,0),X138))</f>
        <v/>
      </c>
      <c r="Y139" s="74">
        <f>IF($A139="","",IF(AND(M139&gt;0,L139&gt;0),ROUND(L139/M139,0),IF(AND(J139&gt;0,B139&gt;0),ROUND(B139/J139,0),Y138)))</f>
        <v/>
      </c>
    </row>
    <row r="140">
      <c r="A140" s="67" t="n"/>
      <c r="B140" s="68" t="n"/>
      <c r="C140" s="69" t="n"/>
      <c r="D140" s="68" t="n"/>
      <c r="E140" s="69" t="n"/>
      <c r="F140" s="68" t="n"/>
      <c r="G140" s="69" t="n"/>
      <c r="H140" s="68" t="n"/>
      <c r="I140" s="70">
        <f>IF($A140="","",R139)</f>
        <v/>
      </c>
      <c r="J140" s="71">
        <f>IF($A140="","",IF(C140="",0,C140))</f>
        <v/>
      </c>
      <c r="K140" s="71">
        <f>IF($A140="","",IF(E140="",0,E140))</f>
        <v/>
      </c>
      <c r="L140" s="70">
        <f>IF($A140="","",B140-D140)</f>
        <v/>
      </c>
      <c r="M140" s="71">
        <f>IF($A140="","",J140-K140)</f>
        <v/>
      </c>
      <c r="N140" s="71">
        <f>IF($A140="","",IF(G140="",0,G140))</f>
        <v/>
      </c>
      <c r="O140" s="70">
        <f>IF($A140="","",D140+F140)</f>
        <v/>
      </c>
      <c r="P140" s="71">
        <f>IF($A140="","",K140+N140)</f>
        <v/>
      </c>
      <c r="Q140" s="70">
        <f>IF($A140="","",I140+L140-F140)</f>
        <v/>
      </c>
      <c r="R140" s="72">
        <f>IF($A140="","",IF(H140="",Q140,H140))</f>
        <v/>
      </c>
      <c r="S140" s="73">
        <f>IF($A140="","",R140-Q140)</f>
        <v/>
      </c>
      <c r="T140" s="70">
        <f>IF($A140="","",SUMIFS($B$5:$B$800,$A$5:$A$800,"&gt;="&amp;DATE(YEAR($A140),MONTH($A140),1),$A$5:$A$800,"&lt;="&amp;$A140)+IF(AND(YEAR($A140)=YEAR(Settings!$B$3),MONTH($A140)=MONTH(Settings!$B$3)),Settings!$B$6,0))</f>
        <v/>
      </c>
      <c r="U140" s="71">
        <f>IF($A140="","",SUMIFS($J$5:$J$800,$A$5:$A$800,"&gt;="&amp;DATE(YEAR($A140),MONTH($A140),1),$A$5:$A$800,"&lt;="&amp;$A140)+IF(AND(YEAR($A140)=YEAR(Settings!$B$3),MONTH($A140)=MONTH(Settings!$B$3)),Settings!$B$7,0))</f>
        <v/>
      </c>
      <c r="V140" s="70">
        <f>IF($A140="","",Settings!$B$8+SUM($B$5:B140))</f>
        <v/>
      </c>
      <c r="W140" s="71">
        <f>IF($A140="","",Settings!$B$9+SUM($J$5:J140))</f>
        <v/>
      </c>
      <c r="X140" s="71">
        <f>IF($A140="","",IF(AND(N140&gt;0,F140&gt;0),ROUND(F140/N140,0),X139))</f>
        <v/>
      </c>
      <c r="Y140" s="74">
        <f>IF($A140="","",IF(AND(M140&gt;0,L140&gt;0),ROUND(L140/M140,0),IF(AND(J140&gt;0,B140&gt;0),ROUND(B140/J140,0),Y139)))</f>
        <v/>
      </c>
    </row>
    <row r="141">
      <c r="A141" s="67" t="n"/>
      <c r="B141" s="68" t="n"/>
      <c r="C141" s="69" t="n"/>
      <c r="D141" s="68" t="n"/>
      <c r="E141" s="69" t="n"/>
      <c r="F141" s="68" t="n"/>
      <c r="G141" s="69" t="n"/>
      <c r="H141" s="68" t="n"/>
      <c r="I141" s="70">
        <f>IF($A141="","",R140)</f>
        <v/>
      </c>
      <c r="J141" s="71">
        <f>IF($A141="","",IF(C141="",0,C141))</f>
        <v/>
      </c>
      <c r="K141" s="71">
        <f>IF($A141="","",IF(E141="",0,E141))</f>
        <v/>
      </c>
      <c r="L141" s="70">
        <f>IF($A141="","",B141-D141)</f>
        <v/>
      </c>
      <c r="M141" s="71">
        <f>IF($A141="","",J141-K141)</f>
        <v/>
      </c>
      <c r="N141" s="71">
        <f>IF($A141="","",IF(G141="",0,G141))</f>
        <v/>
      </c>
      <c r="O141" s="70">
        <f>IF($A141="","",D141+F141)</f>
        <v/>
      </c>
      <c r="P141" s="71">
        <f>IF($A141="","",K141+N141)</f>
        <v/>
      </c>
      <c r="Q141" s="70">
        <f>IF($A141="","",I141+L141-F141)</f>
        <v/>
      </c>
      <c r="R141" s="72">
        <f>IF($A141="","",IF(H141="",Q141,H141))</f>
        <v/>
      </c>
      <c r="S141" s="73">
        <f>IF($A141="","",R141-Q141)</f>
        <v/>
      </c>
      <c r="T141" s="70">
        <f>IF($A141="","",SUMIFS($B$5:$B$800,$A$5:$A$800,"&gt;="&amp;DATE(YEAR($A141),MONTH($A141),1),$A$5:$A$800,"&lt;="&amp;$A141)+IF(AND(YEAR($A141)=YEAR(Settings!$B$3),MONTH($A141)=MONTH(Settings!$B$3)),Settings!$B$6,0))</f>
        <v/>
      </c>
      <c r="U141" s="71">
        <f>IF($A141="","",SUMIFS($J$5:$J$800,$A$5:$A$800,"&gt;="&amp;DATE(YEAR($A141),MONTH($A141),1),$A$5:$A$800,"&lt;="&amp;$A141)+IF(AND(YEAR($A141)=YEAR(Settings!$B$3),MONTH($A141)=MONTH(Settings!$B$3)),Settings!$B$7,0))</f>
        <v/>
      </c>
      <c r="V141" s="70">
        <f>IF($A141="","",Settings!$B$8+SUM($B$5:B141))</f>
        <v/>
      </c>
      <c r="W141" s="71">
        <f>IF($A141="","",Settings!$B$9+SUM($J$5:J141))</f>
        <v/>
      </c>
      <c r="X141" s="71">
        <f>IF($A141="","",IF(AND(N141&gt;0,F141&gt;0),ROUND(F141/N141,0),X140))</f>
        <v/>
      </c>
      <c r="Y141" s="74">
        <f>IF($A141="","",IF(AND(M141&gt;0,L141&gt;0),ROUND(L141/M141,0),IF(AND(J141&gt;0,B141&gt;0),ROUND(B141/J141,0),Y140)))</f>
        <v/>
      </c>
    </row>
    <row r="142">
      <c r="A142" s="67" t="n"/>
      <c r="B142" s="68" t="n"/>
      <c r="C142" s="69" t="n"/>
      <c r="D142" s="68" t="n"/>
      <c r="E142" s="69" t="n"/>
      <c r="F142" s="68" t="n"/>
      <c r="G142" s="69" t="n"/>
      <c r="H142" s="68" t="n"/>
      <c r="I142" s="70">
        <f>IF($A142="","",R141)</f>
        <v/>
      </c>
      <c r="J142" s="71">
        <f>IF($A142="","",IF(C142="",0,C142))</f>
        <v/>
      </c>
      <c r="K142" s="71">
        <f>IF($A142="","",IF(E142="",0,E142))</f>
        <v/>
      </c>
      <c r="L142" s="70">
        <f>IF($A142="","",B142-D142)</f>
        <v/>
      </c>
      <c r="M142" s="71">
        <f>IF($A142="","",J142-K142)</f>
        <v/>
      </c>
      <c r="N142" s="71">
        <f>IF($A142="","",IF(G142="",0,G142))</f>
        <v/>
      </c>
      <c r="O142" s="70">
        <f>IF($A142="","",D142+F142)</f>
        <v/>
      </c>
      <c r="P142" s="71">
        <f>IF($A142="","",K142+N142)</f>
        <v/>
      </c>
      <c r="Q142" s="70">
        <f>IF($A142="","",I142+L142-F142)</f>
        <v/>
      </c>
      <c r="R142" s="72">
        <f>IF($A142="","",IF(H142="",Q142,H142))</f>
        <v/>
      </c>
      <c r="S142" s="73">
        <f>IF($A142="","",R142-Q142)</f>
        <v/>
      </c>
      <c r="T142" s="70">
        <f>IF($A142="","",SUMIFS($B$5:$B$800,$A$5:$A$800,"&gt;="&amp;DATE(YEAR($A142),MONTH($A142),1),$A$5:$A$800,"&lt;="&amp;$A142)+IF(AND(YEAR($A142)=YEAR(Settings!$B$3),MONTH($A142)=MONTH(Settings!$B$3)),Settings!$B$6,0))</f>
        <v/>
      </c>
      <c r="U142" s="71">
        <f>IF($A142="","",SUMIFS($J$5:$J$800,$A$5:$A$800,"&gt;="&amp;DATE(YEAR($A142),MONTH($A142),1),$A$5:$A$800,"&lt;="&amp;$A142)+IF(AND(YEAR($A142)=YEAR(Settings!$B$3),MONTH($A142)=MONTH(Settings!$B$3)),Settings!$B$7,0))</f>
        <v/>
      </c>
      <c r="V142" s="70">
        <f>IF($A142="","",Settings!$B$8+SUM($B$5:B142))</f>
        <v/>
      </c>
      <c r="W142" s="71">
        <f>IF($A142="","",Settings!$B$9+SUM($J$5:J142))</f>
        <v/>
      </c>
      <c r="X142" s="71">
        <f>IF($A142="","",IF(AND(N142&gt;0,F142&gt;0),ROUND(F142/N142,0),X141))</f>
        <v/>
      </c>
      <c r="Y142" s="74">
        <f>IF($A142="","",IF(AND(M142&gt;0,L142&gt;0),ROUND(L142/M142,0),IF(AND(J142&gt;0,B142&gt;0),ROUND(B142/J142,0),Y141)))</f>
        <v/>
      </c>
    </row>
    <row r="143">
      <c r="A143" s="67" t="n"/>
      <c r="B143" s="68" t="n"/>
      <c r="C143" s="69" t="n"/>
      <c r="D143" s="68" t="n"/>
      <c r="E143" s="69" t="n"/>
      <c r="F143" s="68" t="n"/>
      <c r="G143" s="69" t="n"/>
      <c r="H143" s="68" t="n"/>
      <c r="I143" s="70">
        <f>IF($A143="","",R142)</f>
        <v/>
      </c>
      <c r="J143" s="71">
        <f>IF($A143="","",IF(C143="",0,C143))</f>
        <v/>
      </c>
      <c r="K143" s="71">
        <f>IF($A143="","",IF(E143="",0,E143))</f>
        <v/>
      </c>
      <c r="L143" s="70">
        <f>IF($A143="","",B143-D143)</f>
        <v/>
      </c>
      <c r="M143" s="71">
        <f>IF($A143="","",J143-K143)</f>
        <v/>
      </c>
      <c r="N143" s="71">
        <f>IF($A143="","",IF(G143="",0,G143))</f>
        <v/>
      </c>
      <c r="O143" s="70">
        <f>IF($A143="","",D143+F143)</f>
        <v/>
      </c>
      <c r="P143" s="71">
        <f>IF($A143="","",K143+N143)</f>
        <v/>
      </c>
      <c r="Q143" s="70">
        <f>IF($A143="","",I143+L143-F143)</f>
        <v/>
      </c>
      <c r="R143" s="72">
        <f>IF($A143="","",IF(H143="",Q143,H143))</f>
        <v/>
      </c>
      <c r="S143" s="73">
        <f>IF($A143="","",R143-Q143)</f>
        <v/>
      </c>
      <c r="T143" s="70">
        <f>IF($A143="","",SUMIFS($B$5:$B$800,$A$5:$A$800,"&gt;="&amp;DATE(YEAR($A143),MONTH($A143),1),$A$5:$A$800,"&lt;="&amp;$A143)+IF(AND(YEAR($A143)=YEAR(Settings!$B$3),MONTH($A143)=MONTH(Settings!$B$3)),Settings!$B$6,0))</f>
        <v/>
      </c>
      <c r="U143" s="71">
        <f>IF($A143="","",SUMIFS($J$5:$J$800,$A$5:$A$800,"&gt;="&amp;DATE(YEAR($A143),MONTH($A143),1),$A$5:$A$800,"&lt;="&amp;$A143)+IF(AND(YEAR($A143)=YEAR(Settings!$B$3),MONTH($A143)=MONTH(Settings!$B$3)),Settings!$B$7,0))</f>
        <v/>
      </c>
      <c r="V143" s="70">
        <f>IF($A143="","",Settings!$B$8+SUM($B$5:B143))</f>
        <v/>
      </c>
      <c r="W143" s="71">
        <f>IF($A143="","",Settings!$B$9+SUM($J$5:J143))</f>
        <v/>
      </c>
      <c r="X143" s="71">
        <f>IF($A143="","",IF(AND(N143&gt;0,F143&gt;0),ROUND(F143/N143,0),X142))</f>
        <v/>
      </c>
      <c r="Y143" s="74">
        <f>IF($A143="","",IF(AND(M143&gt;0,L143&gt;0),ROUND(L143/M143,0),IF(AND(J143&gt;0,B143&gt;0),ROUND(B143/J143,0),Y142)))</f>
        <v/>
      </c>
    </row>
    <row r="144">
      <c r="A144" s="67" t="n"/>
      <c r="B144" s="68" t="n"/>
      <c r="C144" s="69" t="n"/>
      <c r="D144" s="68" t="n"/>
      <c r="E144" s="69" t="n"/>
      <c r="F144" s="68" t="n"/>
      <c r="G144" s="69" t="n"/>
      <c r="H144" s="68" t="n"/>
      <c r="I144" s="70">
        <f>IF($A144="","",R143)</f>
        <v/>
      </c>
      <c r="J144" s="71">
        <f>IF($A144="","",IF(C144="",0,C144))</f>
        <v/>
      </c>
      <c r="K144" s="71">
        <f>IF($A144="","",IF(E144="",0,E144))</f>
        <v/>
      </c>
      <c r="L144" s="70">
        <f>IF($A144="","",B144-D144)</f>
        <v/>
      </c>
      <c r="M144" s="71">
        <f>IF($A144="","",J144-K144)</f>
        <v/>
      </c>
      <c r="N144" s="71">
        <f>IF($A144="","",IF(G144="",0,G144))</f>
        <v/>
      </c>
      <c r="O144" s="70">
        <f>IF($A144="","",D144+F144)</f>
        <v/>
      </c>
      <c r="P144" s="71">
        <f>IF($A144="","",K144+N144)</f>
        <v/>
      </c>
      <c r="Q144" s="70">
        <f>IF($A144="","",I144+L144-F144)</f>
        <v/>
      </c>
      <c r="R144" s="72">
        <f>IF($A144="","",IF(H144="",Q144,H144))</f>
        <v/>
      </c>
      <c r="S144" s="73">
        <f>IF($A144="","",R144-Q144)</f>
        <v/>
      </c>
      <c r="T144" s="70">
        <f>IF($A144="","",SUMIFS($B$5:$B$800,$A$5:$A$800,"&gt;="&amp;DATE(YEAR($A144),MONTH($A144),1),$A$5:$A$800,"&lt;="&amp;$A144)+IF(AND(YEAR($A144)=YEAR(Settings!$B$3),MONTH($A144)=MONTH(Settings!$B$3)),Settings!$B$6,0))</f>
        <v/>
      </c>
      <c r="U144" s="71">
        <f>IF($A144="","",SUMIFS($J$5:$J$800,$A$5:$A$800,"&gt;="&amp;DATE(YEAR($A144),MONTH($A144),1),$A$5:$A$800,"&lt;="&amp;$A144)+IF(AND(YEAR($A144)=YEAR(Settings!$B$3),MONTH($A144)=MONTH(Settings!$B$3)),Settings!$B$7,0))</f>
        <v/>
      </c>
      <c r="V144" s="70">
        <f>IF($A144="","",Settings!$B$8+SUM($B$5:B144))</f>
        <v/>
      </c>
      <c r="W144" s="71">
        <f>IF($A144="","",Settings!$B$9+SUM($J$5:J144))</f>
        <v/>
      </c>
      <c r="X144" s="71">
        <f>IF($A144="","",IF(AND(N144&gt;0,F144&gt;0),ROUND(F144/N144,0),X143))</f>
        <v/>
      </c>
      <c r="Y144" s="74">
        <f>IF($A144="","",IF(AND(M144&gt;0,L144&gt;0),ROUND(L144/M144,0),IF(AND(J144&gt;0,B144&gt;0),ROUND(B144/J144,0),Y143)))</f>
        <v/>
      </c>
    </row>
    <row r="145">
      <c r="A145" s="67" t="n"/>
      <c r="B145" s="68" t="n"/>
      <c r="C145" s="69" t="n"/>
      <c r="D145" s="68" t="n"/>
      <c r="E145" s="69" t="n"/>
      <c r="F145" s="68" t="n"/>
      <c r="G145" s="69" t="n"/>
      <c r="H145" s="68" t="n"/>
      <c r="I145" s="70">
        <f>IF($A145="","",R144)</f>
        <v/>
      </c>
      <c r="J145" s="71">
        <f>IF($A145="","",IF(C145="",0,C145))</f>
        <v/>
      </c>
      <c r="K145" s="71">
        <f>IF($A145="","",IF(E145="",0,E145))</f>
        <v/>
      </c>
      <c r="L145" s="70">
        <f>IF($A145="","",B145-D145)</f>
        <v/>
      </c>
      <c r="M145" s="71">
        <f>IF($A145="","",J145-K145)</f>
        <v/>
      </c>
      <c r="N145" s="71">
        <f>IF($A145="","",IF(G145="",0,G145))</f>
        <v/>
      </c>
      <c r="O145" s="70">
        <f>IF($A145="","",D145+F145)</f>
        <v/>
      </c>
      <c r="P145" s="71">
        <f>IF($A145="","",K145+N145)</f>
        <v/>
      </c>
      <c r="Q145" s="70">
        <f>IF($A145="","",I145+L145-F145)</f>
        <v/>
      </c>
      <c r="R145" s="72">
        <f>IF($A145="","",IF(H145="",Q145,H145))</f>
        <v/>
      </c>
      <c r="S145" s="73">
        <f>IF($A145="","",R145-Q145)</f>
        <v/>
      </c>
      <c r="T145" s="70">
        <f>IF($A145="","",SUMIFS($B$5:$B$800,$A$5:$A$800,"&gt;="&amp;DATE(YEAR($A145),MONTH($A145),1),$A$5:$A$800,"&lt;="&amp;$A145)+IF(AND(YEAR($A145)=YEAR(Settings!$B$3),MONTH($A145)=MONTH(Settings!$B$3)),Settings!$B$6,0))</f>
        <v/>
      </c>
      <c r="U145" s="71">
        <f>IF($A145="","",SUMIFS($J$5:$J$800,$A$5:$A$800,"&gt;="&amp;DATE(YEAR($A145),MONTH($A145),1),$A$5:$A$800,"&lt;="&amp;$A145)+IF(AND(YEAR($A145)=YEAR(Settings!$B$3),MONTH($A145)=MONTH(Settings!$B$3)),Settings!$B$7,0))</f>
        <v/>
      </c>
      <c r="V145" s="70">
        <f>IF($A145="","",Settings!$B$8+SUM($B$5:B145))</f>
        <v/>
      </c>
      <c r="W145" s="71">
        <f>IF($A145="","",Settings!$B$9+SUM($J$5:J145))</f>
        <v/>
      </c>
      <c r="X145" s="71">
        <f>IF($A145="","",IF(AND(N145&gt;0,F145&gt;0),ROUND(F145/N145,0),X144))</f>
        <v/>
      </c>
      <c r="Y145" s="74">
        <f>IF($A145="","",IF(AND(M145&gt;0,L145&gt;0),ROUND(L145/M145,0),IF(AND(J145&gt;0,B145&gt;0),ROUND(B145/J145,0),Y144)))</f>
        <v/>
      </c>
    </row>
    <row r="146">
      <c r="A146" s="67" t="n"/>
      <c r="B146" s="68" t="n"/>
      <c r="C146" s="69" t="n"/>
      <c r="D146" s="68" t="n"/>
      <c r="E146" s="69" t="n"/>
      <c r="F146" s="68" t="n"/>
      <c r="G146" s="69" t="n"/>
      <c r="H146" s="68" t="n"/>
      <c r="I146" s="70">
        <f>IF($A146="","",R145)</f>
        <v/>
      </c>
      <c r="J146" s="71">
        <f>IF($A146="","",IF(C146="",0,C146))</f>
        <v/>
      </c>
      <c r="K146" s="71">
        <f>IF($A146="","",IF(E146="",0,E146))</f>
        <v/>
      </c>
      <c r="L146" s="70">
        <f>IF($A146="","",B146-D146)</f>
        <v/>
      </c>
      <c r="M146" s="71">
        <f>IF($A146="","",J146-K146)</f>
        <v/>
      </c>
      <c r="N146" s="71">
        <f>IF($A146="","",IF(G146="",0,G146))</f>
        <v/>
      </c>
      <c r="O146" s="70">
        <f>IF($A146="","",D146+F146)</f>
        <v/>
      </c>
      <c r="P146" s="71">
        <f>IF($A146="","",K146+N146)</f>
        <v/>
      </c>
      <c r="Q146" s="70">
        <f>IF($A146="","",I146+L146-F146)</f>
        <v/>
      </c>
      <c r="R146" s="72">
        <f>IF($A146="","",IF(H146="",Q146,H146))</f>
        <v/>
      </c>
      <c r="S146" s="73">
        <f>IF($A146="","",R146-Q146)</f>
        <v/>
      </c>
      <c r="T146" s="70">
        <f>IF($A146="","",SUMIFS($B$5:$B$800,$A$5:$A$800,"&gt;="&amp;DATE(YEAR($A146),MONTH($A146),1),$A$5:$A$800,"&lt;="&amp;$A146)+IF(AND(YEAR($A146)=YEAR(Settings!$B$3),MONTH($A146)=MONTH(Settings!$B$3)),Settings!$B$6,0))</f>
        <v/>
      </c>
      <c r="U146" s="71">
        <f>IF($A146="","",SUMIFS($J$5:$J$800,$A$5:$A$800,"&gt;="&amp;DATE(YEAR($A146),MONTH($A146),1),$A$5:$A$800,"&lt;="&amp;$A146)+IF(AND(YEAR($A146)=YEAR(Settings!$B$3),MONTH($A146)=MONTH(Settings!$B$3)),Settings!$B$7,0))</f>
        <v/>
      </c>
      <c r="V146" s="70">
        <f>IF($A146="","",Settings!$B$8+SUM($B$5:B146))</f>
        <v/>
      </c>
      <c r="W146" s="71">
        <f>IF($A146="","",Settings!$B$9+SUM($J$5:J146))</f>
        <v/>
      </c>
      <c r="X146" s="71">
        <f>IF($A146="","",IF(AND(N146&gt;0,F146&gt;0),ROUND(F146/N146,0),X145))</f>
        <v/>
      </c>
      <c r="Y146" s="74">
        <f>IF($A146="","",IF(AND(M146&gt;0,L146&gt;0),ROUND(L146/M146,0),IF(AND(J146&gt;0,B146&gt;0),ROUND(B146/J146,0),Y145)))</f>
        <v/>
      </c>
    </row>
    <row r="147">
      <c r="A147" s="67" t="n"/>
      <c r="B147" s="68" t="n"/>
      <c r="C147" s="69" t="n"/>
      <c r="D147" s="68" t="n"/>
      <c r="E147" s="69" t="n"/>
      <c r="F147" s="68" t="n"/>
      <c r="G147" s="69" t="n"/>
      <c r="H147" s="68" t="n"/>
      <c r="I147" s="70">
        <f>IF($A147="","",R146)</f>
        <v/>
      </c>
      <c r="J147" s="71">
        <f>IF($A147="","",IF(C147="",0,C147))</f>
        <v/>
      </c>
      <c r="K147" s="71">
        <f>IF($A147="","",IF(E147="",0,E147))</f>
        <v/>
      </c>
      <c r="L147" s="70">
        <f>IF($A147="","",B147-D147)</f>
        <v/>
      </c>
      <c r="M147" s="71">
        <f>IF($A147="","",J147-K147)</f>
        <v/>
      </c>
      <c r="N147" s="71">
        <f>IF($A147="","",IF(G147="",0,G147))</f>
        <v/>
      </c>
      <c r="O147" s="70">
        <f>IF($A147="","",D147+F147)</f>
        <v/>
      </c>
      <c r="P147" s="71">
        <f>IF($A147="","",K147+N147)</f>
        <v/>
      </c>
      <c r="Q147" s="70">
        <f>IF($A147="","",I147+L147-F147)</f>
        <v/>
      </c>
      <c r="R147" s="72">
        <f>IF($A147="","",IF(H147="",Q147,H147))</f>
        <v/>
      </c>
      <c r="S147" s="73">
        <f>IF($A147="","",R147-Q147)</f>
        <v/>
      </c>
      <c r="T147" s="70">
        <f>IF($A147="","",SUMIFS($B$5:$B$800,$A$5:$A$800,"&gt;="&amp;DATE(YEAR($A147),MONTH($A147),1),$A$5:$A$800,"&lt;="&amp;$A147)+IF(AND(YEAR($A147)=YEAR(Settings!$B$3),MONTH($A147)=MONTH(Settings!$B$3)),Settings!$B$6,0))</f>
        <v/>
      </c>
      <c r="U147" s="71">
        <f>IF($A147="","",SUMIFS($J$5:$J$800,$A$5:$A$800,"&gt;="&amp;DATE(YEAR($A147),MONTH($A147),1),$A$5:$A$800,"&lt;="&amp;$A147)+IF(AND(YEAR($A147)=YEAR(Settings!$B$3),MONTH($A147)=MONTH(Settings!$B$3)),Settings!$B$7,0))</f>
        <v/>
      </c>
      <c r="V147" s="70">
        <f>IF($A147="","",Settings!$B$8+SUM($B$5:B147))</f>
        <v/>
      </c>
      <c r="W147" s="71">
        <f>IF($A147="","",Settings!$B$9+SUM($J$5:J147))</f>
        <v/>
      </c>
      <c r="X147" s="71">
        <f>IF($A147="","",IF(AND(N147&gt;0,F147&gt;0),ROUND(F147/N147,0),X146))</f>
        <v/>
      </c>
      <c r="Y147" s="74">
        <f>IF($A147="","",IF(AND(M147&gt;0,L147&gt;0),ROUND(L147/M147,0),IF(AND(J147&gt;0,B147&gt;0),ROUND(B147/J147,0),Y146)))</f>
        <v/>
      </c>
    </row>
    <row r="148">
      <c r="A148" s="67" t="n"/>
      <c r="B148" s="68" t="n"/>
      <c r="C148" s="69" t="n"/>
      <c r="D148" s="68" t="n"/>
      <c r="E148" s="69" t="n"/>
      <c r="F148" s="68" t="n"/>
      <c r="G148" s="69" t="n"/>
      <c r="H148" s="68" t="n"/>
      <c r="I148" s="70">
        <f>IF($A148="","",R147)</f>
        <v/>
      </c>
      <c r="J148" s="71">
        <f>IF($A148="","",IF(C148="",0,C148))</f>
        <v/>
      </c>
      <c r="K148" s="71">
        <f>IF($A148="","",IF(E148="",0,E148))</f>
        <v/>
      </c>
      <c r="L148" s="70">
        <f>IF($A148="","",B148-D148)</f>
        <v/>
      </c>
      <c r="M148" s="71">
        <f>IF($A148="","",J148-K148)</f>
        <v/>
      </c>
      <c r="N148" s="71">
        <f>IF($A148="","",IF(G148="",0,G148))</f>
        <v/>
      </c>
      <c r="O148" s="70">
        <f>IF($A148="","",D148+F148)</f>
        <v/>
      </c>
      <c r="P148" s="71">
        <f>IF($A148="","",K148+N148)</f>
        <v/>
      </c>
      <c r="Q148" s="70">
        <f>IF($A148="","",I148+L148-F148)</f>
        <v/>
      </c>
      <c r="R148" s="72">
        <f>IF($A148="","",IF(H148="",Q148,H148))</f>
        <v/>
      </c>
      <c r="S148" s="73">
        <f>IF($A148="","",R148-Q148)</f>
        <v/>
      </c>
      <c r="T148" s="70">
        <f>IF($A148="","",SUMIFS($B$5:$B$800,$A$5:$A$800,"&gt;="&amp;DATE(YEAR($A148),MONTH($A148),1),$A$5:$A$800,"&lt;="&amp;$A148)+IF(AND(YEAR($A148)=YEAR(Settings!$B$3),MONTH($A148)=MONTH(Settings!$B$3)),Settings!$B$6,0))</f>
        <v/>
      </c>
      <c r="U148" s="71">
        <f>IF($A148="","",SUMIFS($J$5:$J$800,$A$5:$A$800,"&gt;="&amp;DATE(YEAR($A148),MONTH($A148),1),$A$5:$A$800,"&lt;="&amp;$A148)+IF(AND(YEAR($A148)=YEAR(Settings!$B$3),MONTH($A148)=MONTH(Settings!$B$3)),Settings!$B$7,0))</f>
        <v/>
      </c>
      <c r="V148" s="70">
        <f>IF($A148="","",Settings!$B$8+SUM($B$5:B148))</f>
        <v/>
      </c>
      <c r="W148" s="71">
        <f>IF($A148="","",Settings!$B$9+SUM($J$5:J148))</f>
        <v/>
      </c>
      <c r="X148" s="71">
        <f>IF($A148="","",IF(AND(N148&gt;0,F148&gt;0),ROUND(F148/N148,0),X147))</f>
        <v/>
      </c>
      <c r="Y148" s="74">
        <f>IF($A148="","",IF(AND(M148&gt;0,L148&gt;0),ROUND(L148/M148,0),IF(AND(J148&gt;0,B148&gt;0),ROUND(B148/J148,0),Y147)))</f>
        <v/>
      </c>
    </row>
    <row r="149">
      <c r="A149" s="67" t="n"/>
      <c r="B149" s="68" t="n"/>
      <c r="C149" s="69" t="n"/>
      <c r="D149" s="68" t="n"/>
      <c r="E149" s="69" t="n"/>
      <c r="F149" s="68" t="n"/>
      <c r="G149" s="69" t="n"/>
      <c r="H149" s="68" t="n"/>
      <c r="I149" s="70">
        <f>IF($A149="","",R148)</f>
        <v/>
      </c>
      <c r="J149" s="71">
        <f>IF($A149="","",IF(C149="",0,C149))</f>
        <v/>
      </c>
      <c r="K149" s="71">
        <f>IF($A149="","",IF(E149="",0,E149))</f>
        <v/>
      </c>
      <c r="L149" s="70">
        <f>IF($A149="","",B149-D149)</f>
        <v/>
      </c>
      <c r="M149" s="71">
        <f>IF($A149="","",J149-K149)</f>
        <v/>
      </c>
      <c r="N149" s="71">
        <f>IF($A149="","",IF(G149="",0,G149))</f>
        <v/>
      </c>
      <c r="O149" s="70">
        <f>IF($A149="","",D149+F149)</f>
        <v/>
      </c>
      <c r="P149" s="71">
        <f>IF($A149="","",K149+N149)</f>
        <v/>
      </c>
      <c r="Q149" s="70">
        <f>IF($A149="","",I149+L149-F149)</f>
        <v/>
      </c>
      <c r="R149" s="72">
        <f>IF($A149="","",IF(H149="",Q149,H149))</f>
        <v/>
      </c>
      <c r="S149" s="73">
        <f>IF($A149="","",R149-Q149)</f>
        <v/>
      </c>
      <c r="T149" s="70">
        <f>IF($A149="","",SUMIFS($B$5:$B$800,$A$5:$A$800,"&gt;="&amp;DATE(YEAR($A149),MONTH($A149),1),$A$5:$A$800,"&lt;="&amp;$A149)+IF(AND(YEAR($A149)=YEAR(Settings!$B$3),MONTH($A149)=MONTH(Settings!$B$3)),Settings!$B$6,0))</f>
        <v/>
      </c>
      <c r="U149" s="71">
        <f>IF($A149="","",SUMIFS($J$5:$J$800,$A$5:$A$800,"&gt;="&amp;DATE(YEAR($A149),MONTH($A149),1),$A$5:$A$800,"&lt;="&amp;$A149)+IF(AND(YEAR($A149)=YEAR(Settings!$B$3),MONTH($A149)=MONTH(Settings!$B$3)),Settings!$B$7,0))</f>
        <v/>
      </c>
      <c r="V149" s="70">
        <f>IF($A149="","",Settings!$B$8+SUM($B$5:B149))</f>
        <v/>
      </c>
      <c r="W149" s="71">
        <f>IF($A149="","",Settings!$B$9+SUM($J$5:J149))</f>
        <v/>
      </c>
      <c r="X149" s="71">
        <f>IF($A149="","",IF(AND(N149&gt;0,F149&gt;0),ROUND(F149/N149,0),X148))</f>
        <v/>
      </c>
      <c r="Y149" s="74">
        <f>IF($A149="","",IF(AND(M149&gt;0,L149&gt;0),ROUND(L149/M149,0),IF(AND(J149&gt;0,B149&gt;0),ROUND(B149/J149,0),Y148)))</f>
        <v/>
      </c>
    </row>
    <row r="150">
      <c r="A150" s="67" t="n"/>
      <c r="B150" s="68" t="n"/>
      <c r="C150" s="69" t="n"/>
      <c r="D150" s="68" t="n"/>
      <c r="E150" s="69" t="n"/>
      <c r="F150" s="68" t="n"/>
      <c r="G150" s="69" t="n"/>
      <c r="H150" s="68" t="n"/>
      <c r="I150" s="70">
        <f>IF($A150="","",R149)</f>
        <v/>
      </c>
      <c r="J150" s="71">
        <f>IF($A150="","",IF(C150="",0,C150))</f>
        <v/>
      </c>
      <c r="K150" s="71">
        <f>IF($A150="","",IF(E150="",0,E150))</f>
        <v/>
      </c>
      <c r="L150" s="70">
        <f>IF($A150="","",B150-D150)</f>
        <v/>
      </c>
      <c r="M150" s="71">
        <f>IF($A150="","",J150-K150)</f>
        <v/>
      </c>
      <c r="N150" s="71">
        <f>IF($A150="","",IF(G150="",0,G150))</f>
        <v/>
      </c>
      <c r="O150" s="70">
        <f>IF($A150="","",D150+F150)</f>
        <v/>
      </c>
      <c r="P150" s="71">
        <f>IF($A150="","",K150+N150)</f>
        <v/>
      </c>
      <c r="Q150" s="70">
        <f>IF($A150="","",I150+L150-F150)</f>
        <v/>
      </c>
      <c r="R150" s="72">
        <f>IF($A150="","",IF(H150="",Q150,H150))</f>
        <v/>
      </c>
      <c r="S150" s="73">
        <f>IF($A150="","",R150-Q150)</f>
        <v/>
      </c>
      <c r="T150" s="70">
        <f>IF($A150="","",SUMIFS($B$5:$B$800,$A$5:$A$800,"&gt;="&amp;DATE(YEAR($A150),MONTH($A150),1),$A$5:$A$800,"&lt;="&amp;$A150)+IF(AND(YEAR($A150)=YEAR(Settings!$B$3),MONTH($A150)=MONTH(Settings!$B$3)),Settings!$B$6,0))</f>
        <v/>
      </c>
      <c r="U150" s="71">
        <f>IF($A150="","",SUMIFS($J$5:$J$800,$A$5:$A$800,"&gt;="&amp;DATE(YEAR($A150),MONTH($A150),1),$A$5:$A$800,"&lt;="&amp;$A150)+IF(AND(YEAR($A150)=YEAR(Settings!$B$3),MONTH($A150)=MONTH(Settings!$B$3)),Settings!$B$7,0))</f>
        <v/>
      </c>
      <c r="V150" s="70">
        <f>IF($A150="","",Settings!$B$8+SUM($B$5:B150))</f>
        <v/>
      </c>
      <c r="W150" s="71">
        <f>IF($A150="","",Settings!$B$9+SUM($J$5:J150))</f>
        <v/>
      </c>
      <c r="X150" s="71">
        <f>IF($A150="","",IF(AND(N150&gt;0,F150&gt;0),ROUND(F150/N150,0),X149))</f>
        <v/>
      </c>
      <c r="Y150" s="74">
        <f>IF($A150="","",IF(AND(M150&gt;0,L150&gt;0),ROUND(L150/M150,0),IF(AND(J150&gt;0,B150&gt;0),ROUND(B150/J150,0),Y149)))</f>
        <v/>
      </c>
    </row>
    <row r="151">
      <c r="A151" s="67" t="n"/>
      <c r="B151" s="68" t="n"/>
      <c r="C151" s="69" t="n"/>
      <c r="D151" s="68" t="n"/>
      <c r="E151" s="69" t="n"/>
      <c r="F151" s="68" t="n"/>
      <c r="G151" s="69" t="n"/>
      <c r="H151" s="68" t="n"/>
      <c r="I151" s="70">
        <f>IF($A151="","",R150)</f>
        <v/>
      </c>
      <c r="J151" s="71">
        <f>IF($A151="","",IF(C151="",0,C151))</f>
        <v/>
      </c>
      <c r="K151" s="71">
        <f>IF($A151="","",IF(E151="",0,E151))</f>
        <v/>
      </c>
      <c r="L151" s="70">
        <f>IF($A151="","",B151-D151)</f>
        <v/>
      </c>
      <c r="M151" s="71">
        <f>IF($A151="","",J151-K151)</f>
        <v/>
      </c>
      <c r="N151" s="71">
        <f>IF($A151="","",IF(G151="",0,G151))</f>
        <v/>
      </c>
      <c r="O151" s="70">
        <f>IF($A151="","",D151+F151)</f>
        <v/>
      </c>
      <c r="P151" s="71">
        <f>IF($A151="","",K151+N151)</f>
        <v/>
      </c>
      <c r="Q151" s="70">
        <f>IF($A151="","",I151+L151-F151)</f>
        <v/>
      </c>
      <c r="R151" s="72">
        <f>IF($A151="","",IF(H151="",Q151,H151))</f>
        <v/>
      </c>
      <c r="S151" s="73">
        <f>IF($A151="","",R151-Q151)</f>
        <v/>
      </c>
      <c r="T151" s="70">
        <f>IF($A151="","",SUMIFS($B$5:$B$800,$A$5:$A$800,"&gt;="&amp;DATE(YEAR($A151),MONTH($A151),1),$A$5:$A$800,"&lt;="&amp;$A151)+IF(AND(YEAR($A151)=YEAR(Settings!$B$3),MONTH($A151)=MONTH(Settings!$B$3)),Settings!$B$6,0))</f>
        <v/>
      </c>
      <c r="U151" s="71">
        <f>IF($A151="","",SUMIFS($J$5:$J$800,$A$5:$A$800,"&gt;="&amp;DATE(YEAR($A151),MONTH($A151),1),$A$5:$A$800,"&lt;="&amp;$A151)+IF(AND(YEAR($A151)=YEAR(Settings!$B$3),MONTH($A151)=MONTH(Settings!$B$3)),Settings!$B$7,0))</f>
        <v/>
      </c>
      <c r="V151" s="70">
        <f>IF($A151="","",Settings!$B$8+SUM($B$5:B151))</f>
        <v/>
      </c>
      <c r="W151" s="71">
        <f>IF($A151="","",Settings!$B$9+SUM($J$5:J151))</f>
        <v/>
      </c>
      <c r="X151" s="71">
        <f>IF($A151="","",IF(AND(N151&gt;0,F151&gt;0),ROUND(F151/N151,0),X150))</f>
        <v/>
      </c>
      <c r="Y151" s="74">
        <f>IF($A151="","",IF(AND(M151&gt;0,L151&gt;0),ROUND(L151/M151,0),IF(AND(J151&gt;0,B151&gt;0),ROUND(B151/J151,0),Y150)))</f>
        <v/>
      </c>
    </row>
    <row r="152">
      <c r="A152" s="67" t="n"/>
      <c r="B152" s="68" t="n"/>
      <c r="C152" s="69" t="n"/>
      <c r="D152" s="68" t="n"/>
      <c r="E152" s="69" t="n"/>
      <c r="F152" s="68" t="n"/>
      <c r="G152" s="69" t="n"/>
      <c r="H152" s="68" t="n"/>
      <c r="I152" s="70">
        <f>IF($A152="","",R151)</f>
        <v/>
      </c>
      <c r="J152" s="71">
        <f>IF($A152="","",IF(C152="",0,C152))</f>
        <v/>
      </c>
      <c r="K152" s="71">
        <f>IF($A152="","",IF(E152="",0,E152))</f>
        <v/>
      </c>
      <c r="L152" s="70">
        <f>IF($A152="","",B152-D152)</f>
        <v/>
      </c>
      <c r="M152" s="71">
        <f>IF($A152="","",J152-K152)</f>
        <v/>
      </c>
      <c r="N152" s="71">
        <f>IF($A152="","",IF(G152="",0,G152))</f>
        <v/>
      </c>
      <c r="O152" s="70">
        <f>IF($A152="","",D152+F152)</f>
        <v/>
      </c>
      <c r="P152" s="71">
        <f>IF($A152="","",K152+N152)</f>
        <v/>
      </c>
      <c r="Q152" s="70">
        <f>IF($A152="","",I152+L152-F152)</f>
        <v/>
      </c>
      <c r="R152" s="72">
        <f>IF($A152="","",IF(H152="",Q152,H152))</f>
        <v/>
      </c>
      <c r="S152" s="73">
        <f>IF($A152="","",R152-Q152)</f>
        <v/>
      </c>
      <c r="T152" s="70">
        <f>IF($A152="","",SUMIFS($B$5:$B$800,$A$5:$A$800,"&gt;="&amp;DATE(YEAR($A152),MONTH($A152),1),$A$5:$A$800,"&lt;="&amp;$A152)+IF(AND(YEAR($A152)=YEAR(Settings!$B$3),MONTH($A152)=MONTH(Settings!$B$3)),Settings!$B$6,0))</f>
        <v/>
      </c>
      <c r="U152" s="71">
        <f>IF($A152="","",SUMIFS($J$5:$J$800,$A$5:$A$800,"&gt;="&amp;DATE(YEAR($A152),MONTH($A152),1),$A$5:$A$800,"&lt;="&amp;$A152)+IF(AND(YEAR($A152)=YEAR(Settings!$B$3),MONTH($A152)=MONTH(Settings!$B$3)),Settings!$B$7,0))</f>
        <v/>
      </c>
      <c r="V152" s="70">
        <f>IF($A152="","",Settings!$B$8+SUM($B$5:B152))</f>
        <v/>
      </c>
      <c r="W152" s="71">
        <f>IF($A152="","",Settings!$B$9+SUM($J$5:J152))</f>
        <v/>
      </c>
      <c r="X152" s="71">
        <f>IF($A152="","",IF(AND(N152&gt;0,F152&gt;0),ROUND(F152/N152,0),X151))</f>
        <v/>
      </c>
      <c r="Y152" s="74">
        <f>IF($A152="","",IF(AND(M152&gt;0,L152&gt;0),ROUND(L152/M152,0),IF(AND(J152&gt;0,B152&gt;0),ROUND(B152/J152,0),Y151)))</f>
        <v/>
      </c>
    </row>
    <row r="153">
      <c r="A153" s="67" t="n"/>
      <c r="B153" s="68" t="n"/>
      <c r="C153" s="69" t="n"/>
      <c r="D153" s="68" t="n"/>
      <c r="E153" s="69" t="n"/>
      <c r="F153" s="68" t="n"/>
      <c r="G153" s="69" t="n"/>
      <c r="H153" s="68" t="n"/>
      <c r="I153" s="70">
        <f>IF($A153="","",R152)</f>
        <v/>
      </c>
      <c r="J153" s="71">
        <f>IF($A153="","",IF(C153="",0,C153))</f>
        <v/>
      </c>
      <c r="K153" s="71">
        <f>IF($A153="","",IF(E153="",0,E153))</f>
        <v/>
      </c>
      <c r="L153" s="70">
        <f>IF($A153="","",B153-D153)</f>
        <v/>
      </c>
      <c r="M153" s="71">
        <f>IF($A153="","",J153-K153)</f>
        <v/>
      </c>
      <c r="N153" s="71">
        <f>IF($A153="","",IF(G153="",0,G153))</f>
        <v/>
      </c>
      <c r="O153" s="70">
        <f>IF($A153="","",D153+F153)</f>
        <v/>
      </c>
      <c r="P153" s="71">
        <f>IF($A153="","",K153+N153)</f>
        <v/>
      </c>
      <c r="Q153" s="70">
        <f>IF($A153="","",I153+L153-F153)</f>
        <v/>
      </c>
      <c r="R153" s="72">
        <f>IF($A153="","",IF(H153="",Q153,H153))</f>
        <v/>
      </c>
      <c r="S153" s="73">
        <f>IF($A153="","",R153-Q153)</f>
        <v/>
      </c>
      <c r="T153" s="70">
        <f>IF($A153="","",SUMIFS($B$5:$B$800,$A$5:$A$800,"&gt;="&amp;DATE(YEAR($A153),MONTH($A153),1),$A$5:$A$800,"&lt;="&amp;$A153)+IF(AND(YEAR($A153)=YEAR(Settings!$B$3),MONTH($A153)=MONTH(Settings!$B$3)),Settings!$B$6,0))</f>
        <v/>
      </c>
      <c r="U153" s="71">
        <f>IF($A153="","",SUMIFS($J$5:$J$800,$A$5:$A$800,"&gt;="&amp;DATE(YEAR($A153),MONTH($A153),1),$A$5:$A$800,"&lt;="&amp;$A153)+IF(AND(YEAR($A153)=YEAR(Settings!$B$3),MONTH($A153)=MONTH(Settings!$B$3)),Settings!$B$7,0))</f>
        <v/>
      </c>
      <c r="V153" s="70">
        <f>IF($A153="","",Settings!$B$8+SUM($B$5:B153))</f>
        <v/>
      </c>
      <c r="W153" s="71">
        <f>IF($A153="","",Settings!$B$9+SUM($J$5:J153))</f>
        <v/>
      </c>
      <c r="X153" s="71">
        <f>IF($A153="","",IF(AND(N153&gt;0,F153&gt;0),ROUND(F153/N153,0),X152))</f>
        <v/>
      </c>
      <c r="Y153" s="74">
        <f>IF($A153="","",IF(AND(M153&gt;0,L153&gt;0),ROUND(L153/M153,0),IF(AND(J153&gt;0,B153&gt;0),ROUND(B153/J153,0),Y152)))</f>
        <v/>
      </c>
    </row>
    <row r="154">
      <c r="A154" s="67" t="n"/>
      <c r="B154" s="68" t="n"/>
      <c r="C154" s="69" t="n"/>
      <c r="D154" s="68" t="n"/>
      <c r="E154" s="69" t="n"/>
      <c r="F154" s="68" t="n"/>
      <c r="G154" s="69" t="n"/>
      <c r="H154" s="68" t="n"/>
      <c r="I154" s="70">
        <f>IF($A154="","",R153)</f>
        <v/>
      </c>
      <c r="J154" s="71">
        <f>IF($A154="","",IF(C154="",0,C154))</f>
        <v/>
      </c>
      <c r="K154" s="71">
        <f>IF($A154="","",IF(E154="",0,E154))</f>
        <v/>
      </c>
      <c r="L154" s="70">
        <f>IF($A154="","",B154-D154)</f>
        <v/>
      </c>
      <c r="M154" s="71">
        <f>IF($A154="","",J154-K154)</f>
        <v/>
      </c>
      <c r="N154" s="71">
        <f>IF($A154="","",IF(G154="",0,G154))</f>
        <v/>
      </c>
      <c r="O154" s="70">
        <f>IF($A154="","",D154+F154)</f>
        <v/>
      </c>
      <c r="P154" s="71">
        <f>IF($A154="","",K154+N154)</f>
        <v/>
      </c>
      <c r="Q154" s="70">
        <f>IF($A154="","",I154+L154-F154)</f>
        <v/>
      </c>
      <c r="R154" s="72">
        <f>IF($A154="","",IF(H154="",Q154,H154))</f>
        <v/>
      </c>
      <c r="S154" s="73">
        <f>IF($A154="","",R154-Q154)</f>
        <v/>
      </c>
      <c r="T154" s="70">
        <f>IF($A154="","",SUMIFS($B$5:$B$800,$A$5:$A$800,"&gt;="&amp;DATE(YEAR($A154),MONTH($A154),1),$A$5:$A$800,"&lt;="&amp;$A154)+IF(AND(YEAR($A154)=YEAR(Settings!$B$3),MONTH($A154)=MONTH(Settings!$B$3)),Settings!$B$6,0))</f>
        <v/>
      </c>
      <c r="U154" s="71">
        <f>IF($A154="","",SUMIFS($J$5:$J$800,$A$5:$A$800,"&gt;="&amp;DATE(YEAR($A154),MONTH($A154),1),$A$5:$A$800,"&lt;="&amp;$A154)+IF(AND(YEAR($A154)=YEAR(Settings!$B$3),MONTH($A154)=MONTH(Settings!$B$3)),Settings!$B$7,0))</f>
        <v/>
      </c>
      <c r="V154" s="70">
        <f>IF($A154="","",Settings!$B$8+SUM($B$5:B154))</f>
        <v/>
      </c>
      <c r="W154" s="71">
        <f>IF($A154="","",Settings!$B$9+SUM($J$5:J154))</f>
        <v/>
      </c>
      <c r="X154" s="71">
        <f>IF($A154="","",IF(AND(N154&gt;0,F154&gt;0),ROUND(F154/N154,0),X153))</f>
        <v/>
      </c>
      <c r="Y154" s="74">
        <f>IF($A154="","",IF(AND(M154&gt;0,L154&gt;0),ROUND(L154/M154,0),IF(AND(J154&gt;0,B154&gt;0),ROUND(B154/J154,0),Y153)))</f>
        <v/>
      </c>
    </row>
    <row r="155">
      <c r="A155" s="67" t="n"/>
      <c r="B155" s="68" t="n"/>
      <c r="C155" s="69" t="n"/>
      <c r="D155" s="68" t="n"/>
      <c r="E155" s="69" t="n"/>
      <c r="F155" s="68" t="n"/>
      <c r="G155" s="69" t="n"/>
      <c r="H155" s="68" t="n"/>
      <c r="I155" s="70">
        <f>IF($A155="","",R154)</f>
        <v/>
      </c>
      <c r="J155" s="71">
        <f>IF($A155="","",IF(C155="",0,C155))</f>
        <v/>
      </c>
      <c r="K155" s="71">
        <f>IF($A155="","",IF(E155="",0,E155))</f>
        <v/>
      </c>
      <c r="L155" s="70">
        <f>IF($A155="","",B155-D155)</f>
        <v/>
      </c>
      <c r="M155" s="71">
        <f>IF($A155="","",J155-K155)</f>
        <v/>
      </c>
      <c r="N155" s="71">
        <f>IF($A155="","",IF(G155="",0,G155))</f>
        <v/>
      </c>
      <c r="O155" s="70">
        <f>IF($A155="","",D155+F155)</f>
        <v/>
      </c>
      <c r="P155" s="71">
        <f>IF($A155="","",K155+N155)</f>
        <v/>
      </c>
      <c r="Q155" s="70">
        <f>IF($A155="","",I155+L155-F155)</f>
        <v/>
      </c>
      <c r="R155" s="72">
        <f>IF($A155="","",IF(H155="",Q155,H155))</f>
        <v/>
      </c>
      <c r="S155" s="73">
        <f>IF($A155="","",R155-Q155)</f>
        <v/>
      </c>
      <c r="T155" s="70">
        <f>IF($A155="","",SUMIFS($B$5:$B$800,$A$5:$A$800,"&gt;="&amp;DATE(YEAR($A155),MONTH($A155),1),$A$5:$A$800,"&lt;="&amp;$A155)+IF(AND(YEAR($A155)=YEAR(Settings!$B$3),MONTH($A155)=MONTH(Settings!$B$3)),Settings!$B$6,0))</f>
        <v/>
      </c>
      <c r="U155" s="71">
        <f>IF($A155="","",SUMIFS($J$5:$J$800,$A$5:$A$800,"&gt;="&amp;DATE(YEAR($A155),MONTH($A155),1),$A$5:$A$800,"&lt;="&amp;$A155)+IF(AND(YEAR($A155)=YEAR(Settings!$B$3),MONTH($A155)=MONTH(Settings!$B$3)),Settings!$B$7,0))</f>
        <v/>
      </c>
      <c r="V155" s="70">
        <f>IF($A155="","",Settings!$B$8+SUM($B$5:B155))</f>
        <v/>
      </c>
      <c r="W155" s="71">
        <f>IF($A155="","",Settings!$B$9+SUM($J$5:J155))</f>
        <v/>
      </c>
      <c r="X155" s="71">
        <f>IF($A155="","",IF(AND(N155&gt;0,F155&gt;0),ROUND(F155/N155,0),X154))</f>
        <v/>
      </c>
      <c r="Y155" s="74">
        <f>IF($A155="","",IF(AND(M155&gt;0,L155&gt;0),ROUND(L155/M155,0),IF(AND(J155&gt;0,B155&gt;0),ROUND(B155/J155,0),Y154)))</f>
        <v/>
      </c>
    </row>
    <row r="156">
      <c r="A156" s="67" t="n"/>
      <c r="B156" s="68" t="n"/>
      <c r="C156" s="69" t="n"/>
      <c r="D156" s="68" t="n"/>
      <c r="E156" s="69" t="n"/>
      <c r="F156" s="68" t="n"/>
      <c r="G156" s="69" t="n"/>
      <c r="H156" s="68" t="n"/>
      <c r="I156" s="70">
        <f>IF($A156="","",R155)</f>
        <v/>
      </c>
      <c r="J156" s="71">
        <f>IF($A156="","",IF(C156="",0,C156))</f>
        <v/>
      </c>
      <c r="K156" s="71">
        <f>IF($A156="","",IF(E156="",0,E156))</f>
        <v/>
      </c>
      <c r="L156" s="70">
        <f>IF($A156="","",B156-D156)</f>
        <v/>
      </c>
      <c r="M156" s="71">
        <f>IF($A156="","",J156-K156)</f>
        <v/>
      </c>
      <c r="N156" s="71">
        <f>IF($A156="","",IF(G156="",0,G156))</f>
        <v/>
      </c>
      <c r="O156" s="70">
        <f>IF($A156="","",D156+F156)</f>
        <v/>
      </c>
      <c r="P156" s="71">
        <f>IF($A156="","",K156+N156)</f>
        <v/>
      </c>
      <c r="Q156" s="70">
        <f>IF($A156="","",I156+L156-F156)</f>
        <v/>
      </c>
      <c r="R156" s="72">
        <f>IF($A156="","",IF(H156="",Q156,H156))</f>
        <v/>
      </c>
      <c r="S156" s="73">
        <f>IF($A156="","",R156-Q156)</f>
        <v/>
      </c>
      <c r="T156" s="70">
        <f>IF($A156="","",SUMIFS($B$5:$B$800,$A$5:$A$800,"&gt;="&amp;DATE(YEAR($A156),MONTH($A156),1),$A$5:$A$800,"&lt;="&amp;$A156)+IF(AND(YEAR($A156)=YEAR(Settings!$B$3),MONTH($A156)=MONTH(Settings!$B$3)),Settings!$B$6,0))</f>
        <v/>
      </c>
      <c r="U156" s="71">
        <f>IF($A156="","",SUMIFS($J$5:$J$800,$A$5:$A$800,"&gt;="&amp;DATE(YEAR($A156),MONTH($A156),1),$A$5:$A$800,"&lt;="&amp;$A156)+IF(AND(YEAR($A156)=YEAR(Settings!$B$3),MONTH($A156)=MONTH(Settings!$B$3)),Settings!$B$7,0))</f>
        <v/>
      </c>
      <c r="V156" s="70">
        <f>IF($A156="","",Settings!$B$8+SUM($B$5:B156))</f>
        <v/>
      </c>
      <c r="W156" s="71">
        <f>IF($A156="","",Settings!$B$9+SUM($J$5:J156))</f>
        <v/>
      </c>
      <c r="X156" s="71">
        <f>IF($A156="","",IF(AND(N156&gt;0,F156&gt;0),ROUND(F156/N156,0),X155))</f>
        <v/>
      </c>
      <c r="Y156" s="74">
        <f>IF($A156="","",IF(AND(M156&gt;0,L156&gt;0),ROUND(L156/M156,0),IF(AND(J156&gt;0,B156&gt;0),ROUND(B156/J156,0),Y155)))</f>
        <v/>
      </c>
    </row>
    <row r="157">
      <c r="A157" s="67" t="n"/>
      <c r="B157" s="68" t="n"/>
      <c r="C157" s="69" t="n"/>
      <c r="D157" s="68" t="n"/>
      <c r="E157" s="69" t="n"/>
      <c r="F157" s="68" t="n"/>
      <c r="G157" s="69" t="n"/>
      <c r="H157" s="68" t="n"/>
      <c r="I157" s="70">
        <f>IF($A157="","",R156)</f>
        <v/>
      </c>
      <c r="J157" s="71">
        <f>IF($A157="","",IF(C157="",0,C157))</f>
        <v/>
      </c>
      <c r="K157" s="71">
        <f>IF($A157="","",IF(E157="",0,E157))</f>
        <v/>
      </c>
      <c r="L157" s="70">
        <f>IF($A157="","",B157-D157)</f>
        <v/>
      </c>
      <c r="M157" s="71">
        <f>IF($A157="","",J157-K157)</f>
        <v/>
      </c>
      <c r="N157" s="71">
        <f>IF($A157="","",IF(G157="",0,G157))</f>
        <v/>
      </c>
      <c r="O157" s="70">
        <f>IF($A157="","",D157+F157)</f>
        <v/>
      </c>
      <c r="P157" s="71">
        <f>IF($A157="","",K157+N157)</f>
        <v/>
      </c>
      <c r="Q157" s="70">
        <f>IF($A157="","",I157+L157-F157)</f>
        <v/>
      </c>
      <c r="R157" s="72">
        <f>IF($A157="","",IF(H157="",Q157,H157))</f>
        <v/>
      </c>
      <c r="S157" s="73">
        <f>IF($A157="","",R157-Q157)</f>
        <v/>
      </c>
      <c r="T157" s="70">
        <f>IF($A157="","",SUMIFS($B$5:$B$800,$A$5:$A$800,"&gt;="&amp;DATE(YEAR($A157),MONTH($A157),1),$A$5:$A$800,"&lt;="&amp;$A157)+IF(AND(YEAR($A157)=YEAR(Settings!$B$3),MONTH($A157)=MONTH(Settings!$B$3)),Settings!$B$6,0))</f>
        <v/>
      </c>
      <c r="U157" s="71">
        <f>IF($A157="","",SUMIFS($J$5:$J$800,$A$5:$A$800,"&gt;="&amp;DATE(YEAR($A157),MONTH($A157),1),$A$5:$A$800,"&lt;="&amp;$A157)+IF(AND(YEAR($A157)=YEAR(Settings!$B$3),MONTH($A157)=MONTH(Settings!$B$3)),Settings!$B$7,0))</f>
        <v/>
      </c>
      <c r="V157" s="70">
        <f>IF($A157="","",Settings!$B$8+SUM($B$5:B157))</f>
        <v/>
      </c>
      <c r="W157" s="71">
        <f>IF($A157="","",Settings!$B$9+SUM($J$5:J157))</f>
        <v/>
      </c>
      <c r="X157" s="71">
        <f>IF($A157="","",IF(AND(N157&gt;0,F157&gt;0),ROUND(F157/N157,0),X156))</f>
        <v/>
      </c>
      <c r="Y157" s="74">
        <f>IF($A157="","",IF(AND(M157&gt;0,L157&gt;0),ROUND(L157/M157,0),IF(AND(J157&gt;0,B157&gt;0),ROUND(B157/J157,0),Y156)))</f>
        <v/>
      </c>
    </row>
    <row r="158">
      <c r="A158" s="67" t="n"/>
      <c r="B158" s="68" t="n"/>
      <c r="C158" s="69" t="n"/>
      <c r="D158" s="68" t="n"/>
      <c r="E158" s="69" t="n"/>
      <c r="F158" s="68" t="n"/>
      <c r="G158" s="69" t="n"/>
      <c r="H158" s="68" t="n"/>
      <c r="I158" s="70">
        <f>IF($A158="","",R157)</f>
        <v/>
      </c>
      <c r="J158" s="71">
        <f>IF($A158="","",IF(C158="",0,C158))</f>
        <v/>
      </c>
      <c r="K158" s="71">
        <f>IF($A158="","",IF(E158="",0,E158))</f>
        <v/>
      </c>
      <c r="L158" s="70">
        <f>IF($A158="","",B158-D158)</f>
        <v/>
      </c>
      <c r="M158" s="71">
        <f>IF($A158="","",J158-K158)</f>
        <v/>
      </c>
      <c r="N158" s="71">
        <f>IF($A158="","",IF(G158="",0,G158))</f>
        <v/>
      </c>
      <c r="O158" s="70">
        <f>IF($A158="","",D158+F158)</f>
        <v/>
      </c>
      <c r="P158" s="71">
        <f>IF($A158="","",K158+N158)</f>
        <v/>
      </c>
      <c r="Q158" s="70">
        <f>IF($A158="","",I158+L158-F158)</f>
        <v/>
      </c>
      <c r="R158" s="72">
        <f>IF($A158="","",IF(H158="",Q158,H158))</f>
        <v/>
      </c>
      <c r="S158" s="73">
        <f>IF($A158="","",R158-Q158)</f>
        <v/>
      </c>
      <c r="T158" s="70">
        <f>IF($A158="","",SUMIFS($B$5:$B$800,$A$5:$A$800,"&gt;="&amp;DATE(YEAR($A158),MONTH($A158),1),$A$5:$A$800,"&lt;="&amp;$A158)+IF(AND(YEAR($A158)=YEAR(Settings!$B$3),MONTH($A158)=MONTH(Settings!$B$3)),Settings!$B$6,0))</f>
        <v/>
      </c>
      <c r="U158" s="71">
        <f>IF($A158="","",SUMIFS($J$5:$J$800,$A$5:$A$800,"&gt;="&amp;DATE(YEAR($A158),MONTH($A158),1),$A$5:$A$800,"&lt;="&amp;$A158)+IF(AND(YEAR($A158)=YEAR(Settings!$B$3),MONTH($A158)=MONTH(Settings!$B$3)),Settings!$B$7,0))</f>
        <v/>
      </c>
      <c r="V158" s="70">
        <f>IF($A158="","",Settings!$B$8+SUM($B$5:B158))</f>
        <v/>
      </c>
      <c r="W158" s="71">
        <f>IF($A158="","",Settings!$B$9+SUM($J$5:J158))</f>
        <v/>
      </c>
      <c r="X158" s="71">
        <f>IF($A158="","",IF(AND(N158&gt;0,F158&gt;0),ROUND(F158/N158,0),X157))</f>
        <v/>
      </c>
      <c r="Y158" s="74">
        <f>IF($A158="","",IF(AND(M158&gt;0,L158&gt;0),ROUND(L158/M158,0),IF(AND(J158&gt;0,B158&gt;0),ROUND(B158/J158,0),Y157)))</f>
        <v/>
      </c>
    </row>
    <row r="159">
      <c r="A159" s="67" t="n"/>
      <c r="B159" s="68" t="n"/>
      <c r="C159" s="69" t="n"/>
      <c r="D159" s="68" t="n"/>
      <c r="E159" s="69" t="n"/>
      <c r="F159" s="68" t="n"/>
      <c r="G159" s="69" t="n"/>
      <c r="H159" s="68" t="n"/>
      <c r="I159" s="70">
        <f>IF($A159="","",R158)</f>
        <v/>
      </c>
      <c r="J159" s="71">
        <f>IF($A159="","",IF(C159="",0,C159))</f>
        <v/>
      </c>
      <c r="K159" s="71">
        <f>IF($A159="","",IF(E159="",0,E159))</f>
        <v/>
      </c>
      <c r="L159" s="70">
        <f>IF($A159="","",B159-D159)</f>
        <v/>
      </c>
      <c r="M159" s="71">
        <f>IF($A159="","",J159-K159)</f>
        <v/>
      </c>
      <c r="N159" s="71">
        <f>IF($A159="","",IF(G159="",0,G159))</f>
        <v/>
      </c>
      <c r="O159" s="70">
        <f>IF($A159="","",D159+F159)</f>
        <v/>
      </c>
      <c r="P159" s="71">
        <f>IF($A159="","",K159+N159)</f>
        <v/>
      </c>
      <c r="Q159" s="70">
        <f>IF($A159="","",I159+L159-F159)</f>
        <v/>
      </c>
      <c r="R159" s="72">
        <f>IF($A159="","",IF(H159="",Q159,H159))</f>
        <v/>
      </c>
      <c r="S159" s="73">
        <f>IF($A159="","",R159-Q159)</f>
        <v/>
      </c>
      <c r="T159" s="70">
        <f>IF($A159="","",SUMIFS($B$5:$B$800,$A$5:$A$800,"&gt;="&amp;DATE(YEAR($A159),MONTH($A159),1),$A$5:$A$800,"&lt;="&amp;$A159)+IF(AND(YEAR($A159)=YEAR(Settings!$B$3),MONTH($A159)=MONTH(Settings!$B$3)),Settings!$B$6,0))</f>
        <v/>
      </c>
      <c r="U159" s="71">
        <f>IF($A159="","",SUMIFS($J$5:$J$800,$A$5:$A$800,"&gt;="&amp;DATE(YEAR($A159),MONTH($A159),1),$A$5:$A$800,"&lt;="&amp;$A159)+IF(AND(YEAR($A159)=YEAR(Settings!$B$3),MONTH($A159)=MONTH(Settings!$B$3)),Settings!$B$7,0))</f>
        <v/>
      </c>
      <c r="V159" s="70">
        <f>IF($A159="","",Settings!$B$8+SUM($B$5:B159))</f>
        <v/>
      </c>
      <c r="W159" s="71">
        <f>IF($A159="","",Settings!$B$9+SUM($J$5:J159))</f>
        <v/>
      </c>
      <c r="X159" s="71">
        <f>IF($A159="","",IF(AND(N159&gt;0,F159&gt;0),ROUND(F159/N159,0),X158))</f>
        <v/>
      </c>
      <c r="Y159" s="74">
        <f>IF($A159="","",IF(AND(M159&gt;0,L159&gt;0),ROUND(L159/M159,0),IF(AND(J159&gt;0,B159&gt;0),ROUND(B159/J159,0),Y158)))</f>
        <v/>
      </c>
    </row>
    <row r="160">
      <c r="A160" s="67" t="n"/>
      <c r="B160" s="68" t="n"/>
      <c r="C160" s="69" t="n"/>
      <c r="D160" s="68" t="n"/>
      <c r="E160" s="69" t="n"/>
      <c r="F160" s="68" t="n"/>
      <c r="G160" s="69" t="n"/>
      <c r="H160" s="68" t="n"/>
      <c r="I160" s="70">
        <f>IF($A160="","",R159)</f>
        <v/>
      </c>
      <c r="J160" s="71">
        <f>IF($A160="","",IF(C160="",0,C160))</f>
        <v/>
      </c>
      <c r="K160" s="71">
        <f>IF($A160="","",IF(E160="",0,E160))</f>
        <v/>
      </c>
      <c r="L160" s="70">
        <f>IF($A160="","",B160-D160)</f>
        <v/>
      </c>
      <c r="M160" s="71">
        <f>IF($A160="","",J160-K160)</f>
        <v/>
      </c>
      <c r="N160" s="71">
        <f>IF($A160="","",IF(G160="",0,G160))</f>
        <v/>
      </c>
      <c r="O160" s="70">
        <f>IF($A160="","",D160+F160)</f>
        <v/>
      </c>
      <c r="P160" s="71">
        <f>IF($A160="","",K160+N160)</f>
        <v/>
      </c>
      <c r="Q160" s="70">
        <f>IF($A160="","",I160+L160-F160)</f>
        <v/>
      </c>
      <c r="R160" s="72">
        <f>IF($A160="","",IF(H160="",Q160,H160))</f>
        <v/>
      </c>
      <c r="S160" s="73">
        <f>IF($A160="","",R160-Q160)</f>
        <v/>
      </c>
      <c r="T160" s="70">
        <f>IF($A160="","",SUMIFS($B$5:$B$800,$A$5:$A$800,"&gt;="&amp;DATE(YEAR($A160),MONTH($A160),1),$A$5:$A$800,"&lt;="&amp;$A160)+IF(AND(YEAR($A160)=YEAR(Settings!$B$3),MONTH($A160)=MONTH(Settings!$B$3)),Settings!$B$6,0))</f>
        <v/>
      </c>
      <c r="U160" s="71">
        <f>IF($A160="","",SUMIFS($J$5:$J$800,$A$5:$A$800,"&gt;="&amp;DATE(YEAR($A160),MONTH($A160),1),$A$5:$A$800,"&lt;="&amp;$A160)+IF(AND(YEAR($A160)=YEAR(Settings!$B$3),MONTH($A160)=MONTH(Settings!$B$3)),Settings!$B$7,0))</f>
        <v/>
      </c>
      <c r="V160" s="70">
        <f>IF($A160="","",Settings!$B$8+SUM($B$5:B160))</f>
        <v/>
      </c>
      <c r="W160" s="71">
        <f>IF($A160="","",Settings!$B$9+SUM($J$5:J160))</f>
        <v/>
      </c>
      <c r="X160" s="71">
        <f>IF($A160="","",IF(AND(N160&gt;0,F160&gt;0),ROUND(F160/N160,0),X159))</f>
        <v/>
      </c>
      <c r="Y160" s="74">
        <f>IF($A160="","",IF(AND(M160&gt;0,L160&gt;0),ROUND(L160/M160,0),IF(AND(J160&gt;0,B160&gt;0),ROUND(B160/J160,0),Y159)))</f>
        <v/>
      </c>
    </row>
    <row r="161">
      <c r="A161" s="67" t="n"/>
      <c r="B161" s="68" t="n"/>
      <c r="C161" s="69" t="n"/>
      <c r="D161" s="68" t="n"/>
      <c r="E161" s="69" t="n"/>
      <c r="F161" s="68" t="n"/>
      <c r="G161" s="69" t="n"/>
      <c r="H161" s="68" t="n"/>
      <c r="I161" s="70">
        <f>IF($A161="","",R160)</f>
        <v/>
      </c>
      <c r="J161" s="71">
        <f>IF($A161="","",IF(C161="",0,C161))</f>
        <v/>
      </c>
      <c r="K161" s="71">
        <f>IF($A161="","",IF(E161="",0,E161))</f>
        <v/>
      </c>
      <c r="L161" s="70">
        <f>IF($A161="","",B161-D161)</f>
        <v/>
      </c>
      <c r="M161" s="71">
        <f>IF($A161="","",J161-K161)</f>
        <v/>
      </c>
      <c r="N161" s="71">
        <f>IF($A161="","",IF(G161="",0,G161))</f>
        <v/>
      </c>
      <c r="O161" s="70">
        <f>IF($A161="","",D161+F161)</f>
        <v/>
      </c>
      <c r="P161" s="71">
        <f>IF($A161="","",K161+N161)</f>
        <v/>
      </c>
      <c r="Q161" s="70">
        <f>IF($A161="","",I161+L161-F161)</f>
        <v/>
      </c>
      <c r="R161" s="72">
        <f>IF($A161="","",IF(H161="",Q161,H161))</f>
        <v/>
      </c>
      <c r="S161" s="73">
        <f>IF($A161="","",R161-Q161)</f>
        <v/>
      </c>
      <c r="T161" s="70">
        <f>IF($A161="","",SUMIFS($B$5:$B$800,$A$5:$A$800,"&gt;="&amp;DATE(YEAR($A161),MONTH($A161),1),$A$5:$A$800,"&lt;="&amp;$A161)+IF(AND(YEAR($A161)=YEAR(Settings!$B$3),MONTH($A161)=MONTH(Settings!$B$3)),Settings!$B$6,0))</f>
        <v/>
      </c>
      <c r="U161" s="71">
        <f>IF($A161="","",SUMIFS($J$5:$J$800,$A$5:$A$800,"&gt;="&amp;DATE(YEAR($A161),MONTH($A161),1),$A$5:$A$800,"&lt;="&amp;$A161)+IF(AND(YEAR($A161)=YEAR(Settings!$B$3),MONTH($A161)=MONTH(Settings!$B$3)),Settings!$B$7,0))</f>
        <v/>
      </c>
      <c r="V161" s="70">
        <f>IF($A161="","",Settings!$B$8+SUM($B$5:B161))</f>
        <v/>
      </c>
      <c r="W161" s="71">
        <f>IF($A161="","",Settings!$B$9+SUM($J$5:J161))</f>
        <v/>
      </c>
      <c r="X161" s="71">
        <f>IF($A161="","",IF(AND(N161&gt;0,F161&gt;0),ROUND(F161/N161,0),X160))</f>
        <v/>
      </c>
      <c r="Y161" s="74">
        <f>IF($A161="","",IF(AND(M161&gt;0,L161&gt;0),ROUND(L161/M161,0),IF(AND(J161&gt;0,B161&gt;0),ROUND(B161/J161,0),Y160)))</f>
        <v/>
      </c>
    </row>
    <row r="162">
      <c r="A162" s="67" t="n"/>
      <c r="B162" s="68" t="n"/>
      <c r="C162" s="69" t="n"/>
      <c r="D162" s="68" t="n"/>
      <c r="E162" s="69" t="n"/>
      <c r="F162" s="68" t="n"/>
      <c r="G162" s="69" t="n"/>
      <c r="H162" s="68" t="n"/>
      <c r="I162" s="70">
        <f>IF($A162="","",R161)</f>
        <v/>
      </c>
      <c r="J162" s="71">
        <f>IF($A162="","",IF(C162="",0,C162))</f>
        <v/>
      </c>
      <c r="K162" s="71">
        <f>IF($A162="","",IF(E162="",0,E162))</f>
        <v/>
      </c>
      <c r="L162" s="70">
        <f>IF($A162="","",B162-D162)</f>
        <v/>
      </c>
      <c r="M162" s="71">
        <f>IF($A162="","",J162-K162)</f>
        <v/>
      </c>
      <c r="N162" s="71">
        <f>IF($A162="","",IF(G162="",0,G162))</f>
        <v/>
      </c>
      <c r="O162" s="70">
        <f>IF($A162="","",D162+F162)</f>
        <v/>
      </c>
      <c r="P162" s="71">
        <f>IF($A162="","",K162+N162)</f>
        <v/>
      </c>
      <c r="Q162" s="70">
        <f>IF($A162="","",I162+L162-F162)</f>
        <v/>
      </c>
      <c r="R162" s="72">
        <f>IF($A162="","",IF(H162="",Q162,H162))</f>
        <v/>
      </c>
      <c r="S162" s="73">
        <f>IF($A162="","",R162-Q162)</f>
        <v/>
      </c>
      <c r="T162" s="70">
        <f>IF($A162="","",SUMIFS($B$5:$B$800,$A$5:$A$800,"&gt;="&amp;DATE(YEAR($A162),MONTH($A162),1),$A$5:$A$800,"&lt;="&amp;$A162)+IF(AND(YEAR($A162)=YEAR(Settings!$B$3),MONTH($A162)=MONTH(Settings!$B$3)),Settings!$B$6,0))</f>
        <v/>
      </c>
      <c r="U162" s="71">
        <f>IF($A162="","",SUMIFS($J$5:$J$800,$A$5:$A$800,"&gt;="&amp;DATE(YEAR($A162),MONTH($A162),1),$A$5:$A$800,"&lt;="&amp;$A162)+IF(AND(YEAR($A162)=YEAR(Settings!$B$3),MONTH($A162)=MONTH(Settings!$B$3)),Settings!$B$7,0))</f>
        <v/>
      </c>
      <c r="V162" s="70">
        <f>IF($A162="","",Settings!$B$8+SUM($B$5:B162))</f>
        <v/>
      </c>
      <c r="W162" s="71">
        <f>IF($A162="","",Settings!$B$9+SUM($J$5:J162))</f>
        <v/>
      </c>
      <c r="X162" s="71">
        <f>IF($A162="","",IF(AND(N162&gt;0,F162&gt;0),ROUND(F162/N162,0),X161))</f>
        <v/>
      </c>
      <c r="Y162" s="74">
        <f>IF($A162="","",IF(AND(M162&gt;0,L162&gt;0),ROUND(L162/M162,0),IF(AND(J162&gt;0,B162&gt;0),ROUND(B162/J162,0),Y161)))</f>
        <v/>
      </c>
    </row>
    <row r="163">
      <c r="A163" s="67" t="n"/>
      <c r="B163" s="68" t="n"/>
      <c r="C163" s="69" t="n"/>
      <c r="D163" s="68" t="n"/>
      <c r="E163" s="69" t="n"/>
      <c r="F163" s="68" t="n"/>
      <c r="G163" s="69" t="n"/>
      <c r="H163" s="68" t="n"/>
      <c r="I163" s="70">
        <f>IF($A163="","",R162)</f>
        <v/>
      </c>
      <c r="J163" s="71">
        <f>IF($A163="","",IF(C163="",0,C163))</f>
        <v/>
      </c>
      <c r="K163" s="71">
        <f>IF($A163="","",IF(E163="",0,E163))</f>
        <v/>
      </c>
      <c r="L163" s="70">
        <f>IF($A163="","",B163-D163)</f>
        <v/>
      </c>
      <c r="M163" s="71">
        <f>IF($A163="","",J163-K163)</f>
        <v/>
      </c>
      <c r="N163" s="71">
        <f>IF($A163="","",IF(G163="",0,G163))</f>
        <v/>
      </c>
      <c r="O163" s="70">
        <f>IF($A163="","",D163+F163)</f>
        <v/>
      </c>
      <c r="P163" s="71">
        <f>IF($A163="","",K163+N163)</f>
        <v/>
      </c>
      <c r="Q163" s="70">
        <f>IF($A163="","",I163+L163-F163)</f>
        <v/>
      </c>
      <c r="R163" s="72">
        <f>IF($A163="","",IF(H163="",Q163,H163))</f>
        <v/>
      </c>
      <c r="S163" s="73">
        <f>IF($A163="","",R163-Q163)</f>
        <v/>
      </c>
      <c r="T163" s="70">
        <f>IF($A163="","",SUMIFS($B$5:$B$800,$A$5:$A$800,"&gt;="&amp;DATE(YEAR($A163),MONTH($A163),1),$A$5:$A$800,"&lt;="&amp;$A163)+IF(AND(YEAR($A163)=YEAR(Settings!$B$3),MONTH($A163)=MONTH(Settings!$B$3)),Settings!$B$6,0))</f>
        <v/>
      </c>
      <c r="U163" s="71">
        <f>IF($A163="","",SUMIFS($J$5:$J$800,$A$5:$A$800,"&gt;="&amp;DATE(YEAR($A163),MONTH($A163),1),$A$5:$A$800,"&lt;="&amp;$A163)+IF(AND(YEAR($A163)=YEAR(Settings!$B$3),MONTH($A163)=MONTH(Settings!$B$3)),Settings!$B$7,0))</f>
        <v/>
      </c>
      <c r="V163" s="70">
        <f>IF($A163="","",Settings!$B$8+SUM($B$5:B163))</f>
        <v/>
      </c>
      <c r="W163" s="71">
        <f>IF($A163="","",Settings!$B$9+SUM($J$5:J163))</f>
        <v/>
      </c>
      <c r="X163" s="71">
        <f>IF($A163="","",IF(AND(N163&gt;0,F163&gt;0),ROUND(F163/N163,0),X162))</f>
        <v/>
      </c>
      <c r="Y163" s="74">
        <f>IF($A163="","",IF(AND(M163&gt;0,L163&gt;0),ROUND(L163/M163,0),IF(AND(J163&gt;0,B163&gt;0),ROUND(B163/J163,0),Y162)))</f>
        <v/>
      </c>
    </row>
    <row r="164">
      <c r="A164" s="67" t="n"/>
      <c r="B164" s="68" t="n"/>
      <c r="C164" s="69" t="n"/>
      <c r="D164" s="68" t="n"/>
      <c r="E164" s="69" t="n"/>
      <c r="F164" s="68" t="n"/>
      <c r="G164" s="69" t="n"/>
      <c r="H164" s="68" t="n"/>
      <c r="I164" s="70">
        <f>IF($A164="","",R163)</f>
        <v/>
      </c>
      <c r="J164" s="71">
        <f>IF($A164="","",IF(C164="",0,C164))</f>
        <v/>
      </c>
      <c r="K164" s="71">
        <f>IF($A164="","",IF(E164="",0,E164))</f>
        <v/>
      </c>
      <c r="L164" s="70">
        <f>IF($A164="","",B164-D164)</f>
        <v/>
      </c>
      <c r="M164" s="71">
        <f>IF($A164="","",J164-K164)</f>
        <v/>
      </c>
      <c r="N164" s="71">
        <f>IF($A164="","",IF(G164="",0,G164))</f>
        <v/>
      </c>
      <c r="O164" s="70">
        <f>IF($A164="","",D164+F164)</f>
        <v/>
      </c>
      <c r="P164" s="71">
        <f>IF($A164="","",K164+N164)</f>
        <v/>
      </c>
      <c r="Q164" s="70">
        <f>IF($A164="","",I164+L164-F164)</f>
        <v/>
      </c>
      <c r="R164" s="72">
        <f>IF($A164="","",IF(H164="",Q164,H164))</f>
        <v/>
      </c>
      <c r="S164" s="73">
        <f>IF($A164="","",R164-Q164)</f>
        <v/>
      </c>
      <c r="T164" s="70">
        <f>IF($A164="","",SUMIFS($B$5:$B$800,$A$5:$A$800,"&gt;="&amp;DATE(YEAR($A164),MONTH($A164),1),$A$5:$A$800,"&lt;="&amp;$A164)+IF(AND(YEAR($A164)=YEAR(Settings!$B$3),MONTH($A164)=MONTH(Settings!$B$3)),Settings!$B$6,0))</f>
        <v/>
      </c>
      <c r="U164" s="71">
        <f>IF($A164="","",SUMIFS($J$5:$J$800,$A$5:$A$800,"&gt;="&amp;DATE(YEAR($A164),MONTH($A164),1),$A$5:$A$800,"&lt;="&amp;$A164)+IF(AND(YEAR($A164)=YEAR(Settings!$B$3),MONTH($A164)=MONTH(Settings!$B$3)),Settings!$B$7,0))</f>
        <v/>
      </c>
      <c r="V164" s="70">
        <f>IF($A164="","",Settings!$B$8+SUM($B$5:B164))</f>
        <v/>
      </c>
      <c r="W164" s="71">
        <f>IF($A164="","",Settings!$B$9+SUM($J$5:J164))</f>
        <v/>
      </c>
      <c r="X164" s="71">
        <f>IF($A164="","",IF(AND(N164&gt;0,F164&gt;0),ROUND(F164/N164,0),X163))</f>
        <v/>
      </c>
      <c r="Y164" s="74">
        <f>IF($A164="","",IF(AND(M164&gt;0,L164&gt;0),ROUND(L164/M164,0),IF(AND(J164&gt;0,B164&gt;0),ROUND(B164/J164,0),Y163)))</f>
        <v/>
      </c>
    </row>
    <row r="165">
      <c r="A165" s="67" t="n"/>
      <c r="B165" s="68" t="n"/>
      <c r="C165" s="69" t="n"/>
      <c r="D165" s="68" t="n"/>
      <c r="E165" s="69" t="n"/>
      <c r="F165" s="68" t="n"/>
      <c r="G165" s="69" t="n"/>
      <c r="H165" s="68" t="n"/>
      <c r="I165" s="70">
        <f>IF($A165="","",R164)</f>
        <v/>
      </c>
      <c r="J165" s="71">
        <f>IF($A165="","",IF(C165="",0,C165))</f>
        <v/>
      </c>
      <c r="K165" s="71">
        <f>IF($A165="","",IF(E165="",0,E165))</f>
        <v/>
      </c>
      <c r="L165" s="70">
        <f>IF($A165="","",B165-D165)</f>
        <v/>
      </c>
      <c r="M165" s="71">
        <f>IF($A165="","",J165-K165)</f>
        <v/>
      </c>
      <c r="N165" s="71">
        <f>IF($A165="","",IF(G165="",0,G165))</f>
        <v/>
      </c>
      <c r="O165" s="70">
        <f>IF($A165="","",D165+F165)</f>
        <v/>
      </c>
      <c r="P165" s="71">
        <f>IF($A165="","",K165+N165)</f>
        <v/>
      </c>
      <c r="Q165" s="70">
        <f>IF($A165="","",I165+L165-F165)</f>
        <v/>
      </c>
      <c r="R165" s="72">
        <f>IF($A165="","",IF(H165="",Q165,H165))</f>
        <v/>
      </c>
      <c r="S165" s="73">
        <f>IF($A165="","",R165-Q165)</f>
        <v/>
      </c>
      <c r="T165" s="70">
        <f>IF($A165="","",SUMIFS($B$5:$B$800,$A$5:$A$800,"&gt;="&amp;DATE(YEAR($A165),MONTH($A165),1),$A$5:$A$800,"&lt;="&amp;$A165)+IF(AND(YEAR($A165)=YEAR(Settings!$B$3),MONTH($A165)=MONTH(Settings!$B$3)),Settings!$B$6,0))</f>
        <v/>
      </c>
      <c r="U165" s="71">
        <f>IF($A165="","",SUMIFS($J$5:$J$800,$A$5:$A$800,"&gt;="&amp;DATE(YEAR($A165),MONTH($A165),1),$A$5:$A$800,"&lt;="&amp;$A165)+IF(AND(YEAR($A165)=YEAR(Settings!$B$3),MONTH($A165)=MONTH(Settings!$B$3)),Settings!$B$7,0))</f>
        <v/>
      </c>
      <c r="V165" s="70">
        <f>IF($A165="","",Settings!$B$8+SUM($B$5:B165))</f>
        <v/>
      </c>
      <c r="W165" s="71">
        <f>IF($A165="","",Settings!$B$9+SUM($J$5:J165))</f>
        <v/>
      </c>
      <c r="X165" s="71">
        <f>IF($A165="","",IF(AND(N165&gt;0,F165&gt;0),ROUND(F165/N165,0),X164))</f>
        <v/>
      </c>
      <c r="Y165" s="74">
        <f>IF($A165="","",IF(AND(M165&gt;0,L165&gt;0),ROUND(L165/M165,0),IF(AND(J165&gt;0,B165&gt;0),ROUND(B165/J165,0),Y164)))</f>
        <v/>
      </c>
    </row>
    <row r="166">
      <c r="A166" s="67" t="n"/>
      <c r="B166" s="68" t="n"/>
      <c r="C166" s="69" t="n"/>
      <c r="D166" s="68" t="n"/>
      <c r="E166" s="69" t="n"/>
      <c r="F166" s="68" t="n"/>
      <c r="G166" s="69" t="n"/>
      <c r="H166" s="68" t="n"/>
      <c r="I166" s="70">
        <f>IF($A166="","",R165)</f>
        <v/>
      </c>
      <c r="J166" s="71">
        <f>IF($A166="","",IF(C166="",0,C166))</f>
        <v/>
      </c>
      <c r="K166" s="71">
        <f>IF($A166="","",IF(E166="",0,E166))</f>
        <v/>
      </c>
      <c r="L166" s="70">
        <f>IF($A166="","",B166-D166)</f>
        <v/>
      </c>
      <c r="M166" s="71">
        <f>IF($A166="","",J166-K166)</f>
        <v/>
      </c>
      <c r="N166" s="71">
        <f>IF($A166="","",IF(G166="",0,G166))</f>
        <v/>
      </c>
      <c r="O166" s="70">
        <f>IF($A166="","",D166+F166)</f>
        <v/>
      </c>
      <c r="P166" s="71">
        <f>IF($A166="","",K166+N166)</f>
        <v/>
      </c>
      <c r="Q166" s="70">
        <f>IF($A166="","",I166+L166-F166)</f>
        <v/>
      </c>
      <c r="R166" s="72">
        <f>IF($A166="","",IF(H166="",Q166,H166))</f>
        <v/>
      </c>
      <c r="S166" s="73">
        <f>IF($A166="","",R166-Q166)</f>
        <v/>
      </c>
      <c r="T166" s="70">
        <f>IF($A166="","",SUMIFS($B$5:$B$800,$A$5:$A$800,"&gt;="&amp;DATE(YEAR($A166),MONTH($A166),1),$A$5:$A$800,"&lt;="&amp;$A166)+IF(AND(YEAR($A166)=YEAR(Settings!$B$3),MONTH($A166)=MONTH(Settings!$B$3)),Settings!$B$6,0))</f>
        <v/>
      </c>
      <c r="U166" s="71">
        <f>IF($A166="","",SUMIFS($J$5:$J$800,$A$5:$A$800,"&gt;="&amp;DATE(YEAR($A166),MONTH($A166),1),$A$5:$A$800,"&lt;="&amp;$A166)+IF(AND(YEAR($A166)=YEAR(Settings!$B$3),MONTH($A166)=MONTH(Settings!$B$3)),Settings!$B$7,0))</f>
        <v/>
      </c>
      <c r="V166" s="70">
        <f>IF($A166="","",Settings!$B$8+SUM($B$5:B166))</f>
        <v/>
      </c>
      <c r="W166" s="71">
        <f>IF($A166="","",Settings!$B$9+SUM($J$5:J166))</f>
        <v/>
      </c>
      <c r="X166" s="71">
        <f>IF($A166="","",IF(AND(N166&gt;0,F166&gt;0),ROUND(F166/N166,0),X165))</f>
        <v/>
      </c>
      <c r="Y166" s="74">
        <f>IF($A166="","",IF(AND(M166&gt;0,L166&gt;0),ROUND(L166/M166,0),IF(AND(J166&gt;0,B166&gt;0),ROUND(B166/J166,0),Y165)))</f>
        <v/>
      </c>
    </row>
    <row r="167">
      <c r="A167" s="67" t="n"/>
      <c r="B167" s="68" t="n"/>
      <c r="C167" s="69" t="n"/>
      <c r="D167" s="68" t="n"/>
      <c r="E167" s="69" t="n"/>
      <c r="F167" s="68" t="n"/>
      <c r="G167" s="69" t="n"/>
      <c r="H167" s="68" t="n"/>
      <c r="I167" s="70">
        <f>IF($A167="","",R166)</f>
        <v/>
      </c>
      <c r="J167" s="71">
        <f>IF($A167="","",IF(C167="",0,C167))</f>
        <v/>
      </c>
      <c r="K167" s="71">
        <f>IF($A167="","",IF(E167="",0,E167))</f>
        <v/>
      </c>
      <c r="L167" s="70">
        <f>IF($A167="","",B167-D167)</f>
        <v/>
      </c>
      <c r="M167" s="71">
        <f>IF($A167="","",J167-K167)</f>
        <v/>
      </c>
      <c r="N167" s="71">
        <f>IF($A167="","",IF(G167="",0,G167))</f>
        <v/>
      </c>
      <c r="O167" s="70">
        <f>IF($A167="","",D167+F167)</f>
        <v/>
      </c>
      <c r="P167" s="71">
        <f>IF($A167="","",K167+N167)</f>
        <v/>
      </c>
      <c r="Q167" s="70">
        <f>IF($A167="","",I167+L167-F167)</f>
        <v/>
      </c>
      <c r="R167" s="72">
        <f>IF($A167="","",IF(H167="",Q167,H167))</f>
        <v/>
      </c>
      <c r="S167" s="73">
        <f>IF($A167="","",R167-Q167)</f>
        <v/>
      </c>
      <c r="T167" s="70">
        <f>IF($A167="","",SUMIFS($B$5:$B$800,$A$5:$A$800,"&gt;="&amp;DATE(YEAR($A167),MONTH($A167),1),$A$5:$A$800,"&lt;="&amp;$A167)+IF(AND(YEAR($A167)=YEAR(Settings!$B$3),MONTH($A167)=MONTH(Settings!$B$3)),Settings!$B$6,0))</f>
        <v/>
      </c>
      <c r="U167" s="71">
        <f>IF($A167="","",SUMIFS($J$5:$J$800,$A$5:$A$800,"&gt;="&amp;DATE(YEAR($A167),MONTH($A167),1),$A$5:$A$800,"&lt;="&amp;$A167)+IF(AND(YEAR($A167)=YEAR(Settings!$B$3),MONTH($A167)=MONTH(Settings!$B$3)),Settings!$B$7,0))</f>
        <v/>
      </c>
      <c r="V167" s="70">
        <f>IF($A167="","",Settings!$B$8+SUM($B$5:B167))</f>
        <v/>
      </c>
      <c r="W167" s="71">
        <f>IF($A167="","",Settings!$B$9+SUM($J$5:J167))</f>
        <v/>
      </c>
      <c r="X167" s="71">
        <f>IF($A167="","",IF(AND(N167&gt;0,F167&gt;0),ROUND(F167/N167,0),X166))</f>
        <v/>
      </c>
      <c r="Y167" s="74">
        <f>IF($A167="","",IF(AND(M167&gt;0,L167&gt;0),ROUND(L167/M167,0),IF(AND(J167&gt;0,B167&gt;0),ROUND(B167/J167,0),Y166)))</f>
        <v/>
      </c>
    </row>
    <row r="168">
      <c r="A168" s="67" t="n"/>
      <c r="B168" s="68" t="n"/>
      <c r="C168" s="69" t="n"/>
      <c r="D168" s="68" t="n"/>
      <c r="E168" s="69" t="n"/>
      <c r="F168" s="68" t="n"/>
      <c r="G168" s="69" t="n"/>
      <c r="H168" s="68" t="n"/>
      <c r="I168" s="70">
        <f>IF($A168="","",R167)</f>
        <v/>
      </c>
      <c r="J168" s="71">
        <f>IF($A168="","",IF(C168="",0,C168))</f>
        <v/>
      </c>
      <c r="K168" s="71">
        <f>IF($A168="","",IF(E168="",0,E168))</f>
        <v/>
      </c>
      <c r="L168" s="70">
        <f>IF($A168="","",B168-D168)</f>
        <v/>
      </c>
      <c r="M168" s="71">
        <f>IF($A168="","",J168-K168)</f>
        <v/>
      </c>
      <c r="N168" s="71">
        <f>IF($A168="","",IF(G168="",0,G168))</f>
        <v/>
      </c>
      <c r="O168" s="70">
        <f>IF($A168="","",D168+F168)</f>
        <v/>
      </c>
      <c r="P168" s="71">
        <f>IF($A168="","",K168+N168)</f>
        <v/>
      </c>
      <c r="Q168" s="70">
        <f>IF($A168="","",I168+L168-F168)</f>
        <v/>
      </c>
      <c r="R168" s="72">
        <f>IF($A168="","",IF(H168="",Q168,H168))</f>
        <v/>
      </c>
      <c r="S168" s="73">
        <f>IF($A168="","",R168-Q168)</f>
        <v/>
      </c>
      <c r="T168" s="70">
        <f>IF($A168="","",SUMIFS($B$5:$B$800,$A$5:$A$800,"&gt;="&amp;DATE(YEAR($A168),MONTH($A168),1),$A$5:$A$800,"&lt;="&amp;$A168)+IF(AND(YEAR($A168)=YEAR(Settings!$B$3),MONTH($A168)=MONTH(Settings!$B$3)),Settings!$B$6,0))</f>
        <v/>
      </c>
      <c r="U168" s="71">
        <f>IF($A168="","",SUMIFS($J$5:$J$800,$A$5:$A$800,"&gt;="&amp;DATE(YEAR($A168),MONTH($A168),1),$A$5:$A$800,"&lt;="&amp;$A168)+IF(AND(YEAR($A168)=YEAR(Settings!$B$3),MONTH($A168)=MONTH(Settings!$B$3)),Settings!$B$7,0))</f>
        <v/>
      </c>
      <c r="V168" s="70">
        <f>IF($A168="","",Settings!$B$8+SUM($B$5:B168))</f>
        <v/>
      </c>
      <c r="W168" s="71">
        <f>IF($A168="","",Settings!$B$9+SUM($J$5:J168))</f>
        <v/>
      </c>
      <c r="X168" s="71">
        <f>IF($A168="","",IF(AND(N168&gt;0,F168&gt;0),ROUND(F168/N168,0),X167))</f>
        <v/>
      </c>
      <c r="Y168" s="74">
        <f>IF($A168="","",IF(AND(M168&gt;0,L168&gt;0),ROUND(L168/M168,0),IF(AND(J168&gt;0,B168&gt;0),ROUND(B168/J168,0),Y167)))</f>
        <v/>
      </c>
    </row>
    <row r="169">
      <c r="A169" s="67" t="n"/>
      <c r="B169" s="68" t="n"/>
      <c r="C169" s="69" t="n"/>
      <c r="D169" s="68" t="n"/>
      <c r="E169" s="69" t="n"/>
      <c r="F169" s="68" t="n"/>
      <c r="G169" s="69" t="n"/>
      <c r="H169" s="68" t="n"/>
      <c r="I169" s="70">
        <f>IF($A169="","",R168)</f>
        <v/>
      </c>
      <c r="J169" s="71">
        <f>IF($A169="","",IF(C169="",0,C169))</f>
        <v/>
      </c>
      <c r="K169" s="71">
        <f>IF($A169="","",IF(E169="",0,E169))</f>
        <v/>
      </c>
      <c r="L169" s="70">
        <f>IF($A169="","",B169-D169)</f>
        <v/>
      </c>
      <c r="M169" s="71">
        <f>IF($A169="","",J169-K169)</f>
        <v/>
      </c>
      <c r="N169" s="71">
        <f>IF($A169="","",IF(G169="",0,G169))</f>
        <v/>
      </c>
      <c r="O169" s="70">
        <f>IF($A169="","",D169+F169)</f>
        <v/>
      </c>
      <c r="P169" s="71">
        <f>IF($A169="","",K169+N169)</f>
        <v/>
      </c>
      <c r="Q169" s="70">
        <f>IF($A169="","",I169+L169-F169)</f>
        <v/>
      </c>
      <c r="R169" s="72">
        <f>IF($A169="","",IF(H169="",Q169,H169))</f>
        <v/>
      </c>
      <c r="S169" s="73">
        <f>IF($A169="","",R169-Q169)</f>
        <v/>
      </c>
      <c r="T169" s="70">
        <f>IF($A169="","",SUMIFS($B$5:$B$800,$A$5:$A$800,"&gt;="&amp;DATE(YEAR($A169),MONTH($A169),1),$A$5:$A$800,"&lt;="&amp;$A169)+IF(AND(YEAR($A169)=YEAR(Settings!$B$3),MONTH($A169)=MONTH(Settings!$B$3)),Settings!$B$6,0))</f>
        <v/>
      </c>
      <c r="U169" s="71">
        <f>IF($A169="","",SUMIFS($J$5:$J$800,$A$5:$A$800,"&gt;="&amp;DATE(YEAR($A169),MONTH($A169),1),$A$5:$A$800,"&lt;="&amp;$A169)+IF(AND(YEAR($A169)=YEAR(Settings!$B$3),MONTH($A169)=MONTH(Settings!$B$3)),Settings!$B$7,0))</f>
        <v/>
      </c>
      <c r="V169" s="70">
        <f>IF($A169="","",Settings!$B$8+SUM($B$5:B169))</f>
        <v/>
      </c>
      <c r="W169" s="71">
        <f>IF($A169="","",Settings!$B$9+SUM($J$5:J169))</f>
        <v/>
      </c>
      <c r="X169" s="71">
        <f>IF($A169="","",IF(AND(N169&gt;0,F169&gt;0),ROUND(F169/N169,0),X168))</f>
        <v/>
      </c>
      <c r="Y169" s="74">
        <f>IF($A169="","",IF(AND(M169&gt;0,L169&gt;0),ROUND(L169/M169,0),IF(AND(J169&gt;0,B169&gt;0),ROUND(B169/J169,0),Y168)))</f>
        <v/>
      </c>
    </row>
    <row r="170">
      <c r="A170" s="67" t="n"/>
      <c r="B170" s="68" t="n"/>
      <c r="C170" s="69" t="n"/>
      <c r="D170" s="68" t="n"/>
      <c r="E170" s="69" t="n"/>
      <c r="F170" s="68" t="n"/>
      <c r="G170" s="69" t="n"/>
      <c r="H170" s="68" t="n"/>
      <c r="I170" s="70">
        <f>IF($A170="","",R169)</f>
        <v/>
      </c>
      <c r="J170" s="71">
        <f>IF($A170="","",IF(C170="",0,C170))</f>
        <v/>
      </c>
      <c r="K170" s="71">
        <f>IF($A170="","",IF(E170="",0,E170))</f>
        <v/>
      </c>
      <c r="L170" s="70">
        <f>IF($A170="","",B170-D170)</f>
        <v/>
      </c>
      <c r="M170" s="71">
        <f>IF($A170="","",J170-K170)</f>
        <v/>
      </c>
      <c r="N170" s="71">
        <f>IF($A170="","",IF(G170="",0,G170))</f>
        <v/>
      </c>
      <c r="O170" s="70">
        <f>IF($A170="","",D170+F170)</f>
        <v/>
      </c>
      <c r="P170" s="71">
        <f>IF($A170="","",K170+N170)</f>
        <v/>
      </c>
      <c r="Q170" s="70">
        <f>IF($A170="","",I170+L170-F170)</f>
        <v/>
      </c>
      <c r="R170" s="72">
        <f>IF($A170="","",IF(H170="",Q170,H170))</f>
        <v/>
      </c>
      <c r="S170" s="73">
        <f>IF($A170="","",R170-Q170)</f>
        <v/>
      </c>
      <c r="T170" s="70">
        <f>IF($A170="","",SUMIFS($B$5:$B$800,$A$5:$A$800,"&gt;="&amp;DATE(YEAR($A170),MONTH($A170),1),$A$5:$A$800,"&lt;="&amp;$A170)+IF(AND(YEAR($A170)=YEAR(Settings!$B$3),MONTH($A170)=MONTH(Settings!$B$3)),Settings!$B$6,0))</f>
        <v/>
      </c>
      <c r="U170" s="71">
        <f>IF($A170="","",SUMIFS($J$5:$J$800,$A$5:$A$800,"&gt;="&amp;DATE(YEAR($A170),MONTH($A170),1),$A$5:$A$800,"&lt;="&amp;$A170)+IF(AND(YEAR($A170)=YEAR(Settings!$B$3),MONTH($A170)=MONTH(Settings!$B$3)),Settings!$B$7,0))</f>
        <v/>
      </c>
      <c r="V170" s="70">
        <f>IF($A170="","",Settings!$B$8+SUM($B$5:B170))</f>
        <v/>
      </c>
      <c r="W170" s="71">
        <f>IF($A170="","",Settings!$B$9+SUM($J$5:J170))</f>
        <v/>
      </c>
      <c r="X170" s="71">
        <f>IF($A170="","",IF(AND(N170&gt;0,F170&gt;0),ROUND(F170/N170,0),X169))</f>
        <v/>
      </c>
      <c r="Y170" s="74">
        <f>IF($A170="","",IF(AND(M170&gt;0,L170&gt;0),ROUND(L170/M170,0),IF(AND(J170&gt;0,B170&gt;0),ROUND(B170/J170,0),Y169)))</f>
        <v/>
      </c>
    </row>
    <row r="171">
      <c r="A171" s="67" t="n"/>
      <c r="B171" s="68" t="n"/>
      <c r="C171" s="69" t="n"/>
      <c r="D171" s="68" t="n"/>
      <c r="E171" s="69" t="n"/>
      <c r="F171" s="68" t="n"/>
      <c r="G171" s="69" t="n"/>
      <c r="H171" s="68" t="n"/>
      <c r="I171" s="70">
        <f>IF($A171="","",R170)</f>
        <v/>
      </c>
      <c r="J171" s="71">
        <f>IF($A171="","",IF(C171="",0,C171))</f>
        <v/>
      </c>
      <c r="K171" s="71">
        <f>IF($A171="","",IF(E171="",0,E171))</f>
        <v/>
      </c>
      <c r="L171" s="70">
        <f>IF($A171="","",B171-D171)</f>
        <v/>
      </c>
      <c r="M171" s="71">
        <f>IF($A171="","",J171-K171)</f>
        <v/>
      </c>
      <c r="N171" s="71">
        <f>IF($A171="","",IF(G171="",0,G171))</f>
        <v/>
      </c>
      <c r="O171" s="70">
        <f>IF($A171="","",D171+F171)</f>
        <v/>
      </c>
      <c r="P171" s="71">
        <f>IF($A171="","",K171+N171)</f>
        <v/>
      </c>
      <c r="Q171" s="70">
        <f>IF($A171="","",I171+L171-F171)</f>
        <v/>
      </c>
      <c r="R171" s="72">
        <f>IF($A171="","",IF(H171="",Q171,H171))</f>
        <v/>
      </c>
      <c r="S171" s="73">
        <f>IF($A171="","",R171-Q171)</f>
        <v/>
      </c>
      <c r="T171" s="70">
        <f>IF($A171="","",SUMIFS($B$5:$B$800,$A$5:$A$800,"&gt;="&amp;DATE(YEAR($A171),MONTH($A171),1),$A$5:$A$800,"&lt;="&amp;$A171)+IF(AND(YEAR($A171)=YEAR(Settings!$B$3),MONTH($A171)=MONTH(Settings!$B$3)),Settings!$B$6,0))</f>
        <v/>
      </c>
      <c r="U171" s="71">
        <f>IF($A171="","",SUMIFS($J$5:$J$800,$A$5:$A$800,"&gt;="&amp;DATE(YEAR($A171),MONTH($A171),1),$A$5:$A$800,"&lt;="&amp;$A171)+IF(AND(YEAR($A171)=YEAR(Settings!$B$3),MONTH($A171)=MONTH(Settings!$B$3)),Settings!$B$7,0))</f>
        <v/>
      </c>
      <c r="V171" s="70">
        <f>IF($A171="","",Settings!$B$8+SUM($B$5:B171))</f>
        <v/>
      </c>
      <c r="W171" s="71">
        <f>IF($A171="","",Settings!$B$9+SUM($J$5:J171))</f>
        <v/>
      </c>
      <c r="X171" s="71">
        <f>IF($A171="","",IF(AND(N171&gt;0,F171&gt;0),ROUND(F171/N171,0),X170))</f>
        <v/>
      </c>
      <c r="Y171" s="74">
        <f>IF($A171="","",IF(AND(M171&gt;0,L171&gt;0),ROUND(L171/M171,0),IF(AND(J171&gt;0,B171&gt;0),ROUND(B171/J171,0),Y170)))</f>
        <v/>
      </c>
    </row>
    <row r="172">
      <c r="A172" s="67" t="n"/>
      <c r="B172" s="68" t="n"/>
      <c r="C172" s="69" t="n"/>
      <c r="D172" s="68" t="n"/>
      <c r="E172" s="69" t="n"/>
      <c r="F172" s="68" t="n"/>
      <c r="G172" s="69" t="n"/>
      <c r="H172" s="68" t="n"/>
      <c r="I172" s="70">
        <f>IF($A172="","",R171)</f>
        <v/>
      </c>
      <c r="J172" s="71">
        <f>IF($A172="","",IF(C172="",0,C172))</f>
        <v/>
      </c>
      <c r="K172" s="71">
        <f>IF($A172="","",IF(E172="",0,E172))</f>
        <v/>
      </c>
      <c r="L172" s="70">
        <f>IF($A172="","",B172-D172)</f>
        <v/>
      </c>
      <c r="M172" s="71">
        <f>IF($A172="","",J172-K172)</f>
        <v/>
      </c>
      <c r="N172" s="71">
        <f>IF($A172="","",IF(G172="",0,G172))</f>
        <v/>
      </c>
      <c r="O172" s="70">
        <f>IF($A172="","",D172+F172)</f>
        <v/>
      </c>
      <c r="P172" s="71">
        <f>IF($A172="","",K172+N172)</f>
        <v/>
      </c>
      <c r="Q172" s="70">
        <f>IF($A172="","",I172+L172-F172)</f>
        <v/>
      </c>
      <c r="R172" s="72">
        <f>IF($A172="","",IF(H172="",Q172,H172))</f>
        <v/>
      </c>
      <c r="S172" s="73">
        <f>IF($A172="","",R172-Q172)</f>
        <v/>
      </c>
      <c r="T172" s="70">
        <f>IF($A172="","",SUMIFS($B$5:$B$800,$A$5:$A$800,"&gt;="&amp;DATE(YEAR($A172),MONTH($A172),1),$A$5:$A$800,"&lt;="&amp;$A172)+IF(AND(YEAR($A172)=YEAR(Settings!$B$3),MONTH($A172)=MONTH(Settings!$B$3)),Settings!$B$6,0))</f>
        <v/>
      </c>
      <c r="U172" s="71">
        <f>IF($A172="","",SUMIFS($J$5:$J$800,$A$5:$A$800,"&gt;="&amp;DATE(YEAR($A172),MONTH($A172),1),$A$5:$A$800,"&lt;="&amp;$A172)+IF(AND(YEAR($A172)=YEAR(Settings!$B$3),MONTH($A172)=MONTH(Settings!$B$3)),Settings!$B$7,0))</f>
        <v/>
      </c>
      <c r="V172" s="70">
        <f>IF($A172="","",Settings!$B$8+SUM($B$5:B172))</f>
        <v/>
      </c>
      <c r="W172" s="71">
        <f>IF($A172="","",Settings!$B$9+SUM($J$5:J172))</f>
        <v/>
      </c>
      <c r="X172" s="71">
        <f>IF($A172="","",IF(AND(N172&gt;0,F172&gt;0),ROUND(F172/N172,0),X171))</f>
        <v/>
      </c>
      <c r="Y172" s="74">
        <f>IF($A172="","",IF(AND(M172&gt;0,L172&gt;0),ROUND(L172/M172,0),IF(AND(J172&gt;0,B172&gt;0),ROUND(B172/J172,0),Y171)))</f>
        <v/>
      </c>
    </row>
    <row r="173">
      <c r="A173" s="67" t="n"/>
      <c r="B173" s="68" t="n"/>
      <c r="C173" s="69" t="n"/>
      <c r="D173" s="68" t="n"/>
      <c r="E173" s="69" t="n"/>
      <c r="F173" s="68" t="n"/>
      <c r="G173" s="69" t="n"/>
      <c r="H173" s="68" t="n"/>
      <c r="I173" s="70">
        <f>IF($A173="","",R172)</f>
        <v/>
      </c>
      <c r="J173" s="71">
        <f>IF($A173="","",IF(C173="",0,C173))</f>
        <v/>
      </c>
      <c r="K173" s="71">
        <f>IF($A173="","",IF(E173="",0,E173))</f>
        <v/>
      </c>
      <c r="L173" s="70">
        <f>IF($A173="","",B173-D173)</f>
        <v/>
      </c>
      <c r="M173" s="71">
        <f>IF($A173="","",J173-K173)</f>
        <v/>
      </c>
      <c r="N173" s="71">
        <f>IF($A173="","",IF(G173="",0,G173))</f>
        <v/>
      </c>
      <c r="O173" s="70">
        <f>IF($A173="","",D173+F173)</f>
        <v/>
      </c>
      <c r="P173" s="71">
        <f>IF($A173="","",K173+N173)</f>
        <v/>
      </c>
      <c r="Q173" s="70">
        <f>IF($A173="","",I173+L173-F173)</f>
        <v/>
      </c>
      <c r="R173" s="72">
        <f>IF($A173="","",IF(H173="",Q173,H173))</f>
        <v/>
      </c>
      <c r="S173" s="73">
        <f>IF($A173="","",R173-Q173)</f>
        <v/>
      </c>
      <c r="T173" s="70">
        <f>IF($A173="","",SUMIFS($B$5:$B$800,$A$5:$A$800,"&gt;="&amp;DATE(YEAR($A173),MONTH($A173),1),$A$5:$A$800,"&lt;="&amp;$A173)+IF(AND(YEAR($A173)=YEAR(Settings!$B$3),MONTH($A173)=MONTH(Settings!$B$3)),Settings!$B$6,0))</f>
        <v/>
      </c>
      <c r="U173" s="71">
        <f>IF($A173="","",SUMIFS($J$5:$J$800,$A$5:$A$800,"&gt;="&amp;DATE(YEAR($A173),MONTH($A173),1),$A$5:$A$800,"&lt;="&amp;$A173)+IF(AND(YEAR($A173)=YEAR(Settings!$B$3),MONTH($A173)=MONTH(Settings!$B$3)),Settings!$B$7,0))</f>
        <v/>
      </c>
      <c r="V173" s="70">
        <f>IF($A173="","",Settings!$B$8+SUM($B$5:B173))</f>
        <v/>
      </c>
      <c r="W173" s="71">
        <f>IF($A173="","",Settings!$B$9+SUM($J$5:J173))</f>
        <v/>
      </c>
      <c r="X173" s="71">
        <f>IF($A173="","",IF(AND(N173&gt;0,F173&gt;0),ROUND(F173/N173,0),X172))</f>
        <v/>
      </c>
      <c r="Y173" s="74">
        <f>IF($A173="","",IF(AND(M173&gt;0,L173&gt;0),ROUND(L173/M173,0),IF(AND(J173&gt;0,B173&gt;0),ROUND(B173/J173,0),Y172)))</f>
        <v/>
      </c>
    </row>
    <row r="174">
      <c r="A174" s="67" t="n"/>
      <c r="B174" s="68" t="n"/>
      <c r="C174" s="69" t="n"/>
      <c r="D174" s="68" t="n"/>
      <c r="E174" s="69" t="n"/>
      <c r="F174" s="68" t="n"/>
      <c r="G174" s="69" t="n"/>
      <c r="H174" s="68" t="n"/>
      <c r="I174" s="70">
        <f>IF($A174="","",R173)</f>
        <v/>
      </c>
      <c r="J174" s="71">
        <f>IF($A174="","",IF(C174="",0,C174))</f>
        <v/>
      </c>
      <c r="K174" s="71">
        <f>IF($A174="","",IF(E174="",0,E174))</f>
        <v/>
      </c>
      <c r="L174" s="70">
        <f>IF($A174="","",B174-D174)</f>
        <v/>
      </c>
      <c r="M174" s="71">
        <f>IF($A174="","",J174-K174)</f>
        <v/>
      </c>
      <c r="N174" s="71">
        <f>IF($A174="","",IF(G174="",0,G174))</f>
        <v/>
      </c>
      <c r="O174" s="70">
        <f>IF($A174="","",D174+F174)</f>
        <v/>
      </c>
      <c r="P174" s="71">
        <f>IF($A174="","",K174+N174)</f>
        <v/>
      </c>
      <c r="Q174" s="70">
        <f>IF($A174="","",I174+L174-F174)</f>
        <v/>
      </c>
      <c r="R174" s="72">
        <f>IF($A174="","",IF(H174="",Q174,H174))</f>
        <v/>
      </c>
      <c r="S174" s="73">
        <f>IF($A174="","",R174-Q174)</f>
        <v/>
      </c>
      <c r="T174" s="70">
        <f>IF($A174="","",SUMIFS($B$5:$B$800,$A$5:$A$800,"&gt;="&amp;DATE(YEAR($A174),MONTH($A174),1),$A$5:$A$800,"&lt;="&amp;$A174)+IF(AND(YEAR($A174)=YEAR(Settings!$B$3),MONTH($A174)=MONTH(Settings!$B$3)),Settings!$B$6,0))</f>
        <v/>
      </c>
      <c r="U174" s="71">
        <f>IF($A174="","",SUMIFS($J$5:$J$800,$A$5:$A$800,"&gt;="&amp;DATE(YEAR($A174),MONTH($A174),1),$A$5:$A$800,"&lt;="&amp;$A174)+IF(AND(YEAR($A174)=YEAR(Settings!$B$3),MONTH($A174)=MONTH(Settings!$B$3)),Settings!$B$7,0))</f>
        <v/>
      </c>
      <c r="V174" s="70">
        <f>IF($A174="","",Settings!$B$8+SUM($B$5:B174))</f>
        <v/>
      </c>
      <c r="W174" s="71">
        <f>IF($A174="","",Settings!$B$9+SUM($J$5:J174))</f>
        <v/>
      </c>
      <c r="X174" s="71">
        <f>IF($A174="","",IF(AND(N174&gt;0,F174&gt;0),ROUND(F174/N174,0),X173))</f>
        <v/>
      </c>
      <c r="Y174" s="74">
        <f>IF($A174="","",IF(AND(M174&gt;0,L174&gt;0),ROUND(L174/M174,0),IF(AND(J174&gt;0,B174&gt;0),ROUND(B174/J174,0),Y173)))</f>
        <v/>
      </c>
    </row>
    <row r="175">
      <c r="A175" s="67" t="n"/>
      <c r="B175" s="68" t="n"/>
      <c r="C175" s="69" t="n"/>
      <c r="D175" s="68" t="n"/>
      <c r="E175" s="69" t="n"/>
      <c r="F175" s="68" t="n"/>
      <c r="G175" s="69" t="n"/>
      <c r="H175" s="68" t="n"/>
      <c r="I175" s="70">
        <f>IF($A175="","",R174)</f>
        <v/>
      </c>
      <c r="J175" s="71">
        <f>IF($A175="","",IF(C175="",0,C175))</f>
        <v/>
      </c>
      <c r="K175" s="71">
        <f>IF($A175="","",IF(E175="",0,E175))</f>
        <v/>
      </c>
      <c r="L175" s="70">
        <f>IF($A175="","",B175-D175)</f>
        <v/>
      </c>
      <c r="M175" s="71">
        <f>IF($A175="","",J175-K175)</f>
        <v/>
      </c>
      <c r="N175" s="71">
        <f>IF($A175="","",IF(G175="",0,G175))</f>
        <v/>
      </c>
      <c r="O175" s="70">
        <f>IF($A175="","",D175+F175)</f>
        <v/>
      </c>
      <c r="P175" s="71">
        <f>IF($A175="","",K175+N175)</f>
        <v/>
      </c>
      <c r="Q175" s="70">
        <f>IF($A175="","",I175+L175-F175)</f>
        <v/>
      </c>
      <c r="R175" s="72">
        <f>IF($A175="","",IF(H175="",Q175,H175))</f>
        <v/>
      </c>
      <c r="S175" s="73">
        <f>IF($A175="","",R175-Q175)</f>
        <v/>
      </c>
      <c r="T175" s="70">
        <f>IF($A175="","",SUMIFS($B$5:$B$800,$A$5:$A$800,"&gt;="&amp;DATE(YEAR($A175),MONTH($A175),1),$A$5:$A$800,"&lt;="&amp;$A175)+IF(AND(YEAR($A175)=YEAR(Settings!$B$3),MONTH($A175)=MONTH(Settings!$B$3)),Settings!$B$6,0))</f>
        <v/>
      </c>
      <c r="U175" s="71">
        <f>IF($A175="","",SUMIFS($J$5:$J$800,$A$5:$A$800,"&gt;="&amp;DATE(YEAR($A175),MONTH($A175),1),$A$5:$A$800,"&lt;="&amp;$A175)+IF(AND(YEAR($A175)=YEAR(Settings!$B$3),MONTH($A175)=MONTH(Settings!$B$3)),Settings!$B$7,0))</f>
        <v/>
      </c>
      <c r="V175" s="70">
        <f>IF($A175="","",Settings!$B$8+SUM($B$5:B175))</f>
        <v/>
      </c>
      <c r="W175" s="71">
        <f>IF($A175="","",Settings!$B$9+SUM($J$5:J175))</f>
        <v/>
      </c>
      <c r="X175" s="71">
        <f>IF($A175="","",IF(AND(N175&gt;0,F175&gt;0),ROUND(F175/N175,0),X174))</f>
        <v/>
      </c>
      <c r="Y175" s="74">
        <f>IF($A175="","",IF(AND(M175&gt;0,L175&gt;0),ROUND(L175/M175,0),IF(AND(J175&gt;0,B175&gt;0),ROUND(B175/J175,0),Y174)))</f>
        <v/>
      </c>
    </row>
    <row r="176">
      <c r="A176" s="67" t="n"/>
      <c r="B176" s="68" t="n"/>
      <c r="C176" s="69" t="n"/>
      <c r="D176" s="68" t="n"/>
      <c r="E176" s="69" t="n"/>
      <c r="F176" s="68" t="n"/>
      <c r="G176" s="69" t="n"/>
      <c r="H176" s="68" t="n"/>
      <c r="I176" s="70">
        <f>IF($A176="","",R175)</f>
        <v/>
      </c>
      <c r="J176" s="71">
        <f>IF($A176="","",IF(C176="",0,C176))</f>
        <v/>
      </c>
      <c r="K176" s="71">
        <f>IF($A176="","",IF(E176="",0,E176))</f>
        <v/>
      </c>
      <c r="L176" s="70">
        <f>IF($A176="","",B176-D176)</f>
        <v/>
      </c>
      <c r="M176" s="71">
        <f>IF($A176="","",J176-K176)</f>
        <v/>
      </c>
      <c r="N176" s="71">
        <f>IF($A176="","",IF(G176="",0,G176))</f>
        <v/>
      </c>
      <c r="O176" s="70">
        <f>IF($A176="","",D176+F176)</f>
        <v/>
      </c>
      <c r="P176" s="71">
        <f>IF($A176="","",K176+N176)</f>
        <v/>
      </c>
      <c r="Q176" s="70">
        <f>IF($A176="","",I176+L176-F176)</f>
        <v/>
      </c>
      <c r="R176" s="72">
        <f>IF($A176="","",IF(H176="",Q176,H176))</f>
        <v/>
      </c>
      <c r="S176" s="73">
        <f>IF($A176="","",R176-Q176)</f>
        <v/>
      </c>
      <c r="T176" s="70">
        <f>IF($A176="","",SUMIFS($B$5:$B$800,$A$5:$A$800,"&gt;="&amp;DATE(YEAR($A176),MONTH($A176),1),$A$5:$A$800,"&lt;="&amp;$A176)+IF(AND(YEAR($A176)=YEAR(Settings!$B$3),MONTH($A176)=MONTH(Settings!$B$3)),Settings!$B$6,0))</f>
        <v/>
      </c>
      <c r="U176" s="71">
        <f>IF($A176="","",SUMIFS($J$5:$J$800,$A$5:$A$800,"&gt;="&amp;DATE(YEAR($A176),MONTH($A176),1),$A$5:$A$800,"&lt;="&amp;$A176)+IF(AND(YEAR($A176)=YEAR(Settings!$B$3),MONTH($A176)=MONTH(Settings!$B$3)),Settings!$B$7,0))</f>
        <v/>
      </c>
      <c r="V176" s="70">
        <f>IF($A176="","",Settings!$B$8+SUM($B$5:B176))</f>
        <v/>
      </c>
      <c r="W176" s="71">
        <f>IF($A176="","",Settings!$B$9+SUM($J$5:J176))</f>
        <v/>
      </c>
      <c r="X176" s="71">
        <f>IF($A176="","",IF(AND(N176&gt;0,F176&gt;0),ROUND(F176/N176,0),X175))</f>
        <v/>
      </c>
      <c r="Y176" s="74">
        <f>IF($A176="","",IF(AND(M176&gt;0,L176&gt;0),ROUND(L176/M176,0),IF(AND(J176&gt;0,B176&gt;0),ROUND(B176/J176,0),Y175)))</f>
        <v/>
      </c>
    </row>
    <row r="177">
      <c r="A177" s="67" t="n"/>
      <c r="B177" s="68" t="n"/>
      <c r="C177" s="69" t="n"/>
      <c r="D177" s="68" t="n"/>
      <c r="E177" s="69" t="n"/>
      <c r="F177" s="68" t="n"/>
      <c r="G177" s="69" t="n"/>
      <c r="H177" s="68" t="n"/>
      <c r="I177" s="70">
        <f>IF($A177="","",R176)</f>
        <v/>
      </c>
      <c r="J177" s="71">
        <f>IF($A177="","",IF(C177="",0,C177))</f>
        <v/>
      </c>
      <c r="K177" s="71">
        <f>IF($A177="","",IF(E177="",0,E177))</f>
        <v/>
      </c>
      <c r="L177" s="70">
        <f>IF($A177="","",B177-D177)</f>
        <v/>
      </c>
      <c r="M177" s="71">
        <f>IF($A177="","",J177-K177)</f>
        <v/>
      </c>
      <c r="N177" s="71">
        <f>IF($A177="","",IF(G177="",0,G177))</f>
        <v/>
      </c>
      <c r="O177" s="70">
        <f>IF($A177="","",D177+F177)</f>
        <v/>
      </c>
      <c r="P177" s="71">
        <f>IF($A177="","",K177+N177)</f>
        <v/>
      </c>
      <c r="Q177" s="70">
        <f>IF($A177="","",I177+L177-F177)</f>
        <v/>
      </c>
      <c r="R177" s="72">
        <f>IF($A177="","",IF(H177="",Q177,H177))</f>
        <v/>
      </c>
      <c r="S177" s="73">
        <f>IF($A177="","",R177-Q177)</f>
        <v/>
      </c>
      <c r="T177" s="70">
        <f>IF($A177="","",SUMIFS($B$5:$B$800,$A$5:$A$800,"&gt;="&amp;DATE(YEAR($A177),MONTH($A177),1),$A$5:$A$800,"&lt;="&amp;$A177)+IF(AND(YEAR($A177)=YEAR(Settings!$B$3),MONTH($A177)=MONTH(Settings!$B$3)),Settings!$B$6,0))</f>
        <v/>
      </c>
      <c r="U177" s="71">
        <f>IF($A177="","",SUMIFS($J$5:$J$800,$A$5:$A$800,"&gt;="&amp;DATE(YEAR($A177),MONTH($A177),1),$A$5:$A$800,"&lt;="&amp;$A177)+IF(AND(YEAR($A177)=YEAR(Settings!$B$3),MONTH($A177)=MONTH(Settings!$B$3)),Settings!$B$7,0))</f>
        <v/>
      </c>
      <c r="V177" s="70">
        <f>IF($A177="","",Settings!$B$8+SUM($B$5:B177))</f>
        <v/>
      </c>
      <c r="W177" s="71">
        <f>IF($A177="","",Settings!$B$9+SUM($J$5:J177))</f>
        <v/>
      </c>
      <c r="X177" s="71">
        <f>IF($A177="","",IF(AND(N177&gt;0,F177&gt;0),ROUND(F177/N177,0),X176))</f>
        <v/>
      </c>
      <c r="Y177" s="74">
        <f>IF($A177="","",IF(AND(M177&gt;0,L177&gt;0),ROUND(L177/M177,0),IF(AND(J177&gt;0,B177&gt;0),ROUND(B177/J177,0),Y176)))</f>
        <v/>
      </c>
    </row>
    <row r="178">
      <c r="A178" s="67" t="n"/>
      <c r="B178" s="68" t="n"/>
      <c r="C178" s="69" t="n"/>
      <c r="D178" s="68" t="n"/>
      <c r="E178" s="69" t="n"/>
      <c r="F178" s="68" t="n"/>
      <c r="G178" s="69" t="n"/>
      <c r="H178" s="68" t="n"/>
      <c r="I178" s="70">
        <f>IF($A178="","",R177)</f>
        <v/>
      </c>
      <c r="J178" s="71">
        <f>IF($A178="","",IF(C178="",0,C178))</f>
        <v/>
      </c>
      <c r="K178" s="71">
        <f>IF($A178="","",IF(E178="",0,E178))</f>
        <v/>
      </c>
      <c r="L178" s="70">
        <f>IF($A178="","",B178-D178)</f>
        <v/>
      </c>
      <c r="M178" s="71">
        <f>IF($A178="","",J178-K178)</f>
        <v/>
      </c>
      <c r="N178" s="71">
        <f>IF($A178="","",IF(G178="",0,G178))</f>
        <v/>
      </c>
      <c r="O178" s="70">
        <f>IF($A178="","",D178+F178)</f>
        <v/>
      </c>
      <c r="P178" s="71">
        <f>IF($A178="","",K178+N178)</f>
        <v/>
      </c>
      <c r="Q178" s="70">
        <f>IF($A178="","",I178+L178-F178)</f>
        <v/>
      </c>
      <c r="R178" s="72">
        <f>IF($A178="","",IF(H178="",Q178,H178))</f>
        <v/>
      </c>
      <c r="S178" s="73">
        <f>IF($A178="","",R178-Q178)</f>
        <v/>
      </c>
      <c r="T178" s="70">
        <f>IF($A178="","",SUMIFS($B$5:$B$800,$A$5:$A$800,"&gt;="&amp;DATE(YEAR($A178),MONTH($A178),1),$A$5:$A$800,"&lt;="&amp;$A178)+IF(AND(YEAR($A178)=YEAR(Settings!$B$3),MONTH($A178)=MONTH(Settings!$B$3)),Settings!$B$6,0))</f>
        <v/>
      </c>
      <c r="U178" s="71">
        <f>IF($A178="","",SUMIFS($J$5:$J$800,$A$5:$A$800,"&gt;="&amp;DATE(YEAR($A178),MONTH($A178),1),$A$5:$A$800,"&lt;="&amp;$A178)+IF(AND(YEAR($A178)=YEAR(Settings!$B$3),MONTH($A178)=MONTH(Settings!$B$3)),Settings!$B$7,0))</f>
        <v/>
      </c>
      <c r="V178" s="70">
        <f>IF($A178="","",Settings!$B$8+SUM($B$5:B178))</f>
        <v/>
      </c>
      <c r="W178" s="71">
        <f>IF($A178="","",Settings!$B$9+SUM($J$5:J178))</f>
        <v/>
      </c>
      <c r="X178" s="71">
        <f>IF($A178="","",IF(AND(N178&gt;0,F178&gt;0),ROUND(F178/N178,0),X177))</f>
        <v/>
      </c>
      <c r="Y178" s="74">
        <f>IF($A178="","",IF(AND(M178&gt;0,L178&gt;0),ROUND(L178/M178,0),IF(AND(J178&gt;0,B178&gt;0),ROUND(B178/J178,0),Y177)))</f>
        <v/>
      </c>
    </row>
    <row r="179">
      <c r="A179" s="67" t="n"/>
      <c r="B179" s="68" t="n"/>
      <c r="C179" s="69" t="n"/>
      <c r="D179" s="68" t="n"/>
      <c r="E179" s="69" t="n"/>
      <c r="F179" s="68" t="n"/>
      <c r="G179" s="69" t="n"/>
      <c r="H179" s="68" t="n"/>
      <c r="I179" s="70">
        <f>IF($A179="","",R178)</f>
        <v/>
      </c>
      <c r="J179" s="71">
        <f>IF($A179="","",IF(C179="",0,C179))</f>
        <v/>
      </c>
      <c r="K179" s="71">
        <f>IF($A179="","",IF(E179="",0,E179))</f>
        <v/>
      </c>
      <c r="L179" s="70">
        <f>IF($A179="","",B179-D179)</f>
        <v/>
      </c>
      <c r="M179" s="71">
        <f>IF($A179="","",J179-K179)</f>
        <v/>
      </c>
      <c r="N179" s="71">
        <f>IF($A179="","",IF(G179="",0,G179))</f>
        <v/>
      </c>
      <c r="O179" s="70">
        <f>IF($A179="","",D179+F179)</f>
        <v/>
      </c>
      <c r="P179" s="71">
        <f>IF($A179="","",K179+N179)</f>
        <v/>
      </c>
      <c r="Q179" s="70">
        <f>IF($A179="","",I179+L179-F179)</f>
        <v/>
      </c>
      <c r="R179" s="72">
        <f>IF($A179="","",IF(H179="",Q179,H179))</f>
        <v/>
      </c>
      <c r="S179" s="73">
        <f>IF($A179="","",R179-Q179)</f>
        <v/>
      </c>
      <c r="T179" s="70">
        <f>IF($A179="","",SUMIFS($B$5:$B$800,$A$5:$A$800,"&gt;="&amp;DATE(YEAR($A179),MONTH($A179),1),$A$5:$A$800,"&lt;="&amp;$A179)+IF(AND(YEAR($A179)=YEAR(Settings!$B$3),MONTH($A179)=MONTH(Settings!$B$3)),Settings!$B$6,0))</f>
        <v/>
      </c>
      <c r="U179" s="71">
        <f>IF($A179="","",SUMIFS($J$5:$J$800,$A$5:$A$800,"&gt;="&amp;DATE(YEAR($A179),MONTH($A179),1),$A$5:$A$800,"&lt;="&amp;$A179)+IF(AND(YEAR($A179)=YEAR(Settings!$B$3),MONTH($A179)=MONTH(Settings!$B$3)),Settings!$B$7,0))</f>
        <v/>
      </c>
      <c r="V179" s="70">
        <f>IF($A179="","",Settings!$B$8+SUM($B$5:B179))</f>
        <v/>
      </c>
      <c r="W179" s="71">
        <f>IF($A179="","",Settings!$B$9+SUM($J$5:J179))</f>
        <v/>
      </c>
      <c r="X179" s="71">
        <f>IF($A179="","",IF(AND(N179&gt;0,F179&gt;0),ROUND(F179/N179,0),X178))</f>
        <v/>
      </c>
      <c r="Y179" s="74">
        <f>IF($A179="","",IF(AND(M179&gt;0,L179&gt;0),ROUND(L179/M179,0),IF(AND(J179&gt;0,B179&gt;0),ROUND(B179/J179,0),Y178)))</f>
        <v/>
      </c>
    </row>
    <row r="180">
      <c r="A180" s="67" t="n"/>
      <c r="B180" s="68" t="n"/>
      <c r="C180" s="69" t="n"/>
      <c r="D180" s="68" t="n"/>
      <c r="E180" s="69" t="n"/>
      <c r="F180" s="68" t="n"/>
      <c r="G180" s="69" t="n"/>
      <c r="H180" s="68" t="n"/>
      <c r="I180" s="70">
        <f>IF($A180="","",R179)</f>
        <v/>
      </c>
      <c r="J180" s="71">
        <f>IF($A180="","",IF(C180="",0,C180))</f>
        <v/>
      </c>
      <c r="K180" s="71">
        <f>IF($A180="","",IF(E180="",0,E180))</f>
        <v/>
      </c>
      <c r="L180" s="70">
        <f>IF($A180="","",B180-D180)</f>
        <v/>
      </c>
      <c r="M180" s="71">
        <f>IF($A180="","",J180-K180)</f>
        <v/>
      </c>
      <c r="N180" s="71">
        <f>IF($A180="","",IF(G180="",0,G180))</f>
        <v/>
      </c>
      <c r="O180" s="70">
        <f>IF($A180="","",D180+F180)</f>
        <v/>
      </c>
      <c r="P180" s="71">
        <f>IF($A180="","",K180+N180)</f>
        <v/>
      </c>
      <c r="Q180" s="70">
        <f>IF($A180="","",I180+L180-F180)</f>
        <v/>
      </c>
      <c r="R180" s="72">
        <f>IF($A180="","",IF(H180="",Q180,H180))</f>
        <v/>
      </c>
      <c r="S180" s="73">
        <f>IF($A180="","",R180-Q180)</f>
        <v/>
      </c>
      <c r="T180" s="70">
        <f>IF($A180="","",SUMIFS($B$5:$B$800,$A$5:$A$800,"&gt;="&amp;DATE(YEAR($A180),MONTH($A180),1),$A$5:$A$800,"&lt;="&amp;$A180)+IF(AND(YEAR($A180)=YEAR(Settings!$B$3),MONTH($A180)=MONTH(Settings!$B$3)),Settings!$B$6,0))</f>
        <v/>
      </c>
      <c r="U180" s="71">
        <f>IF($A180="","",SUMIFS($J$5:$J$800,$A$5:$A$800,"&gt;="&amp;DATE(YEAR($A180),MONTH($A180),1),$A$5:$A$800,"&lt;="&amp;$A180)+IF(AND(YEAR($A180)=YEAR(Settings!$B$3),MONTH($A180)=MONTH(Settings!$B$3)),Settings!$B$7,0))</f>
        <v/>
      </c>
      <c r="V180" s="70">
        <f>IF($A180="","",Settings!$B$8+SUM($B$5:B180))</f>
        <v/>
      </c>
      <c r="W180" s="71">
        <f>IF($A180="","",Settings!$B$9+SUM($J$5:J180))</f>
        <v/>
      </c>
      <c r="X180" s="71">
        <f>IF($A180="","",IF(AND(N180&gt;0,F180&gt;0),ROUND(F180/N180,0),X179))</f>
        <v/>
      </c>
      <c r="Y180" s="74">
        <f>IF($A180="","",IF(AND(M180&gt;0,L180&gt;0),ROUND(L180/M180,0),IF(AND(J180&gt;0,B180&gt;0),ROUND(B180/J180,0),Y179)))</f>
        <v/>
      </c>
    </row>
    <row r="181">
      <c r="A181" s="67" t="n"/>
      <c r="B181" s="68" t="n"/>
      <c r="C181" s="69" t="n"/>
      <c r="D181" s="68" t="n"/>
      <c r="E181" s="69" t="n"/>
      <c r="F181" s="68" t="n"/>
      <c r="G181" s="69" t="n"/>
      <c r="H181" s="68" t="n"/>
      <c r="I181" s="70">
        <f>IF($A181="","",R180)</f>
        <v/>
      </c>
      <c r="J181" s="71">
        <f>IF($A181="","",IF(C181="",0,C181))</f>
        <v/>
      </c>
      <c r="K181" s="71">
        <f>IF($A181="","",IF(E181="",0,E181))</f>
        <v/>
      </c>
      <c r="L181" s="70">
        <f>IF($A181="","",B181-D181)</f>
        <v/>
      </c>
      <c r="M181" s="71">
        <f>IF($A181="","",J181-K181)</f>
        <v/>
      </c>
      <c r="N181" s="71">
        <f>IF($A181="","",IF(G181="",0,G181))</f>
        <v/>
      </c>
      <c r="O181" s="70">
        <f>IF($A181="","",D181+F181)</f>
        <v/>
      </c>
      <c r="P181" s="71">
        <f>IF($A181="","",K181+N181)</f>
        <v/>
      </c>
      <c r="Q181" s="70">
        <f>IF($A181="","",I181+L181-F181)</f>
        <v/>
      </c>
      <c r="R181" s="72">
        <f>IF($A181="","",IF(H181="",Q181,H181))</f>
        <v/>
      </c>
      <c r="S181" s="73">
        <f>IF($A181="","",R181-Q181)</f>
        <v/>
      </c>
      <c r="T181" s="70">
        <f>IF($A181="","",SUMIFS($B$5:$B$800,$A$5:$A$800,"&gt;="&amp;DATE(YEAR($A181),MONTH($A181),1),$A$5:$A$800,"&lt;="&amp;$A181)+IF(AND(YEAR($A181)=YEAR(Settings!$B$3),MONTH($A181)=MONTH(Settings!$B$3)),Settings!$B$6,0))</f>
        <v/>
      </c>
      <c r="U181" s="71">
        <f>IF($A181="","",SUMIFS($J$5:$J$800,$A$5:$A$800,"&gt;="&amp;DATE(YEAR($A181),MONTH($A181),1),$A$5:$A$800,"&lt;="&amp;$A181)+IF(AND(YEAR($A181)=YEAR(Settings!$B$3),MONTH($A181)=MONTH(Settings!$B$3)),Settings!$B$7,0))</f>
        <v/>
      </c>
      <c r="V181" s="70">
        <f>IF($A181="","",Settings!$B$8+SUM($B$5:B181))</f>
        <v/>
      </c>
      <c r="W181" s="71">
        <f>IF($A181="","",Settings!$B$9+SUM($J$5:J181))</f>
        <v/>
      </c>
      <c r="X181" s="71">
        <f>IF($A181="","",IF(AND(N181&gt;0,F181&gt;0),ROUND(F181/N181,0),X180))</f>
        <v/>
      </c>
      <c r="Y181" s="74">
        <f>IF($A181="","",IF(AND(M181&gt;0,L181&gt;0),ROUND(L181/M181,0),IF(AND(J181&gt;0,B181&gt;0),ROUND(B181/J181,0),Y180)))</f>
        <v/>
      </c>
    </row>
    <row r="182">
      <c r="A182" s="67" t="n"/>
      <c r="B182" s="68" t="n"/>
      <c r="C182" s="69" t="n"/>
      <c r="D182" s="68" t="n"/>
      <c r="E182" s="69" t="n"/>
      <c r="F182" s="68" t="n"/>
      <c r="G182" s="69" t="n"/>
      <c r="H182" s="68" t="n"/>
      <c r="I182" s="70">
        <f>IF($A182="","",R181)</f>
        <v/>
      </c>
      <c r="J182" s="71">
        <f>IF($A182="","",IF(C182="",0,C182))</f>
        <v/>
      </c>
      <c r="K182" s="71">
        <f>IF($A182="","",IF(E182="",0,E182))</f>
        <v/>
      </c>
      <c r="L182" s="70">
        <f>IF($A182="","",B182-D182)</f>
        <v/>
      </c>
      <c r="M182" s="71">
        <f>IF($A182="","",J182-K182)</f>
        <v/>
      </c>
      <c r="N182" s="71">
        <f>IF($A182="","",IF(G182="",0,G182))</f>
        <v/>
      </c>
      <c r="O182" s="70">
        <f>IF($A182="","",D182+F182)</f>
        <v/>
      </c>
      <c r="P182" s="71">
        <f>IF($A182="","",K182+N182)</f>
        <v/>
      </c>
      <c r="Q182" s="70">
        <f>IF($A182="","",I182+L182-F182)</f>
        <v/>
      </c>
      <c r="R182" s="72">
        <f>IF($A182="","",IF(H182="",Q182,H182))</f>
        <v/>
      </c>
      <c r="S182" s="73">
        <f>IF($A182="","",R182-Q182)</f>
        <v/>
      </c>
      <c r="T182" s="70">
        <f>IF($A182="","",SUMIFS($B$5:$B$800,$A$5:$A$800,"&gt;="&amp;DATE(YEAR($A182),MONTH($A182),1),$A$5:$A$800,"&lt;="&amp;$A182)+IF(AND(YEAR($A182)=YEAR(Settings!$B$3),MONTH($A182)=MONTH(Settings!$B$3)),Settings!$B$6,0))</f>
        <v/>
      </c>
      <c r="U182" s="71">
        <f>IF($A182="","",SUMIFS($J$5:$J$800,$A$5:$A$800,"&gt;="&amp;DATE(YEAR($A182),MONTH($A182),1),$A$5:$A$800,"&lt;="&amp;$A182)+IF(AND(YEAR($A182)=YEAR(Settings!$B$3),MONTH($A182)=MONTH(Settings!$B$3)),Settings!$B$7,0))</f>
        <v/>
      </c>
      <c r="V182" s="70">
        <f>IF($A182="","",Settings!$B$8+SUM($B$5:B182))</f>
        <v/>
      </c>
      <c r="W182" s="71">
        <f>IF($A182="","",Settings!$B$9+SUM($J$5:J182))</f>
        <v/>
      </c>
      <c r="X182" s="71">
        <f>IF($A182="","",IF(AND(N182&gt;0,F182&gt;0),ROUND(F182/N182,0),X181))</f>
        <v/>
      </c>
      <c r="Y182" s="74">
        <f>IF($A182="","",IF(AND(M182&gt;0,L182&gt;0),ROUND(L182/M182,0),IF(AND(J182&gt;0,B182&gt;0),ROUND(B182/J182,0),Y181)))</f>
        <v/>
      </c>
    </row>
    <row r="183">
      <c r="A183" s="67" t="n"/>
      <c r="B183" s="68" t="n"/>
      <c r="C183" s="69" t="n"/>
      <c r="D183" s="68" t="n"/>
      <c r="E183" s="69" t="n"/>
      <c r="F183" s="68" t="n"/>
      <c r="G183" s="69" t="n"/>
      <c r="H183" s="68" t="n"/>
      <c r="I183" s="70">
        <f>IF($A183="","",R182)</f>
        <v/>
      </c>
      <c r="J183" s="71">
        <f>IF($A183="","",IF(C183="",0,C183))</f>
        <v/>
      </c>
      <c r="K183" s="71">
        <f>IF($A183="","",IF(E183="",0,E183))</f>
        <v/>
      </c>
      <c r="L183" s="70">
        <f>IF($A183="","",B183-D183)</f>
        <v/>
      </c>
      <c r="M183" s="71">
        <f>IF($A183="","",J183-K183)</f>
        <v/>
      </c>
      <c r="N183" s="71">
        <f>IF($A183="","",IF(G183="",0,G183))</f>
        <v/>
      </c>
      <c r="O183" s="70">
        <f>IF($A183="","",D183+F183)</f>
        <v/>
      </c>
      <c r="P183" s="71">
        <f>IF($A183="","",K183+N183)</f>
        <v/>
      </c>
      <c r="Q183" s="70">
        <f>IF($A183="","",I183+L183-F183)</f>
        <v/>
      </c>
      <c r="R183" s="72">
        <f>IF($A183="","",IF(H183="",Q183,H183))</f>
        <v/>
      </c>
      <c r="S183" s="73">
        <f>IF($A183="","",R183-Q183)</f>
        <v/>
      </c>
      <c r="T183" s="70">
        <f>IF($A183="","",SUMIFS($B$5:$B$800,$A$5:$A$800,"&gt;="&amp;DATE(YEAR($A183),MONTH($A183),1),$A$5:$A$800,"&lt;="&amp;$A183)+IF(AND(YEAR($A183)=YEAR(Settings!$B$3),MONTH($A183)=MONTH(Settings!$B$3)),Settings!$B$6,0))</f>
        <v/>
      </c>
      <c r="U183" s="71">
        <f>IF($A183="","",SUMIFS($J$5:$J$800,$A$5:$A$800,"&gt;="&amp;DATE(YEAR($A183),MONTH($A183),1),$A$5:$A$800,"&lt;="&amp;$A183)+IF(AND(YEAR($A183)=YEAR(Settings!$B$3),MONTH($A183)=MONTH(Settings!$B$3)),Settings!$B$7,0))</f>
        <v/>
      </c>
      <c r="V183" s="70">
        <f>IF($A183="","",Settings!$B$8+SUM($B$5:B183))</f>
        <v/>
      </c>
      <c r="W183" s="71">
        <f>IF($A183="","",Settings!$B$9+SUM($J$5:J183))</f>
        <v/>
      </c>
      <c r="X183" s="71">
        <f>IF($A183="","",IF(AND(N183&gt;0,F183&gt;0),ROUND(F183/N183,0),X182))</f>
        <v/>
      </c>
      <c r="Y183" s="74">
        <f>IF($A183="","",IF(AND(M183&gt;0,L183&gt;0),ROUND(L183/M183,0),IF(AND(J183&gt;0,B183&gt;0),ROUND(B183/J183,0),Y182)))</f>
        <v/>
      </c>
    </row>
    <row r="184">
      <c r="A184" s="67" t="n"/>
      <c r="B184" s="68" t="n"/>
      <c r="C184" s="69" t="n"/>
      <c r="D184" s="68" t="n"/>
      <c r="E184" s="69" t="n"/>
      <c r="F184" s="68" t="n"/>
      <c r="G184" s="69" t="n"/>
      <c r="H184" s="68" t="n"/>
      <c r="I184" s="70">
        <f>IF($A184="","",R183)</f>
        <v/>
      </c>
      <c r="J184" s="71">
        <f>IF($A184="","",IF(C184="",0,C184))</f>
        <v/>
      </c>
      <c r="K184" s="71">
        <f>IF($A184="","",IF(E184="",0,E184))</f>
        <v/>
      </c>
      <c r="L184" s="70">
        <f>IF($A184="","",B184-D184)</f>
        <v/>
      </c>
      <c r="M184" s="71">
        <f>IF($A184="","",J184-K184)</f>
        <v/>
      </c>
      <c r="N184" s="71">
        <f>IF($A184="","",IF(G184="",0,G184))</f>
        <v/>
      </c>
      <c r="O184" s="70">
        <f>IF($A184="","",D184+F184)</f>
        <v/>
      </c>
      <c r="P184" s="71">
        <f>IF($A184="","",K184+N184)</f>
        <v/>
      </c>
      <c r="Q184" s="70">
        <f>IF($A184="","",I184+L184-F184)</f>
        <v/>
      </c>
      <c r="R184" s="72">
        <f>IF($A184="","",IF(H184="",Q184,H184))</f>
        <v/>
      </c>
      <c r="S184" s="73">
        <f>IF($A184="","",R184-Q184)</f>
        <v/>
      </c>
      <c r="T184" s="70">
        <f>IF($A184="","",SUMIFS($B$5:$B$800,$A$5:$A$800,"&gt;="&amp;DATE(YEAR($A184),MONTH($A184),1),$A$5:$A$800,"&lt;="&amp;$A184)+IF(AND(YEAR($A184)=YEAR(Settings!$B$3),MONTH($A184)=MONTH(Settings!$B$3)),Settings!$B$6,0))</f>
        <v/>
      </c>
      <c r="U184" s="71">
        <f>IF($A184="","",SUMIFS($J$5:$J$800,$A$5:$A$800,"&gt;="&amp;DATE(YEAR($A184),MONTH($A184),1),$A$5:$A$800,"&lt;="&amp;$A184)+IF(AND(YEAR($A184)=YEAR(Settings!$B$3),MONTH($A184)=MONTH(Settings!$B$3)),Settings!$B$7,0))</f>
        <v/>
      </c>
      <c r="V184" s="70">
        <f>IF($A184="","",Settings!$B$8+SUM($B$5:B184))</f>
        <v/>
      </c>
      <c r="W184" s="71">
        <f>IF($A184="","",Settings!$B$9+SUM($J$5:J184))</f>
        <v/>
      </c>
      <c r="X184" s="71">
        <f>IF($A184="","",IF(AND(N184&gt;0,F184&gt;0),ROUND(F184/N184,0),X183))</f>
        <v/>
      </c>
      <c r="Y184" s="74">
        <f>IF($A184="","",IF(AND(M184&gt;0,L184&gt;0),ROUND(L184/M184,0),IF(AND(J184&gt;0,B184&gt;0),ROUND(B184/J184,0),Y183)))</f>
        <v/>
      </c>
    </row>
    <row r="185">
      <c r="A185" s="67" t="n"/>
      <c r="B185" s="68" t="n"/>
      <c r="C185" s="69" t="n"/>
      <c r="D185" s="68" t="n"/>
      <c r="E185" s="69" t="n"/>
      <c r="F185" s="68" t="n"/>
      <c r="G185" s="69" t="n"/>
      <c r="H185" s="68" t="n"/>
      <c r="I185" s="70">
        <f>IF($A185="","",R184)</f>
        <v/>
      </c>
      <c r="J185" s="71">
        <f>IF($A185="","",IF(C185="",0,C185))</f>
        <v/>
      </c>
      <c r="K185" s="71">
        <f>IF($A185="","",IF(E185="",0,E185))</f>
        <v/>
      </c>
      <c r="L185" s="70">
        <f>IF($A185="","",B185-D185)</f>
        <v/>
      </c>
      <c r="M185" s="71">
        <f>IF($A185="","",J185-K185)</f>
        <v/>
      </c>
      <c r="N185" s="71">
        <f>IF($A185="","",IF(G185="",0,G185))</f>
        <v/>
      </c>
      <c r="O185" s="70">
        <f>IF($A185="","",D185+F185)</f>
        <v/>
      </c>
      <c r="P185" s="71">
        <f>IF($A185="","",K185+N185)</f>
        <v/>
      </c>
      <c r="Q185" s="70">
        <f>IF($A185="","",I185+L185-F185)</f>
        <v/>
      </c>
      <c r="R185" s="72">
        <f>IF($A185="","",IF(H185="",Q185,H185))</f>
        <v/>
      </c>
      <c r="S185" s="73">
        <f>IF($A185="","",R185-Q185)</f>
        <v/>
      </c>
      <c r="T185" s="70">
        <f>IF($A185="","",SUMIFS($B$5:$B$800,$A$5:$A$800,"&gt;="&amp;DATE(YEAR($A185),MONTH($A185),1),$A$5:$A$800,"&lt;="&amp;$A185)+IF(AND(YEAR($A185)=YEAR(Settings!$B$3),MONTH($A185)=MONTH(Settings!$B$3)),Settings!$B$6,0))</f>
        <v/>
      </c>
      <c r="U185" s="71">
        <f>IF($A185="","",SUMIFS($J$5:$J$800,$A$5:$A$800,"&gt;="&amp;DATE(YEAR($A185),MONTH($A185),1),$A$5:$A$800,"&lt;="&amp;$A185)+IF(AND(YEAR($A185)=YEAR(Settings!$B$3),MONTH($A185)=MONTH(Settings!$B$3)),Settings!$B$7,0))</f>
        <v/>
      </c>
      <c r="V185" s="70">
        <f>IF($A185="","",Settings!$B$8+SUM($B$5:B185))</f>
        <v/>
      </c>
      <c r="W185" s="71">
        <f>IF($A185="","",Settings!$B$9+SUM($J$5:J185))</f>
        <v/>
      </c>
      <c r="X185" s="71">
        <f>IF($A185="","",IF(AND(N185&gt;0,F185&gt;0),ROUND(F185/N185,0),X184))</f>
        <v/>
      </c>
      <c r="Y185" s="74">
        <f>IF($A185="","",IF(AND(M185&gt;0,L185&gt;0),ROUND(L185/M185,0),IF(AND(J185&gt;0,B185&gt;0),ROUND(B185/J185,0),Y184)))</f>
        <v/>
      </c>
    </row>
    <row r="186">
      <c r="A186" s="67" t="n"/>
      <c r="B186" s="68" t="n"/>
      <c r="C186" s="69" t="n"/>
      <c r="D186" s="68" t="n"/>
      <c r="E186" s="69" t="n"/>
      <c r="F186" s="68" t="n"/>
      <c r="G186" s="69" t="n"/>
      <c r="H186" s="68" t="n"/>
      <c r="I186" s="70">
        <f>IF($A186="","",R185)</f>
        <v/>
      </c>
      <c r="J186" s="71">
        <f>IF($A186="","",IF(C186="",0,C186))</f>
        <v/>
      </c>
      <c r="K186" s="71">
        <f>IF($A186="","",IF(E186="",0,E186))</f>
        <v/>
      </c>
      <c r="L186" s="70">
        <f>IF($A186="","",B186-D186)</f>
        <v/>
      </c>
      <c r="M186" s="71">
        <f>IF($A186="","",J186-K186)</f>
        <v/>
      </c>
      <c r="N186" s="71">
        <f>IF($A186="","",IF(G186="",0,G186))</f>
        <v/>
      </c>
      <c r="O186" s="70">
        <f>IF($A186="","",D186+F186)</f>
        <v/>
      </c>
      <c r="P186" s="71">
        <f>IF($A186="","",K186+N186)</f>
        <v/>
      </c>
      <c r="Q186" s="70">
        <f>IF($A186="","",I186+L186-F186)</f>
        <v/>
      </c>
      <c r="R186" s="72">
        <f>IF($A186="","",IF(H186="",Q186,H186))</f>
        <v/>
      </c>
      <c r="S186" s="73">
        <f>IF($A186="","",R186-Q186)</f>
        <v/>
      </c>
      <c r="T186" s="70">
        <f>IF($A186="","",SUMIFS($B$5:$B$800,$A$5:$A$800,"&gt;="&amp;DATE(YEAR($A186),MONTH($A186),1),$A$5:$A$800,"&lt;="&amp;$A186)+IF(AND(YEAR($A186)=YEAR(Settings!$B$3),MONTH($A186)=MONTH(Settings!$B$3)),Settings!$B$6,0))</f>
        <v/>
      </c>
      <c r="U186" s="71">
        <f>IF($A186="","",SUMIFS($J$5:$J$800,$A$5:$A$800,"&gt;="&amp;DATE(YEAR($A186),MONTH($A186),1),$A$5:$A$800,"&lt;="&amp;$A186)+IF(AND(YEAR($A186)=YEAR(Settings!$B$3),MONTH($A186)=MONTH(Settings!$B$3)),Settings!$B$7,0))</f>
        <v/>
      </c>
      <c r="V186" s="70">
        <f>IF($A186="","",Settings!$B$8+SUM($B$5:B186))</f>
        <v/>
      </c>
      <c r="W186" s="71">
        <f>IF($A186="","",Settings!$B$9+SUM($J$5:J186))</f>
        <v/>
      </c>
      <c r="X186" s="71">
        <f>IF($A186="","",IF(AND(N186&gt;0,F186&gt;0),ROUND(F186/N186,0),X185))</f>
        <v/>
      </c>
      <c r="Y186" s="74">
        <f>IF($A186="","",IF(AND(M186&gt;0,L186&gt;0),ROUND(L186/M186,0),IF(AND(J186&gt;0,B186&gt;0),ROUND(B186/J186,0),Y185)))</f>
        <v/>
      </c>
    </row>
    <row r="187">
      <c r="A187" s="67" t="n"/>
      <c r="B187" s="68" t="n"/>
      <c r="C187" s="69" t="n"/>
      <c r="D187" s="68" t="n"/>
      <c r="E187" s="69" t="n"/>
      <c r="F187" s="68" t="n"/>
      <c r="G187" s="69" t="n"/>
      <c r="H187" s="68" t="n"/>
      <c r="I187" s="70">
        <f>IF($A187="","",R186)</f>
        <v/>
      </c>
      <c r="J187" s="71">
        <f>IF($A187="","",IF(C187="",0,C187))</f>
        <v/>
      </c>
      <c r="K187" s="71">
        <f>IF($A187="","",IF(E187="",0,E187))</f>
        <v/>
      </c>
      <c r="L187" s="70">
        <f>IF($A187="","",B187-D187)</f>
        <v/>
      </c>
      <c r="M187" s="71">
        <f>IF($A187="","",J187-K187)</f>
        <v/>
      </c>
      <c r="N187" s="71">
        <f>IF($A187="","",IF(G187="",0,G187))</f>
        <v/>
      </c>
      <c r="O187" s="70">
        <f>IF($A187="","",D187+F187)</f>
        <v/>
      </c>
      <c r="P187" s="71">
        <f>IF($A187="","",K187+N187)</f>
        <v/>
      </c>
      <c r="Q187" s="70">
        <f>IF($A187="","",I187+L187-F187)</f>
        <v/>
      </c>
      <c r="R187" s="72">
        <f>IF($A187="","",IF(H187="",Q187,H187))</f>
        <v/>
      </c>
      <c r="S187" s="73">
        <f>IF($A187="","",R187-Q187)</f>
        <v/>
      </c>
      <c r="T187" s="70">
        <f>IF($A187="","",SUMIFS($B$5:$B$800,$A$5:$A$800,"&gt;="&amp;DATE(YEAR($A187),MONTH($A187),1),$A$5:$A$800,"&lt;="&amp;$A187)+IF(AND(YEAR($A187)=YEAR(Settings!$B$3),MONTH($A187)=MONTH(Settings!$B$3)),Settings!$B$6,0))</f>
        <v/>
      </c>
      <c r="U187" s="71">
        <f>IF($A187="","",SUMIFS($J$5:$J$800,$A$5:$A$800,"&gt;="&amp;DATE(YEAR($A187),MONTH($A187),1),$A$5:$A$800,"&lt;="&amp;$A187)+IF(AND(YEAR($A187)=YEAR(Settings!$B$3),MONTH($A187)=MONTH(Settings!$B$3)),Settings!$B$7,0))</f>
        <v/>
      </c>
      <c r="V187" s="70">
        <f>IF($A187="","",Settings!$B$8+SUM($B$5:B187))</f>
        <v/>
      </c>
      <c r="W187" s="71">
        <f>IF($A187="","",Settings!$B$9+SUM($J$5:J187))</f>
        <v/>
      </c>
      <c r="X187" s="71">
        <f>IF($A187="","",IF(AND(N187&gt;0,F187&gt;0),ROUND(F187/N187,0),X186))</f>
        <v/>
      </c>
      <c r="Y187" s="74">
        <f>IF($A187="","",IF(AND(M187&gt;0,L187&gt;0),ROUND(L187/M187,0),IF(AND(J187&gt;0,B187&gt;0),ROUND(B187/J187,0),Y186)))</f>
        <v/>
      </c>
    </row>
    <row r="188">
      <c r="A188" s="67" t="n"/>
      <c r="B188" s="68" t="n"/>
      <c r="C188" s="69" t="n"/>
      <c r="D188" s="68" t="n"/>
      <c r="E188" s="69" t="n"/>
      <c r="F188" s="68" t="n"/>
      <c r="G188" s="69" t="n"/>
      <c r="H188" s="68" t="n"/>
      <c r="I188" s="70">
        <f>IF($A188="","",R187)</f>
        <v/>
      </c>
      <c r="J188" s="71">
        <f>IF($A188="","",IF(C188="",0,C188))</f>
        <v/>
      </c>
      <c r="K188" s="71">
        <f>IF($A188="","",IF(E188="",0,E188))</f>
        <v/>
      </c>
      <c r="L188" s="70">
        <f>IF($A188="","",B188-D188)</f>
        <v/>
      </c>
      <c r="M188" s="71">
        <f>IF($A188="","",J188-K188)</f>
        <v/>
      </c>
      <c r="N188" s="71">
        <f>IF($A188="","",IF(G188="",0,G188))</f>
        <v/>
      </c>
      <c r="O188" s="70">
        <f>IF($A188="","",D188+F188)</f>
        <v/>
      </c>
      <c r="P188" s="71">
        <f>IF($A188="","",K188+N188)</f>
        <v/>
      </c>
      <c r="Q188" s="70">
        <f>IF($A188="","",I188+L188-F188)</f>
        <v/>
      </c>
      <c r="R188" s="72">
        <f>IF($A188="","",IF(H188="",Q188,H188))</f>
        <v/>
      </c>
      <c r="S188" s="73">
        <f>IF($A188="","",R188-Q188)</f>
        <v/>
      </c>
      <c r="T188" s="70">
        <f>IF($A188="","",SUMIFS($B$5:$B$800,$A$5:$A$800,"&gt;="&amp;DATE(YEAR($A188),MONTH($A188),1),$A$5:$A$800,"&lt;="&amp;$A188)+IF(AND(YEAR($A188)=YEAR(Settings!$B$3),MONTH($A188)=MONTH(Settings!$B$3)),Settings!$B$6,0))</f>
        <v/>
      </c>
      <c r="U188" s="71">
        <f>IF($A188="","",SUMIFS($J$5:$J$800,$A$5:$A$800,"&gt;="&amp;DATE(YEAR($A188),MONTH($A188),1),$A$5:$A$800,"&lt;="&amp;$A188)+IF(AND(YEAR($A188)=YEAR(Settings!$B$3),MONTH($A188)=MONTH(Settings!$B$3)),Settings!$B$7,0))</f>
        <v/>
      </c>
      <c r="V188" s="70">
        <f>IF($A188="","",Settings!$B$8+SUM($B$5:B188))</f>
        <v/>
      </c>
      <c r="W188" s="71">
        <f>IF($A188="","",Settings!$B$9+SUM($J$5:J188))</f>
        <v/>
      </c>
      <c r="X188" s="71">
        <f>IF($A188="","",IF(AND(N188&gt;0,F188&gt;0),ROUND(F188/N188,0),X187))</f>
        <v/>
      </c>
      <c r="Y188" s="74">
        <f>IF($A188="","",IF(AND(M188&gt;0,L188&gt;0),ROUND(L188/M188,0),IF(AND(J188&gt;0,B188&gt;0),ROUND(B188/J188,0),Y187)))</f>
        <v/>
      </c>
    </row>
    <row r="189">
      <c r="A189" s="67" t="n"/>
      <c r="B189" s="68" t="n"/>
      <c r="C189" s="69" t="n"/>
      <c r="D189" s="68" t="n"/>
      <c r="E189" s="69" t="n"/>
      <c r="F189" s="68" t="n"/>
      <c r="G189" s="69" t="n"/>
      <c r="H189" s="68" t="n"/>
      <c r="I189" s="70">
        <f>IF($A189="","",R188)</f>
        <v/>
      </c>
      <c r="J189" s="71">
        <f>IF($A189="","",IF(C189="",0,C189))</f>
        <v/>
      </c>
      <c r="K189" s="71">
        <f>IF($A189="","",IF(E189="",0,E189))</f>
        <v/>
      </c>
      <c r="L189" s="70">
        <f>IF($A189="","",B189-D189)</f>
        <v/>
      </c>
      <c r="M189" s="71">
        <f>IF($A189="","",J189-K189)</f>
        <v/>
      </c>
      <c r="N189" s="71">
        <f>IF($A189="","",IF(G189="",0,G189))</f>
        <v/>
      </c>
      <c r="O189" s="70">
        <f>IF($A189="","",D189+F189)</f>
        <v/>
      </c>
      <c r="P189" s="71">
        <f>IF($A189="","",K189+N189)</f>
        <v/>
      </c>
      <c r="Q189" s="70">
        <f>IF($A189="","",I189+L189-F189)</f>
        <v/>
      </c>
      <c r="R189" s="72">
        <f>IF($A189="","",IF(H189="",Q189,H189))</f>
        <v/>
      </c>
      <c r="S189" s="73">
        <f>IF($A189="","",R189-Q189)</f>
        <v/>
      </c>
      <c r="T189" s="70">
        <f>IF($A189="","",SUMIFS($B$5:$B$800,$A$5:$A$800,"&gt;="&amp;DATE(YEAR($A189),MONTH($A189),1),$A$5:$A$800,"&lt;="&amp;$A189)+IF(AND(YEAR($A189)=YEAR(Settings!$B$3),MONTH($A189)=MONTH(Settings!$B$3)),Settings!$B$6,0))</f>
        <v/>
      </c>
      <c r="U189" s="71">
        <f>IF($A189="","",SUMIFS($J$5:$J$800,$A$5:$A$800,"&gt;="&amp;DATE(YEAR($A189),MONTH($A189),1),$A$5:$A$800,"&lt;="&amp;$A189)+IF(AND(YEAR($A189)=YEAR(Settings!$B$3),MONTH($A189)=MONTH(Settings!$B$3)),Settings!$B$7,0))</f>
        <v/>
      </c>
      <c r="V189" s="70">
        <f>IF($A189="","",Settings!$B$8+SUM($B$5:B189))</f>
        <v/>
      </c>
      <c r="W189" s="71">
        <f>IF($A189="","",Settings!$B$9+SUM($J$5:J189))</f>
        <v/>
      </c>
      <c r="X189" s="71">
        <f>IF($A189="","",IF(AND(N189&gt;0,F189&gt;0),ROUND(F189/N189,0),X188))</f>
        <v/>
      </c>
      <c r="Y189" s="74">
        <f>IF($A189="","",IF(AND(M189&gt;0,L189&gt;0),ROUND(L189/M189,0),IF(AND(J189&gt;0,B189&gt;0),ROUND(B189/J189,0),Y188)))</f>
        <v/>
      </c>
    </row>
    <row r="190">
      <c r="A190" s="67" t="n"/>
      <c r="B190" s="68" t="n"/>
      <c r="C190" s="69" t="n"/>
      <c r="D190" s="68" t="n"/>
      <c r="E190" s="69" t="n"/>
      <c r="F190" s="68" t="n"/>
      <c r="G190" s="69" t="n"/>
      <c r="H190" s="68" t="n"/>
      <c r="I190" s="70">
        <f>IF($A190="","",R189)</f>
        <v/>
      </c>
      <c r="J190" s="71">
        <f>IF($A190="","",IF(C190="",0,C190))</f>
        <v/>
      </c>
      <c r="K190" s="71">
        <f>IF($A190="","",IF(E190="",0,E190))</f>
        <v/>
      </c>
      <c r="L190" s="70">
        <f>IF($A190="","",B190-D190)</f>
        <v/>
      </c>
      <c r="M190" s="71">
        <f>IF($A190="","",J190-K190)</f>
        <v/>
      </c>
      <c r="N190" s="71">
        <f>IF($A190="","",IF(G190="",0,G190))</f>
        <v/>
      </c>
      <c r="O190" s="70">
        <f>IF($A190="","",D190+F190)</f>
        <v/>
      </c>
      <c r="P190" s="71">
        <f>IF($A190="","",K190+N190)</f>
        <v/>
      </c>
      <c r="Q190" s="70">
        <f>IF($A190="","",I190+L190-F190)</f>
        <v/>
      </c>
      <c r="R190" s="72">
        <f>IF($A190="","",IF(H190="",Q190,H190))</f>
        <v/>
      </c>
      <c r="S190" s="73">
        <f>IF($A190="","",R190-Q190)</f>
        <v/>
      </c>
      <c r="T190" s="70">
        <f>IF($A190="","",SUMIFS($B$5:$B$800,$A$5:$A$800,"&gt;="&amp;DATE(YEAR($A190),MONTH($A190),1),$A$5:$A$800,"&lt;="&amp;$A190)+IF(AND(YEAR($A190)=YEAR(Settings!$B$3),MONTH($A190)=MONTH(Settings!$B$3)),Settings!$B$6,0))</f>
        <v/>
      </c>
      <c r="U190" s="71">
        <f>IF($A190="","",SUMIFS($J$5:$J$800,$A$5:$A$800,"&gt;="&amp;DATE(YEAR($A190),MONTH($A190),1),$A$5:$A$800,"&lt;="&amp;$A190)+IF(AND(YEAR($A190)=YEAR(Settings!$B$3),MONTH($A190)=MONTH(Settings!$B$3)),Settings!$B$7,0))</f>
        <v/>
      </c>
      <c r="V190" s="70">
        <f>IF($A190="","",Settings!$B$8+SUM($B$5:B190))</f>
        <v/>
      </c>
      <c r="W190" s="71">
        <f>IF($A190="","",Settings!$B$9+SUM($J$5:J190))</f>
        <v/>
      </c>
      <c r="X190" s="71">
        <f>IF($A190="","",IF(AND(N190&gt;0,F190&gt;0),ROUND(F190/N190,0),X189))</f>
        <v/>
      </c>
      <c r="Y190" s="74">
        <f>IF($A190="","",IF(AND(M190&gt;0,L190&gt;0),ROUND(L190/M190,0),IF(AND(J190&gt;0,B190&gt;0),ROUND(B190/J190,0),Y189)))</f>
        <v/>
      </c>
    </row>
    <row r="191">
      <c r="A191" s="67" t="n"/>
      <c r="B191" s="68" t="n"/>
      <c r="C191" s="69" t="n"/>
      <c r="D191" s="68" t="n"/>
      <c r="E191" s="69" t="n"/>
      <c r="F191" s="68" t="n"/>
      <c r="G191" s="69" t="n"/>
      <c r="H191" s="68" t="n"/>
      <c r="I191" s="70">
        <f>IF($A191="","",R190)</f>
        <v/>
      </c>
      <c r="J191" s="71">
        <f>IF($A191="","",IF(C191="",0,C191))</f>
        <v/>
      </c>
      <c r="K191" s="71">
        <f>IF($A191="","",IF(E191="",0,E191))</f>
        <v/>
      </c>
      <c r="L191" s="70">
        <f>IF($A191="","",B191-D191)</f>
        <v/>
      </c>
      <c r="M191" s="71">
        <f>IF($A191="","",J191-K191)</f>
        <v/>
      </c>
      <c r="N191" s="71">
        <f>IF($A191="","",IF(G191="",0,G191))</f>
        <v/>
      </c>
      <c r="O191" s="70">
        <f>IF($A191="","",D191+F191)</f>
        <v/>
      </c>
      <c r="P191" s="71">
        <f>IF($A191="","",K191+N191)</f>
        <v/>
      </c>
      <c r="Q191" s="70">
        <f>IF($A191="","",I191+L191-F191)</f>
        <v/>
      </c>
      <c r="R191" s="72">
        <f>IF($A191="","",IF(H191="",Q191,H191))</f>
        <v/>
      </c>
      <c r="S191" s="73">
        <f>IF($A191="","",R191-Q191)</f>
        <v/>
      </c>
      <c r="T191" s="70">
        <f>IF($A191="","",SUMIFS($B$5:$B$800,$A$5:$A$800,"&gt;="&amp;DATE(YEAR($A191),MONTH($A191),1),$A$5:$A$800,"&lt;="&amp;$A191)+IF(AND(YEAR($A191)=YEAR(Settings!$B$3),MONTH($A191)=MONTH(Settings!$B$3)),Settings!$B$6,0))</f>
        <v/>
      </c>
      <c r="U191" s="71">
        <f>IF($A191="","",SUMIFS($J$5:$J$800,$A$5:$A$800,"&gt;="&amp;DATE(YEAR($A191),MONTH($A191),1),$A$5:$A$800,"&lt;="&amp;$A191)+IF(AND(YEAR($A191)=YEAR(Settings!$B$3),MONTH($A191)=MONTH(Settings!$B$3)),Settings!$B$7,0))</f>
        <v/>
      </c>
      <c r="V191" s="70">
        <f>IF($A191="","",Settings!$B$8+SUM($B$5:B191))</f>
        <v/>
      </c>
      <c r="W191" s="71">
        <f>IF($A191="","",Settings!$B$9+SUM($J$5:J191))</f>
        <v/>
      </c>
      <c r="X191" s="71">
        <f>IF($A191="","",IF(AND(N191&gt;0,F191&gt;0),ROUND(F191/N191,0),X190))</f>
        <v/>
      </c>
      <c r="Y191" s="74">
        <f>IF($A191="","",IF(AND(M191&gt;0,L191&gt;0),ROUND(L191/M191,0),IF(AND(J191&gt;0,B191&gt;0),ROUND(B191/J191,0),Y190)))</f>
        <v/>
      </c>
    </row>
    <row r="192">
      <c r="A192" s="67" t="n"/>
      <c r="B192" s="68" t="n"/>
      <c r="C192" s="69" t="n"/>
      <c r="D192" s="68" t="n"/>
      <c r="E192" s="69" t="n"/>
      <c r="F192" s="68" t="n"/>
      <c r="G192" s="69" t="n"/>
      <c r="H192" s="68" t="n"/>
      <c r="I192" s="70">
        <f>IF($A192="","",R191)</f>
        <v/>
      </c>
      <c r="J192" s="71">
        <f>IF($A192="","",IF(C192="",0,C192))</f>
        <v/>
      </c>
      <c r="K192" s="71">
        <f>IF($A192="","",IF(E192="",0,E192))</f>
        <v/>
      </c>
      <c r="L192" s="70">
        <f>IF($A192="","",B192-D192)</f>
        <v/>
      </c>
      <c r="M192" s="71">
        <f>IF($A192="","",J192-K192)</f>
        <v/>
      </c>
      <c r="N192" s="71">
        <f>IF($A192="","",IF(G192="",0,G192))</f>
        <v/>
      </c>
      <c r="O192" s="70">
        <f>IF($A192="","",D192+F192)</f>
        <v/>
      </c>
      <c r="P192" s="71">
        <f>IF($A192="","",K192+N192)</f>
        <v/>
      </c>
      <c r="Q192" s="70">
        <f>IF($A192="","",I192+L192-F192)</f>
        <v/>
      </c>
      <c r="R192" s="72">
        <f>IF($A192="","",IF(H192="",Q192,H192))</f>
        <v/>
      </c>
      <c r="S192" s="73">
        <f>IF($A192="","",R192-Q192)</f>
        <v/>
      </c>
      <c r="T192" s="70">
        <f>IF($A192="","",SUMIFS($B$5:$B$800,$A$5:$A$800,"&gt;="&amp;DATE(YEAR($A192),MONTH($A192),1),$A$5:$A$800,"&lt;="&amp;$A192)+IF(AND(YEAR($A192)=YEAR(Settings!$B$3),MONTH($A192)=MONTH(Settings!$B$3)),Settings!$B$6,0))</f>
        <v/>
      </c>
      <c r="U192" s="71">
        <f>IF($A192="","",SUMIFS($J$5:$J$800,$A$5:$A$800,"&gt;="&amp;DATE(YEAR($A192),MONTH($A192),1),$A$5:$A$800,"&lt;="&amp;$A192)+IF(AND(YEAR($A192)=YEAR(Settings!$B$3),MONTH($A192)=MONTH(Settings!$B$3)),Settings!$B$7,0))</f>
        <v/>
      </c>
      <c r="V192" s="70">
        <f>IF($A192="","",Settings!$B$8+SUM($B$5:B192))</f>
        <v/>
      </c>
      <c r="W192" s="71">
        <f>IF($A192="","",Settings!$B$9+SUM($J$5:J192))</f>
        <v/>
      </c>
      <c r="X192" s="71">
        <f>IF($A192="","",IF(AND(N192&gt;0,F192&gt;0),ROUND(F192/N192,0),X191))</f>
        <v/>
      </c>
      <c r="Y192" s="74">
        <f>IF($A192="","",IF(AND(M192&gt;0,L192&gt;0),ROUND(L192/M192,0),IF(AND(J192&gt;0,B192&gt;0),ROUND(B192/J192,0),Y191)))</f>
        <v/>
      </c>
    </row>
    <row r="193">
      <c r="A193" s="67" t="n"/>
      <c r="B193" s="68" t="n"/>
      <c r="C193" s="69" t="n"/>
      <c r="D193" s="68" t="n"/>
      <c r="E193" s="69" t="n"/>
      <c r="F193" s="68" t="n"/>
      <c r="G193" s="69" t="n"/>
      <c r="H193" s="68" t="n"/>
      <c r="I193" s="70">
        <f>IF($A193="","",R192)</f>
        <v/>
      </c>
      <c r="J193" s="71">
        <f>IF($A193="","",IF(C193="",0,C193))</f>
        <v/>
      </c>
      <c r="K193" s="71">
        <f>IF($A193="","",IF(E193="",0,E193))</f>
        <v/>
      </c>
      <c r="L193" s="70">
        <f>IF($A193="","",B193-D193)</f>
        <v/>
      </c>
      <c r="M193" s="71">
        <f>IF($A193="","",J193-K193)</f>
        <v/>
      </c>
      <c r="N193" s="71">
        <f>IF($A193="","",IF(G193="",0,G193))</f>
        <v/>
      </c>
      <c r="O193" s="70">
        <f>IF($A193="","",D193+F193)</f>
        <v/>
      </c>
      <c r="P193" s="71">
        <f>IF($A193="","",K193+N193)</f>
        <v/>
      </c>
      <c r="Q193" s="70">
        <f>IF($A193="","",I193+L193-F193)</f>
        <v/>
      </c>
      <c r="R193" s="72">
        <f>IF($A193="","",IF(H193="",Q193,H193))</f>
        <v/>
      </c>
      <c r="S193" s="73">
        <f>IF($A193="","",R193-Q193)</f>
        <v/>
      </c>
      <c r="T193" s="70">
        <f>IF($A193="","",SUMIFS($B$5:$B$800,$A$5:$A$800,"&gt;="&amp;DATE(YEAR($A193),MONTH($A193),1),$A$5:$A$800,"&lt;="&amp;$A193)+IF(AND(YEAR($A193)=YEAR(Settings!$B$3),MONTH($A193)=MONTH(Settings!$B$3)),Settings!$B$6,0))</f>
        <v/>
      </c>
      <c r="U193" s="71">
        <f>IF($A193="","",SUMIFS($J$5:$J$800,$A$5:$A$800,"&gt;="&amp;DATE(YEAR($A193),MONTH($A193),1),$A$5:$A$800,"&lt;="&amp;$A193)+IF(AND(YEAR($A193)=YEAR(Settings!$B$3),MONTH($A193)=MONTH(Settings!$B$3)),Settings!$B$7,0))</f>
        <v/>
      </c>
      <c r="V193" s="70">
        <f>IF($A193="","",Settings!$B$8+SUM($B$5:B193))</f>
        <v/>
      </c>
      <c r="W193" s="71">
        <f>IF($A193="","",Settings!$B$9+SUM($J$5:J193))</f>
        <v/>
      </c>
      <c r="X193" s="71">
        <f>IF($A193="","",IF(AND(N193&gt;0,F193&gt;0),ROUND(F193/N193,0),X192))</f>
        <v/>
      </c>
      <c r="Y193" s="74">
        <f>IF($A193="","",IF(AND(M193&gt;0,L193&gt;0),ROUND(L193/M193,0),IF(AND(J193&gt;0,B193&gt;0),ROUND(B193/J193,0),Y192)))</f>
        <v/>
      </c>
    </row>
    <row r="194">
      <c r="A194" s="67" t="n"/>
      <c r="B194" s="68" t="n"/>
      <c r="C194" s="69" t="n"/>
      <c r="D194" s="68" t="n"/>
      <c r="E194" s="69" t="n"/>
      <c r="F194" s="68" t="n"/>
      <c r="G194" s="69" t="n"/>
      <c r="H194" s="68" t="n"/>
      <c r="I194" s="70">
        <f>IF($A194="","",R193)</f>
        <v/>
      </c>
      <c r="J194" s="71">
        <f>IF($A194="","",IF(C194="",0,C194))</f>
        <v/>
      </c>
      <c r="K194" s="71">
        <f>IF($A194="","",IF(E194="",0,E194))</f>
        <v/>
      </c>
      <c r="L194" s="70">
        <f>IF($A194="","",B194-D194)</f>
        <v/>
      </c>
      <c r="M194" s="71">
        <f>IF($A194="","",J194-K194)</f>
        <v/>
      </c>
      <c r="N194" s="71">
        <f>IF($A194="","",IF(G194="",0,G194))</f>
        <v/>
      </c>
      <c r="O194" s="70">
        <f>IF($A194="","",D194+F194)</f>
        <v/>
      </c>
      <c r="P194" s="71">
        <f>IF($A194="","",K194+N194)</f>
        <v/>
      </c>
      <c r="Q194" s="70">
        <f>IF($A194="","",I194+L194-F194)</f>
        <v/>
      </c>
      <c r="R194" s="72">
        <f>IF($A194="","",IF(H194="",Q194,H194))</f>
        <v/>
      </c>
      <c r="S194" s="73">
        <f>IF($A194="","",R194-Q194)</f>
        <v/>
      </c>
      <c r="T194" s="70">
        <f>IF($A194="","",SUMIFS($B$5:$B$800,$A$5:$A$800,"&gt;="&amp;DATE(YEAR($A194),MONTH($A194),1),$A$5:$A$800,"&lt;="&amp;$A194)+IF(AND(YEAR($A194)=YEAR(Settings!$B$3),MONTH($A194)=MONTH(Settings!$B$3)),Settings!$B$6,0))</f>
        <v/>
      </c>
      <c r="U194" s="71">
        <f>IF($A194="","",SUMIFS($J$5:$J$800,$A$5:$A$800,"&gt;="&amp;DATE(YEAR($A194),MONTH($A194),1),$A$5:$A$800,"&lt;="&amp;$A194)+IF(AND(YEAR($A194)=YEAR(Settings!$B$3),MONTH($A194)=MONTH(Settings!$B$3)),Settings!$B$7,0))</f>
        <v/>
      </c>
      <c r="V194" s="70">
        <f>IF($A194="","",Settings!$B$8+SUM($B$5:B194))</f>
        <v/>
      </c>
      <c r="W194" s="71">
        <f>IF($A194="","",Settings!$B$9+SUM($J$5:J194))</f>
        <v/>
      </c>
      <c r="X194" s="71">
        <f>IF($A194="","",IF(AND(N194&gt;0,F194&gt;0),ROUND(F194/N194,0),X193))</f>
        <v/>
      </c>
      <c r="Y194" s="74">
        <f>IF($A194="","",IF(AND(M194&gt;0,L194&gt;0),ROUND(L194/M194,0),IF(AND(J194&gt;0,B194&gt;0),ROUND(B194/J194,0),Y193)))</f>
        <v/>
      </c>
    </row>
    <row r="195">
      <c r="A195" s="67" t="n"/>
      <c r="B195" s="68" t="n"/>
      <c r="C195" s="69" t="n"/>
      <c r="D195" s="68" t="n"/>
      <c r="E195" s="69" t="n"/>
      <c r="F195" s="68" t="n"/>
      <c r="G195" s="69" t="n"/>
      <c r="H195" s="68" t="n"/>
      <c r="I195" s="70">
        <f>IF($A195="","",R194)</f>
        <v/>
      </c>
      <c r="J195" s="71">
        <f>IF($A195="","",IF(C195="",0,C195))</f>
        <v/>
      </c>
      <c r="K195" s="71">
        <f>IF($A195="","",IF(E195="",0,E195))</f>
        <v/>
      </c>
      <c r="L195" s="70">
        <f>IF($A195="","",B195-D195)</f>
        <v/>
      </c>
      <c r="M195" s="71">
        <f>IF($A195="","",J195-K195)</f>
        <v/>
      </c>
      <c r="N195" s="71">
        <f>IF($A195="","",IF(G195="",0,G195))</f>
        <v/>
      </c>
      <c r="O195" s="70">
        <f>IF($A195="","",D195+F195)</f>
        <v/>
      </c>
      <c r="P195" s="71">
        <f>IF($A195="","",K195+N195)</f>
        <v/>
      </c>
      <c r="Q195" s="70">
        <f>IF($A195="","",I195+L195-F195)</f>
        <v/>
      </c>
      <c r="R195" s="72">
        <f>IF($A195="","",IF(H195="",Q195,H195))</f>
        <v/>
      </c>
      <c r="S195" s="73">
        <f>IF($A195="","",R195-Q195)</f>
        <v/>
      </c>
      <c r="T195" s="70">
        <f>IF($A195="","",SUMIFS($B$5:$B$800,$A$5:$A$800,"&gt;="&amp;DATE(YEAR($A195),MONTH($A195),1),$A$5:$A$800,"&lt;="&amp;$A195)+IF(AND(YEAR($A195)=YEAR(Settings!$B$3),MONTH($A195)=MONTH(Settings!$B$3)),Settings!$B$6,0))</f>
        <v/>
      </c>
      <c r="U195" s="71">
        <f>IF($A195="","",SUMIFS($J$5:$J$800,$A$5:$A$800,"&gt;="&amp;DATE(YEAR($A195),MONTH($A195),1),$A$5:$A$800,"&lt;="&amp;$A195)+IF(AND(YEAR($A195)=YEAR(Settings!$B$3),MONTH($A195)=MONTH(Settings!$B$3)),Settings!$B$7,0))</f>
        <v/>
      </c>
      <c r="V195" s="70">
        <f>IF($A195="","",Settings!$B$8+SUM($B$5:B195))</f>
        <v/>
      </c>
      <c r="W195" s="71">
        <f>IF($A195="","",Settings!$B$9+SUM($J$5:J195))</f>
        <v/>
      </c>
      <c r="X195" s="71">
        <f>IF($A195="","",IF(AND(N195&gt;0,F195&gt;0),ROUND(F195/N195,0),X194))</f>
        <v/>
      </c>
      <c r="Y195" s="74">
        <f>IF($A195="","",IF(AND(M195&gt;0,L195&gt;0),ROUND(L195/M195,0),IF(AND(J195&gt;0,B195&gt;0),ROUND(B195/J195,0),Y194)))</f>
        <v/>
      </c>
    </row>
    <row r="196">
      <c r="A196" s="67" t="n"/>
      <c r="B196" s="68" t="n"/>
      <c r="C196" s="69" t="n"/>
      <c r="D196" s="68" t="n"/>
      <c r="E196" s="69" t="n"/>
      <c r="F196" s="68" t="n"/>
      <c r="G196" s="69" t="n"/>
      <c r="H196" s="68" t="n"/>
      <c r="I196" s="70">
        <f>IF($A196="","",R195)</f>
        <v/>
      </c>
      <c r="J196" s="71">
        <f>IF($A196="","",IF(C196="",0,C196))</f>
        <v/>
      </c>
      <c r="K196" s="71">
        <f>IF($A196="","",IF(E196="",0,E196))</f>
        <v/>
      </c>
      <c r="L196" s="70">
        <f>IF($A196="","",B196-D196)</f>
        <v/>
      </c>
      <c r="M196" s="71">
        <f>IF($A196="","",J196-K196)</f>
        <v/>
      </c>
      <c r="N196" s="71">
        <f>IF($A196="","",IF(G196="",0,G196))</f>
        <v/>
      </c>
      <c r="O196" s="70">
        <f>IF($A196="","",D196+F196)</f>
        <v/>
      </c>
      <c r="P196" s="71">
        <f>IF($A196="","",K196+N196)</f>
        <v/>
      </c>
      <c r="Q196" s="70">
        <f>IF($A196="","",I196+L196-F196)</f>
        <v/>
      </c>
      <c r="R196" s="72">
        <f>IF($A196="","",IF(H196="",Q196,H196))</f>
        <v/>
      </c>
      <c r="S196" s="73">
        <f>IF($A196="","",R196-Q196)</f>
        <v/>
      </c>
      <c r="T196" s="70">
        <f>IF($A196="","",SUMIFS($B$5:$B$800,$A$5:$A$800,"&gt;="&amp;DATE(YEAR($A196),MONTH($A196),1),$A$5:$A$800,"&lt;="&amp;$A196)+IF(AND(YEAR($A196)=YEAR(Settings!$B$3),MONTH($A196)=MONTH(Settings!$B$3)),Settings!$B$6,0))</f>
        <v/>
      </c>
      <c r="U196" s="71">
        <f>IF($A196="","",SUMIFS($J$5:$J$800,$A$5:$A$800,"&gt;="&amp;DATE(YEAR($A196),MONTH($A196),1),$A$5:$A$800,"&lt;="&amp;$A196)+IF(AND(YEAR($A196)=YEAR(Settings!$B$3),MONTH($A196)=MONTH(Settings!$B$3)),Settings!$B$7,0))</f>
        <v/>
      </c>
      <c r="V196" s="70">
        <f>IF($A196="","",Settings!$B$8+SUM($B$5:B196))</f>
        <v/>
      </c>
      <c r="W196" s="71">
        <f>IF($A196="","",Settings!$B$9+SUM($J$5:J196))</f>
        <v/>
      </c>
      <c r="X196" s="71">
        <f>IF($A196="","",IF(AND(N196&gt;0,F196&gt;0),ROUND(F196/N196,0),X195))</f>
        <v/>
      </c>
      <c r="Y196" s="74">
        <f>IF($A196="","",IF(AND(M196&gt;0,L196&gt;0),ROUND(L196/M196,0),IF(AND(J196&gt;0,B196&gt;0),ROUND(B196/J196,0),Y195)))</f>
        <v/>
      </c>
    </row>
    <row r="197">
      <c r="A197" s="67" t="n"/>
      <c r="B197" s="68" t="n"/>
      <c r="C197" s="69" t="n"/>
      <c r="D197" s="68" t="n"/>
      <c r="E197" s="69" t="n"/>
      <c r="F197" s="68" t="n"/>
      <c r="G197" s="69" t="n"/>
      <c r="H197" s="68" t="n"/>
      <c r="I197" s="70">
        <f>IF($A197="","",R196)</f>
        <v/>
      </c>
      <c r="J197" s="71">
        <f>IF($A197="","",IF(C197="",0,C197))</f>
        <v/>
      </c>
      <c r="K197" s="71">
        <f>IF($A197="","",IF(E197="",0,E197))</f>
        <v/>
      </c>
      <c r="L197" s="70">
        <f>IF($A197="","",B197-D197)</f>
        <v/>
      </c>
      <c r="M197" s="71">
        <f>IF($A197="","",J197-K197)</f>
        <v/>
      </c>
      <c r="N197" s="71">
        <f>IF($A197="","",IF(G197="",0,G197))</f>
        <v/>
      </c>
      <c r="O197" s="70">
        <f>IF($A197="","",D197+F197)</f>
        <v/>
      </c>
      <c r="P197" s="71">
        <f>IF($A197="","",K197+N197)</f>
        <v/>
      </c>
      <c r="Q197" s="70">
        <f>IF($A197="","",I197+L197-F197)</f>
        <v/>
      </c>
      <c r="R197" s="72">
        <f>IF($A197="","",IF(H197="",Q197,H197))</f>
        <v/>
      </c>
      <c r="S197" s="73">
        <f>IF($A197="","",R197-Q197)</f>
        <v/>
      </c>
      <c r="T197" s="70">
        <f>IF($A197="","",SUMIFS($B$5:$B$800,$A$5:$A$800,"&gt;="&amp;DATE(YEAR($A197),MONTH($A197),1),$A$5:$A$800,"&lt;="&amp;$A197)+IF(AND(YEAR($A197)=YEAR(Settings!$B$3),MONTH($A197)=MONTH(Settings!$B$3)),Settings!$B$6,0))</f>
        <v/>
      </c>
      <c r="U197" s="71">
        <f>IF($A197="","",SUMIFS($J$5:$J$800,$A$5:$A$800,"&gt;="&amp;DATE(YEAR($A197),MONTH($A197),1),$A$5:$A$800,"&lt;="&amp;$A197)+IF(AND(YEAR($A197)=YEAR(Settings!$B$3),MONTH($A197)=MONTH(Settings!$B$3)),Settings!$B$7,0))</f>
        <v/>
      </c>
      <c r="V197" s="70">
        <f>IF($A197="","",Settings!$B$8+SUM($B$5:B197))</f>
        <v/>
      </c>
      <c r="W197" s="71">
        <f>IF($A197="","",Settings!$B$9+SUM($J$5:J197))</f>
        <v/>
      </c>
      <c r="X197" s="71">
        <f>IF($A197="","",IF(AND(N197&gt;0,F197&gt;0),ROUND(F197/N197,0),X196))</f>
        <v/>
      </c>
      <c r="Y197" s="74">
        <f>IF($A197="","",IF(AND(M197&gt;0,L197&gt;0),ROUND(L197/M197,0),IF(AND(J197&gt;0,B197&gt;0),ROUND(B197/J197,0),Y196)))</f>
        <v/>
      </c>
    </row>
    <row r="198">
      <c r="A198" s="67" t="n"/>
      <c r="B198" s="68" t="n"/>
      <c r="C198" s="69" t="n"/>
      <c r="D198" s="68" t="n"/>
      <c r="E198" s="69" t="n"/>
      <c r="F198" s="68" t="n"/>
      <c r="G198" s="69" t="n"/>
      <c r="H198" s="68" t="n"/>
      <c r="I198" s="70">
        <f>IF($A198="","",R197)</f>
        <v/>
      </c>
      <c r="J198" s="71">
        <f>IF($A198="","",IF(C198="",0,C198))</f>
        <v/>
      </c>
      <c r="K198" s="71">
        <f>IF($A198="","",IF(E198="",0,E198))</f>
        <v/>
      </c>
      <c r="L198" s="70">
        <f>IF($A198="","",B198-D198)</f>
        <v/>
      </c>
      <c r="M198" s="71">
        <f>IF($A198="","",J198-K198)</f>
        <v/>
      </c>
      <c r="N198" s="71">
        <f>IF($A198="","",IF(G198="",0,G198))</f>
        <v/>
      </c>
      <c r="O198" s="70">
        <f>IF($A198="","",D198+F198)</f>
        <v/>
      </c>
      <c r="P198" s="71">
        <f>IF($A198="","",K198+N198)</f>
        <v/>
      </c>
      <c r="Q198" s="70">
        <f>IF($A198="","",I198+L198-F198)</f>
        <v/>
      </c>
      <c r="R198" s="72">
        <f>IF($A198="","",IF(H198="",Q198,H198))</f>
        <v/>
      </c>
      <c r="S198" s="73">
        <f>IF($A198="","",R198-Q198)</f>
        <v/>
      </c>
      <c r="T198" s="70">
        <f>IF($A198="","",SUMIFS($B$5:$B$800,$A$5:$A$800,"&gt;="&amp;DATE(YEAR($A198),MONTH($A198),1),$A$5:$A$800,"&lt;="&amp;$A198)+IF(AND(YEAR($A198)=YEAR(Settings!$B$3),MONTH($A198)=MONTH(Settings!$B$3)),Settings!$B$6,0))</f>
        <v/>
      </c>
      <c r="U198" s="71">
        <f>IF($A198="","",SUMIFS($J$5:$J$800,$A$5:$A$800,"&gt;="&amp;DATE(YEAR($A198),MONTH($A198),1),$A$5:$A$800,"&lt;="&amp;$A198)+IF(AND(YEAR($A198)=YEAR(Settings!$B$3),MONTH($A198)=MONTH(Settings!$B$3)),Settings!$B$7,0))</f>
        <v/>
      </c>
      <c r="V198" s="70">
        <f>IF($A198="","",Settings!$B$8+SUM($B$5:B198))</f>
        <v/>
      </c>
      <c r="W198" s="71">
        <f>IF($A198="","",Settings!$B$9+SUM($J$5:J198))</f>
        <v/>
      </c>
      <c r="X198" s="71">
        <f>IF($A198="","",IF(AND(N198&gt;0,F198&gt;0),ROUND(F198/N198,0),X197))</f>
        <v/>
      </c>
      <c r="Y198" s="74">
        <f>IF($A198="","",IF(AND(M198&gt;0,L198&gt;0),ROUND(L198/M198,0),IF(AND(J198&gt;0,B198&gt;0),ROUND(B198/J198,0),Y197)))</f>
        <v/>
      </c>
    </row>
    <row r="199">
      <c r="A199" s="67" t="n"/>
      <c r="B199" s="68" t="n"/>
      <c r="C199" s="69" t="n"/>
      <c r="D199" s="68" t="n"/>
      <c r="E199" s="69" t="n"/>
      <c r="F199" s="68" t="n"/>
      <c r="G199" s="69" t="n"/>
      <c r="H199" s="68" t="n"/>
      <c r="I199" s="70">
        <f>IF($A199="","",R198)</f>
        <v/>
      </c>
      <c r="J199" s="71">
        <f>IF($A199="","",IF(C199="",0,C199))</f>
        <v/>
      </c>
      <c r="K199" s="71">
        <f>IF($A199="","",IF(E199="",0,E199))</f>
        <v/>
      </c>
      <c r="L199" s="70">
        <f>IF($A199="","",B199-D199)</f>
        <v/>
      </c>
      <c r="M199" s="71">
        <f>IF($A199="","",J199-K199)</f>
        <v/>
      </c>
      <c r="N199" s="71">
        <f>IF($A199="","",IF(G199="",0,G199))</f>
        <v/>
      </c>
      <c r="O199" s="70">
        <f>IF($A199="","",D199+F199)</f>
        <v/>
      </c>
      <c r="P199" s="71">
        <f>IF($A199="","",K199+N199)</f>
        <v/>
      </c>
      <c r="Q199" s="70">
        <f>IF($A199="","",I199+L199-F199)</f>
        <v/>
      </c>
      <c r="R199" s="72">
        <f>IF($A199="","",IF(H199="",Q199,H199))</f>
        <v/>
      </c>
      <c r="S199" s="73">
        <f>IF($A199="","",R199-Q199)</f>
        <v/>
      </c>
      <c r="T199" s="70">
        <f>IF($A199="","",SUMIFS($B$5:$B$800,$A$5:$A$800,"&gt;="&amp;DATE(YEAR($A199),MONTH($A199),1),$A$5:$A$800,"&lt;="&amp;$A199)+IF(AND(YEAR($A199)=YEAR(Settings!$B$3),MONTH($A199)=MONTH(Settings!$B$3)),Settings!$B$6,0))</f>
        <v/>
      </c>
      <c r="U199" s="71">
        <f>IF($A199="","",SUMIFS($J$5:$J$800,$A$5:$A$800,"&gt;="&amp;DATE(YEAR($A199),MONTH($A199),1),$A$5:$A$800,"&lt;="&amp;$A199)+IF(AND(YEAR($A199)=YEAR(Settings!$B$3),MONTH($A199)=MONTH(Settings!$B$3)),Settings!$B$7,0))</f>
        <v/>
      </c>
      <c r="V199" s="70">
        <f>IF($A199="","",Settings!$B$8+SUM($B$5:B199))</f>
        <v/>
      </c>
      <c r="W199" s="71">
        <f>IF($A199="","",Settings!$B$9+SUM($J$5:J199))</f>
        <v/>
      </c>
      <c r="X199" s="71">
        <f>IF($A199="","",IF(AND(N199&gt;0,F199&gt;0),ROUND(F199/N199,0),X198))</f>
        <v/>
      </c>
      <c r="Y199" s="74">
        <f>IF($A199="","",IF(AND(M199&gt;0,L199&gt;0),ROUND(L199/M199,0),IF(AND(J199&gt;0,B199&gt;0),ROUND(B199/J199,0),Y198)))</f>
        <v/>
      </c>
    </row>
    <row r="200">
      <c r="A200" s="67" t="n"/>
      <c r="B200" s="68" t="n"/>
      <c r="C200" s="69" t="n"/>
      <c r="D200" s="68" t="n"/>
      <c r="E200" s="69" t="n"/>
      <c r="F200" s="68" t="n"/>
      <c r="G200" s="69" t="n"/>
      <c r="H200" s="68" t="n"/>
      <c r="I200" s="70">
        <f>IF($A200="","",R199)</f>
        <v/>
      </c>
      <c r="J200" s="71">
        <f>IF($A200="","",IF(C200="",0,C200))</f>
        <v/>
      </c>
      <c r="K200" s="71">
        <f>IF($A200="","",IF(E200="",0,E200))</f>
        <v/>
      </c>
      <c r="L200" s="70">
        <f>IF($A200="","",B200-D200)</f>
        <v/>
      </c>
      <c r="M200" s="71">
        <f>IF($A200="","",J200-K200)</f>
        <v/>
      </c>
      <c r="N200" s="71">
        <f>IF($A200="","",IF(G200="",0,G200))</f>
        <v/>
      </c>
      <c r="O200" s="70">
        <f>IF($A200="","",D200+F200)</f>
        <v/>
      </c>
      <c r="P200" s="71">
        <f>IF($A200="","",K200+N200)</f>
        <v/>
      </c>
      <c r="Q200" s="70">
        <f>IF($A200="","",I200+L200-F200)</f>
        <v/>
      </c>
      <c r="R200" s="72">
        <f>IF($A200="","",IF(H200="",Q200,H200))</f>
        <v/>
      </c>
      <c r="S200" s="73">
        <f>IF($A200="","",R200-Q200)</f>
        <v/>
      </c>
      <c r="T200" s="70">
        <f>IF($A200="","",SUMIFS($B$5:$B$800,$A$5:$A$800,"&gt;="&amp;DATE(YEAR($A200),MONTH($A200),1),$A$5:$A$800,"&lt;="&amp;$A200)+IF(AND(YEAR($A200)=YEAR(Settings!$B$3),MONTH($A200)=MONTH(Settings!$B$3)),Settings!$B$6,0))</f>
        <v/>
      </c>
      <c r="U200" s="71">
        <f>IF($A200="","",SUMIFS($J$5:$J$800,$A$5:$A$800,"&gt;="&amp;DATE(YEAR($A200),MONTH($A200),1),$A$5:$A$800,"&lt;="&amp;$A200)+IF(AND(YEAR($A200)=YEAR(Settings!$B$3),MONTH($A200)=MONTH(Settings!$B$3)),Settings!$B$7,0))</f>
        <v/>
      </c>
      <c r="V200" s="70">
        <f>IF($A200="","",Settings!$B$8+SUM($B$5:B200))</f>
        <v/>
      </c>
      <c r="W200" s="71">
        <f>IF($A200="","",Settings!$B$9+SUM($J$5:J200))</f>
        <v/>
      </c>
      <c r="X200" s="71">
        <f>IF($A200="","",IF(AND(N200&gt;0,F200&gt;0),ROUND(F200/N200,0),X199))</f>
        <v/>
      </c>
      <c r="Y200" s="74">
        <f>IF($A200="","",IF(AND(M200&gt;0,L200&gt;0),ROUND(L200/M200,0),IF(AND(J200&gt;0,B200&gt;0),ROUND(B200/J200,0),Y199)))</f>
        <v/>
      </c>
    </row>
    <row r="201">
      <c r="A201" s="67" t="n"/>
      <c r="B201" s="68" t="n"/>
      <c r="C201" s="69" t="n"/>
      <c r="D201" s="68" t="n"/>
      <c r="E201" s="69" t="n"/>
      <c r="F201" s="68" t="n"/>
      <c r="G201" s="69" t="n"/>
      <c r="H201" s="68" t="n"/>
      <c r="I201" s="70">
        <f>IF($A201="","",R200)</f>
        <v/>
      </c>
      <c r="J201" s="71">
        <f>IF($A201="","",IF(C201="",0,C201))</f>
        <v/>
      </c>
      <c r="K201" s="71">
        <f>IF($A201="","",IF(E201="",0,E201))</f>
        <v/>
      </c>
      <c r="L201" s="70">
        <f>IF($A201="","",B201-D201)</f>
        <v/>
      </c>
      <c r="M201" s="71">
        <f>IF($A201="","",J201-K201)</f>
        <v/>
      </c>
      <c r="N201" s="71">
        <f>IF($A201="","",IF(G201="",0,G201))</f>
        <v/>
      </c>
      <c r="O201" s="70">
        <f>IF($A201="","",D201+F201)</f>
        <v/>
      </c>
      <c r="P201" s="71">
        <f>IF($A201="","",K201+N201)</f>
        <v/>
      </c>
      <c r="Q201" s="70">
        <f>IF($A201="","",I201+L201-F201)</f>
        <v/>
      </c>
      <c r="R201" s="72">
        <f>IF($A201="","",IF(H201="",Q201,H201))</f>
        <v/>
      </c>
      <c r="S201" s="73">
        <f>IF($A201="","",R201-Q201)</f>
        <v/>
      </c>
      <c r="T201" s="70">
        <f>IF($A201="","",SUMIFS($B$5:$B$800,$A$5:$A$800,"&gt;="&amp;DATE(YEAR($A201),MONTH($A201),1),$A$5:$A$800,"&lt;="&amp;$A201)+IF(AND(YEAR($A201)=YEAR(Settings!$B$3),MONTH($A201)=MONTH(Settings!$B$3)),Settings!$B$6,0))</f>
        <v/>
      </c>
      <c r="U201" s="71">
        <f>IF($A201="","",SUMIFS($J$5:$J$800,$A$5:$A$800,"&gt;="&amp;DATE(YEAR($A201),MONTH($A201),1),$A$5:$A$800,"&lt;="&amp;$A201)+IF(AND(YEAR($A201)=YEAR(Settings!$B$3),MONTH($A201)=MONTH(Settings!$B$3)),Settings!$B$7,0))</f>
        <v/>
      </c>
      <c r="V201" s="70">
        <f>IF($A201="","",Settings!$B$8+SUM($B$5:B201))</f>
        <v/>
      </c>
      <c r="W201" s="71">
        <f>IF($A201="","",Settings!$B$9+SUM($J$5:J201))</f>
        <v/>
      </c>
      <c r="X201" s="71">
        <f>IF($A201="","",IF(AND(N201&gt;0,F201&gt;0),ROUND(F201/N201,0),X200))</f>
        <v/>
      </c>
      <c r="Y201" s="74">
        <f>IF($A201="","",IF(AND(M201&gt;0,L201&gt;0),ROUND(L201/M201,0),IF(AND(J201&gt;0,B201&gt;0),ROUND(B201/J201,0),Y200)))</f>
        <v/>
      </c>
    </row>
    <row r="202">
      <c r="A202" s="67" t="n"/>
      <c r="B202" s="68" t="n"/>
      <c r="C202" s="69" t="n"/>
      <c r="D202" s="68" t="n"/>
      <c r="E202" s="69" t="n"/>
      <c r="F202" s="68" t="n"/>
      <c r="G202" s="69" t="n"/>
      <c r="H202" s="68" t="n"/>
      <c r="I202" s="70">
        <f>IF($A202="","",R201)</f>
        <v/>
      </c>
      <c r="J202" s="71">
        <f>IF($A202="","",IF(C202="",0,C202))</f>
        <v/>
      </c>
      <c r="K202" s="71">
        <f>IF($A202="","",IF(E202="",0,E202))</f>
        <v/>
      </c>
      <c r="L202" s="70">
        <f>IF($A202="","",B202-D202)</f>
        <v/>
      </c>
      <c r="M202" s="71">
        <f>IF($A202="","",J202-K202)</f>
        <v/>
      </c>
      <c r="N202" s="71">
        <f>IF($A202="","",IF(G202="",0,G202))</f>
        <v/>
      </c>
      <c r="O202" s="70">
        <f>IF($A202="","",D202+F202)</f>
        <v/>
      </c>
      <c r="P202" s="71">
        <f>IF($A202="","",K202+N202)</f>
        <v/>
      </c>
      <c r="Q202" s="70">
        <f>IF($A202="","",I202+L202-F202)</f>
        <v/>
      </c>
      <c r="R202" s="72">
        <f>IF($A202="","",IF(H202="",Q202,H202))</f>
        <v/>
      </c>
      <c r="S202" s="73">
        <f>IF($A202="","",R202-Q202)</f>
        <v/>
      </c>
      <c r="T202" s="70">
        <f>IF($A202="","",SUMIFS($B$5:$B$800,$A$5:$A$800,"&gt;="&amp;DATE(YEAR($A202),MONTH($A202),1),$A$5:$A$800,"&lt;="&amp;$A202)+IF(AND(YEAR($A202)=YEAR(Settings!$B$3),MONTH($A202)=MONTH(Settings!$B$3)),Settings!$B$6,0))</f>
        <v/>
      </c>
      <c r="U202" s="71">
        <f>IF($A202="","",SUMIFS($J$5:$J$800,$A$5:$A$800,"&gt;="&amp;DATE(YEAR($A202),MONTH($A202),1),$A$5:$A$800,"&lt;="&amp;$A202)+IF(AND(YEAR($A202)=YEAR(Settings!$B$3),MONTH($A202)=MONTH(Settings!$B$3)),Settings!$B$7,0))</f>
        <v/>
      </c>
      <c r="V202" s="70">
        <f>IF($A202="","",Settings!$B$8+SUM($B$5:B202))</f>
        <v/>
      </c>
      <c r="W202" s="71">
        <f>IF($A202="","",Settings!$B$9+SUM($J$5:J202))</f>
        <v/>
      </c>
      <c r="X202" s="71">
        <f>IF($A202="","",IF(AND(N202&gt;0,F202&gt;0),ROUND(F202/N202,0),X201))</f>
        <v/>
      </c>
      <c r="Y202" s="74">
        <f>IF($A202="","",IF(AND(M202&gt;0,L202&gt;0),ROUND(L202/M202,0),IF(AND(J202&gt;0,B202&gt;0),ROUND(B202/J202,0),Y201)))</f>
        <v/>
      </c>
    </row>
    <row r="203">
      <c r="A203" s="67" t="n"/>
      <c r="B203" s="68" t="n"/>
      <c r="C203" s="69" t="n"/>
      <c r="D203" s="68" t="n"/>
      <c r="E203" s="69" t="n"/>
      <c r="F203" s="68" t="n"/>
      <c r="G203" s="69" t="n"/>
      <c r="H203" s="68" t="n"/>
      <c r="I203" s="70">
        <f>IF($A203="","",R202)</f>
        <v/>
      </c>
      <c r="J203" s="71">
        <f>IF($A203="","",IF(C203="",0,C203))</f>
        <v/>
      </c>
      <c r="K203" s="71">
        <f>IF($A203="","",IF(E203="",0,E203))</f>
        <v/>
      </c>
      <c r="L203" s="70">
        <f>IF($A203="","",B203-D203)</f>
        <v/>
      </c>
      <c r="M203" s="71">
        <f>IF($A203="","",J203-K203)</f>
        <v/>
      </c>
      <c r="N203" s="71">
        <f>IF($A203="","",IF(G203="",0,G203))</f>
        <v/>
      </c>
      <c r="O203" s="70">
        <f>IF($A203="","",D203+F203)</f>
        <v/>
      </c>
      <c r="P203" s="71">
        <f>IF($A203="","",K203+N203)</f>
        <v/>
      </c>
      <c r="Q203" s="70">
        <f>IF($A203="","",I203+L203-F203)</f>
        <v/>
      </c>
      <c r="R203" s="72">
        <f>IF($A203="","",IF(H203="",Q203,H203))</f>
        <v/>
      </c>
      <c r="S203" s="73">
        <f>IF($A203="","",R203-Q203)</f>
        <v/>
      </c>
      <c r="T203" s="70">
        <f>IF($A203="","",SUMIFS($B$5:$B$800,$A$5:$A$800,"&gt;="&amp;DATE(YEAR($A203),MONTH($A203),1),$A$5:$A$800,"&lt;="&amp;$A203)+IF(AND(YEAR($A203)=YEAR(Settings!$B$3),MONTH($A203)=MONTH(Settings!$B$3)),Settings!$B$6,0))</f>
        <v/>
      </c>
      <c r="U203" s="71">
        <f>IF($A203="","",SUMIFS($J$5:$J$800,$A$5:$A$800,"&gt;="&amp;DATE(YEAR($A203),MONTH($A203),1),$A$5:$A$800,"&lt;="&amp;$A203)+IF(AND(YEAR($A203)=YEAR(Settings!$B$3),MONTH($A203)=MONTH(Settings!$B$3)),Settings!$B$7,0))</f>
        <v/>
      </c>
      <c r="V203" s="70">
        <f>IF($A203="","",Settings!$B$8+SUM($B$5:B203))</f>
        <v/>
      </c>
      <c r="W203" s="71">
        <f>IF($A203="","",Settings!$B$9+SUM($J$5:J203))</f>
        <v/>
      </c>
      <c r="X203" s="71">
        <f>IF($A203="","",IF(AND(N203&gt;0,F203&gt;0),ROUND(F203/N203,0),X202))</f>
        <v/>
      </c>
      <c r="Y203" s="74">
        <f>IF($A203="","",IF(AND(M203&gt;0,L203&gt;0),ROUND(L203/M203,0),IF(AND(J203&gt;0,B203&gt;0),ROUND(B203/J203,0),Y202)))</f>
        <v/>
      </c>
    </row>
    <row r="204">
      <c r="A204" s="67" t="n"/>
      <c r="B204" s="68" t="n"/>
      <c r="C204" s="69" t="n"/>
      <c r="D204" s="68" t="n"/>
      <c r="E204" s="69" t="n"/>
      <c r="F204" s="68" t="n"/>
      <c r="G204" s="69" t="n"/>
      <c r="H204" s="68" t="n"/>
      <c r="I204" s="70">
        <f>IF($A204="","",R203)</f>
        <v/>
      </c>
      <c r="J204" s="71">
        <f>IF($A204="","",IF(C204="",0,C204))</f>
        <v/>
      </c>
      <c r="K204" s="71">
        <f>IF($A204="","",IF(E204="",0,E204))</f>
        <v/>
      </c>
      <c r="L204" s="70">
        <f>IF($A204="","",B204-D204)</f>
        <v/>
      </c>
      <c r="M204" s="71">
        <f>IF($A204="","",J204-K204)</f>
        <v/>
      </c>
      <c r="N204" s="71">
        <f>IF($A204="","",IF(G204="",0,G204))</f>
        <v/>
      </c>
      <c r="O204" s="70">
        <f>IF($A204="","",D204+F204)</f>
        <v/>
      </c>
      <c r="P204" s="71">
        <f>IF($A204="","",K204+N204)</f>
        <v/>
      </c>
      <c r="Q204" s="70">
        <f>IF($A204="","",I204+L204-F204)</f>
        <v/>
      </c>
      <c r="R204" s="72">
        <f>IF($A204="","",IF(H204="",Q204,H204))</f>
        <v/>
      </c>
      <c r="S204" s="73">
        <f>IF($A204="","",R204-Q204)</f>
        <v/>
      </c>
      <c r="T204" s="70">
        <f>IF($A204="","",SUMIFS($B$5:$B$800,$A$5:$A$800,"&gt;="&amp;DATE(YEAR($A204),MONTH($A204),1),$A$5:$A$800,"&lt;="&amp;$A204)+IF(AND(YEAR($A204)=YEAR(Settings!$B$3),MONTH($A204)=MONTH(Settings!$B$3)),Settings!$B$6,0))</f>
        <v/>
      </c>
      <c r="U204" s="71">
        <f>IF($A204="","",SUMIFS($J$5:$J$800,$A$5:$A$800,"&gt;="&amp;DATE(YEAR($A204),MONTH($A204),1),$A$5:$A$800,"&lt;="&amp;$A204)+IF(AND(YEAR($A204)=YEAR(Settings!$B$3),MONTH($A204)=MONTH(Settings!$B$3)),Settings!$B$7,0))</f>
        <v/>
      </c>
      <c r="V204" s="70">
        <f>IF($A204="","",Settings!$B$8+SUM($B$5:B204))</f>
        <v/>
      </c>
      <c r="W204" s="71">
        <f>IF($A204="","",Settings!$B$9+SUM($J$5:J204))</f>
        <v/>
      </c>
      <c r="X204" s="71">
        <f>IF($A204="","",IF(AND(N204&gt;0,F204&gt;0),ROUND(F204/N204,0),X203))</f>
        <v/>
      </c>
      <c r="Y204" s="74">
        <f>IF($A204="","",IF(AND(M204&gt;0,L204&gt;0),ROUND(L204/M204,0),IF(AND(J204&gt;0,B204&gt;0),ROUND(B204/J204,0),Y203)))</f>
        <v/>
      </c>
    </row>
    <row r="205">
      <c r="A205" s="67" t="n"/>
      <c r="B205" s="68" t="n"/>
      <c r="C205" s="69" t="n"/>
      <c r="D205" s="68" t="n"/>
      <c r="E205" s="69" t="n"/>
      <c r="F205" s="68" t="n"/>
      <c r="G205" s="69" t="n"/>
      <c r="H205" s="68" t="n"/>
      <c r="I205" s="70">
        <f>IF($A205="","",R204)</f>
        <v/>
      </c>
      <c r="J205" s="71">
        <f>IF($A205="","",IF(C205="",0,C205))</f>
        <v/>
      </c>
      <c r="K205" s="71">
        <f>IF($A205="","",IF(E205="",0,E205))</f>
        <v/>
      </c>
      <c r="L205" s="70">
        <f>IF($A205="","",B205-D205)</f>
        <v/>
      </c>
      <c r="M205" s="71">
        <f>IF($A205="","",J205-K205)</f>
        <v/>
      </c>
      <c r="N205" s="71">
        <f>IF($A205="","",IF(G205="",0,G205))</f>
        <v/>
      </c>
      <c r="O205" s="70">
        <f>IF($A205="","",D205+F205)</f>
        <v/>
      </c>
      <c r="P205" s="71">
        <f>IF($A205="","",K205+N205)</f>
        <v/>
      </c>
      <c r="Q205" s="70">
        <f>IF($A205="","",I205+L205-F205)</f>
        <v/>
      </c>
      <c r="R205" s="72">
        <f>IF($A205="","",IF(H205="",Q205,H205))</f>
        <v/>
      </c>
      <c r="S205" s="73">
        <f>IF($A205="","",R205-Q205)</f>
        <v/>
      </c>
      <c r="T205" s="70">
        <f>IF($A205="","",SUMIFS($B$5:$B$800,$A$5:$A$800,"&gt;="&amp;DATE(YEAR($A205),MONTH($A205),1),$A$5:$A$800,"&lt;="&amp;$A205)+IF(AND(YEAR($A205)=YEAR(Settings!$B$3),MONTH($A205)=MONTH(Settings!$B$3)),Settings!$B$6,0))</f>
        <v/>
      </c>
      <c r="U205" s="71">
        <f>IF($A205="","",SUMIFS($J$5:$J$800,$A$5:$A$800,"&gt;="&amp;DATE(YEAR($A205),MONTH($A205),1),$A$5:$A$800,"&lt;="&amp;$A205)+IF(AND(YEAR($A205)=YEAR(Settings!$B$3),MONTH($A205)=MONTH(Settings!$B$3)),Settings!$B$7,0))</f>
        <v/>
      </c>
      <c r="V205" s="70">
        <f>IF($A205="","",Settings!$B$8+SUM($B$5:B205))</f>
        <v/>
      </c>
      <c r="W205" s="71">
        <f>IF($A205="","",Settings!$B$9+SUM($J$5:J205))</f>
        <v/>
      </c>
      <c r="X205" s="71">
        <f>IF($A205="","",IF(AND(N205&gt;0,F205&gt;0),ROUND(F205/N205,0),X204))</f>
        <v/>
      </c>
      <c r="Y205" s="74">
        <f>IF($A205="","",IF(AND(M205&gt;0,L205&gt;0),ROUND(L205/M205,0),IF(AND(J205&gt;0,B205&gt;0),ROUND(B205/J205,0),Y204)))</f>
        <v/>
      </c>
    </row>
    <row r="206">
      <c r="A206" s="67" t="n"/>
      <c r="B206" s="68" t="n"/>
      <c r="C206" s="69" t="n"/>
      <c r="D206" s="68" t="n"/>
      <c r="E206" s="69" t="n"/>
      <c r="F206" s="68" t="n"/>
      <c r="G206" s="69" t="n"/>
      <c r="H206" s="68" t="n"/>
      <c r="I206" s="70">
        <f>IF($A206="","",R205)</f>
        <v/>
      </c>
      <c r="J206" s="71">
        <f>IF($A206="","",IF(C206="",0,C206))</f>
        <v/>
      </c>
      <c r="K206" s="71">
        <f>IF($A206="","",IF(E206="",0,E206))</f>
        <v/>
      </c>
      <c r="L206" s="70">
        <f>IF($A206="","",B206-D206)</f>
        <v/>
      </c>
      <c r="M206" s="71">
        <f>IF($A206="","",J206-K206)</f>
        <v/>
      </c>
      <c r="N206" s="71">
        <f>IF($A206="","",IF(G206="",0,G206))</f>
        <v/>
      </c>
      <c r="O206" s="70">
        <f>IF($A206="","",D206+F206)</f>
        <v/>
      </c>
      <c r="P206" s="71">
        <f>IF($A206="","",K206+N206)</f>
        <v/>
      </c>
      <c r="Q206" s="70">
        <f>IF($A206="","",I206+L206-F206)</f>
        <v/>
      </c>
      <c r="R206" s="72">
        <f>IF($A206="","",IF(H206="",Q206,H206))</f>
        <v/>
      </c>
      <c r="S206" s="73">
        <f>IF($A206="","",R206-Q206)</f>
        <v/>
      </c>
      <c r="T206" s="70">
        <f>IF($A206="","",SUMIFS($B$5:$B$800,$A$5:$A$800,"&gt;="&amp;DATE(YEAR($A206),MONTH($A206),1),$A$5:$A$800,"&lt;="&amp;$A206)+IF(AND(YEAR($A206)=YEAR(Settings!$B$3),MONTH($A206)=MONTH(Settings!$B$3)),Settings!$B$6,0))</f>
        <v/>
      </c>
      <c r="U206" s="71">
        <f>IF($A206="","",SUMIFS($J$5:$J$800,$A$5:$A$800,"&gt;="&amp;DATE(YEAR($A206),MONTH($A206),1),$A$5:$A$800,"&lt;="&amp;$A206)+IF(AND(YEAR($A206)=YEAR(Settings!$B$3),MONTH($A206)=MONTH(Settings!$B$3)),Settings!$B$7,0))</f>
        <v/>
      </c>
      <c r="V206" s="70">
        <f>IF($A206="","",Settings!$B$8+SUM($B$5:B206))</f>
        <v/>
      </c>
      <c r="W206" s="71">
        <f>IF($A206="","",Settings!$B$9+SUM($J$5:J206))</f>
        <v/>
      </c>
      <c r="X206" s="71">
        <f>IF($A206="","",IF(AND(N206&gt;0,F206&gt;0),ROUND(F206/N206,0),X205))</f>
        <v/>
      </c>
      <c r="Y206" s="74">
        <f>IF($A206="","",IF(AND(M206&gt;0,L206&gt;0),ROUND(L206/M206,0),IF(AND(J206&gt;0,B206&gt;0),ROUND(B206/J206,0),Y205)))</f>
        <v/>
      </c>
    </row>
    <row r="207">
      <c r="A207" s="67" t="n"/>
      <c r="B207" s="68" t="n"/>
      <c r="C207" s="69" t="n"/>
      <c r="D207" s="68" t="n"/>
      <c r="E207" s="69" t="n"/>
      <c r="F207" s="68" t="n"/>
      <c r="G207" s="69" t="n"/>
      <c r="H207" s="68" t="n"/>
      <c r="I207" s="70">
        <f>IF($A207="","",R206)</f>
        <v/>
      </c>
      <c r="J207" s="71">
        <f>IF($A207="","",IF(C207="",0,C207))</f>
        <v/>
      </c>
      <c r="K207" s="71">
        <f>IF($A207="","",IF(E207="",0,E207))</f>
        <v/>
      </c>
      <c r="L207" s="70">
        <f>IF($A207="","",B207-D207)</f>
        <v/>
      </c>
      <c r="M207" s="71">
        <f>IF($A207="","",J207-K207)</f>
        <v/>
      </c>
      <c r="N207" s="71">
        <f>IF($A207="","",IF(G207="",0,G207))</f>
        <v/>
      </c>
      <c r="O207" s="70">
        <f>IF($A207="","",D207+F207)</f>
        <v/>
      </c>
      <c r="P207" s="71">
        <f>IF($A207="","",K207+N207)</f>
        <v/>
      </c>
      <c r="Q207" s="70">
        <f>IF($A207="","",I207+L207-F207)</f>
        <v/>
      </c>
      <c r="R207" s="72">
        <f>IF($A207="","",IF(H207="",Q207,H207))</f>
        <v/>
      </c>
      <c r="S207" s="73">
        <f>IF($A207="","",R207-Q207)</f>
        <v/>
      </c>
      <c r="T207" s="70">
        <f>IF($A207="","",SUMIFS($B$5:$B$800,$A$5:$A$800,"&gt;="&amp;DATE(YEAR($A207),MONTH($A207),1),$A$5:$A$800,"&lt;="&amp;$A207)+IF(AND(YEAR($A207)=YEAR(Settings!$B$3),MONTH($A207)=MONTH(Settings!$B$3)),Settings!$B$6,0))</f>
        <v/>
      </c>
      <c r="U207" s="71">
        <f>IF($A207="","",SUMIFS($J$5:$J$800,$A$5:$A$800,"&gt;="&amp;DATE(YEAR($A207),MONTH($A207),1),$A$5:$A$800,"&lt;="&amp;$A207)+IF(AND(YEAR($A207)=YEAR(Settings!$B$3),MONTH($A207)=MONTH(Settings!$B$3)),Settings!$B$7,0))</f>
        <v/>
      </c>
      <c r="V207" s="70">
        <f>IF($A207="","",Settings!$B$8+SUM($B$5:B207))</f>
        <v/>
      </c>
      <c r="W207" s="71">
        <f>IF($A207="","",Settings!$B$9+SUM($J$5:J207))</f>
        <v/>
      </c>
      <c r="X207" s="71">
        <f>IF($A207="","",IF(AND(N207&gt;0,F207&gt;0),ROUND(F207/N207,0),X206))</f>
        <v/>
      </c>
      <c r="Y207" s="74">
        <f>IF($A207="","",IF(AND(M207&gt;0,L207&gt;0),ROUND(L207/M207,0),IF(AND(J207&gt;0,B207&gt;0),ROUND(B207/J207,0),Y206)))</f>
        <v/>
      </c>
    </row>
    <row r="208">
      <c r="A208" s="67" t="n"/>
      <c r="B208" s="68" t="n"/>
      <c r="C208" s="69" t="n"/>
      <c r="D208" s="68" t="n"/>
      <c r="E208" s="69" t="n"/>
      <c r="F208" s="68" t="n"/>
      <c r="G208" s="69" t="n"/>
      <c r="H208" s="68" t="n"/>
      <c r="I208" s="70">
        <f>IF($A208="","",R207)</f>
        <v/>
      </c>
      <c r="J208" s="71">
        <f>IF($A208="","",IF(C208="",0,C208))</f>
        <v/>
      </c>
      <c r="K208" s="71">
        <f>IF($A208="","",IF(E208="",0,E208))</f>
        <v/>
      </c>
      <c r="L208" s="70">
        <f>IF($A208="","",B208-D208)</f>
        <v/>
      </c>
      <c r="M208" s="71">
        <f>IF($A208="","",J208-K208)</f>
        <v/>
      </c>
      <c r="N208" s="71">
        <f>IF($A208="","",IF(G208="",0,G208))</f>
        <v/>
      </c>
      <c r="O208" s="70">
        <f>IF($A208="","",D208+F208)</f>
        <v/>
      </c>
      <c r="P208" s="71">
        <f>IF($A208="","",K208+N208)</f>
        <v/>
      </c>
      <c r="Q208" s="70">
        <f>IF($A208="","",I208+L208-F208)</f>
        <v/>
      </c>
      <c r="R208" s="72">
        <f>IF($A208="","",IF(H208="",Q208,H208))</f>
        <v/>
      </c>
      <c r="S208" s="73">
        <f>IF($A208="","",R208-Q208)</f>
        <v/>
      </c>
      <c r="T208" s="70">
        <f>IF($A208="","",SUMIFS($B$5:$B$800,$A$5:$A$800,"&gt;="&amp;DATE(YEAR($A208),MONTH($A208),1),$A$5:$A$800,"&lt;="&amp;$A208)+IF(AND(YEAR($A208)=YEAR(Settings!$B$3),MONTH($A208)=MONTH(Settings!$B$3)),Settings!$B$6,0))</f>
        <v/>
      </c>
      <c r="U208" s="71">
        <f>IF($A208="","",SUMIFS($J$5:$J$800,$A$5:$A$800,"&gt;="&amp;DATE(YEAR($A208),MONTH($A208),1),$A$5:$A$800,"&lt;="&amp;$A208)+IF(AND(YEAR($A208)=YEAR(Settings!$B$3),MONTH($A208)=MONTH(Settings!$B$3)),Settings!$B$7,0))</f>
        <v/>
      </c>
      <c r="V208" s="70">
        <f>IF($A208="","",Settings!$B$8+SUM($B$5:B208))</f>
        <v/>
      </c>
      <c r="W208" s="71">
        <f>IF($A208="","",Settings!$B$9+SUM($J$5:J208))</f>
        <v/>
      </c>
      <c r="X208" s="71">
        <f>IF($A208="","",IF(AND(N208&gt;0,F208&gt;0),ROUND(F208/N208,0),X207))</f>
        <v/>
      </c>
      <c r="Y208" s="74">
        <f>IF($A208="","",IF(AND(M208&gt;0,L208&gt;0),ROUND(L208/M208,0),IF(AND(J208&gt;0,B208&gt;0),ROUND(B208/J208,0),Y207)))</f>
        <v/>
      </c>
    </row>
    <row r="209">
      <c r="A209" s="67" t="n"/>
      <c r="B209" s="68" t="n"/>
      <c r="C209" s="69" t="n"/>
      <c r="D209" s="68" t="n"/>
      <c r="E209" s="69" t="n"/>
      <c r="F209" s="68" t="n"/>
      <c r="G209" s="69" t="n"/>
      <c r="H209" s="68" t="n"/>
      <c r="I209" s="70">
        <f>IF($A209="","",R208)</f>
        <v/>
      </c>
      <c r="J209" s="71">
        <f>IF($A209="","",IF(C209="",0,C209))</f>
        <v/>
      </c>
      <c r="K209" s="71">
        <f>IF($A209="","",IF(E209="",0,E209))</f>
        <v/>
      </c>
      <c r="L209" s="70">
        <f>IF($A209="","",B209-D209)</f>
        <v/>
      </c>
      <c r="M209" s="71">
        <f>IF($A209="","",J209-K209)</f>
        <v/>
      </c>
      <c r="N209" s="71">
        <f>IF($A209="","",IF(G209="",0,G209))</f>
        <v/>
      </c>
      <c r="O209" s="70">
        <f>IF($A209="","",D209+F209)</f>
        <v/>
      </c>
      <c r="P209" s="71">
        <f>IF($A209="","",K209+N209)</f>
        <v/>
      </c>
      <c r="Q209" s="70">
        <f>IF($A209="","",I209+L209-F209)</f>
        <v/>
      </c>
      <c r="R209" s="72">
        <f>IF($A209="","",IF(H209="",Q209,H209))</f>
        <v/>
      </c>
      <c r="S209" s="73">
        <f>IF($A209="","",R209-Q209)</f>
        <v/>
      </c>
      <c r="T209" s="70">
        <f>IF($A209="","",SUMIFS($B$5:$B$800,$A$5:$A$800,"&gt;="&amp;DATE(YEAR($A209),MONTH($A209),1),$A$5:$A$800,"&lt;="&amp;$A209)+IF(AND(YEAR($A209)=YEAR(Settings!$B$3),MONTH($A209)=MONTH(Settings!$B$3)),Settings!$B$6,0))</f>
        <v/>
      </c>
      <c r="U209" s="71">
        <f>IF($A209="","",SUMIFS($J$5:$J$800,$A$5:$A$800,"&gt;="&amp;DATE(YEAR($A209),MONTH($A209),1),$A$5:$A$800,"&lt;="&amp;$A209)+IF(AND(YEAR($A209)=YEAR(Settings!$B$3),MONTH($A209)=MONTH(Settings!$B$3)),Settings!$B$7,0))</f>
        <v/>
      </c>
      <c r="V209" s="70">
        <f>IF($A209="","",Settings!$B$8+SUM($B$5:B209))</f>
        <v/>
      </c>
      <c r="W209" s="71">
        <f>IF($A209="","",Settings!$B$9+SUM($J$5:J209))</f>
        <v/>
      </c>
      <c r="X209" s="71">
        <f>IF($A209="","",IF(AND(N209&gt;0,F209&gt;0),ROUND(F209/N209,0),X208))</f>
        <v/>
      </c>
      <c r="Y209" s="74">
        <f>IF($A209="","",IF(AND(M209&gt;0,L209&gt;0),ROUND(L209/M209,0),IF(AND(J209&gt;0,B209&gt;0),ROUND(B209/J209,0),Y208)))</f>
        <v/>
      </c>
    </row>
    <row r="210">
      <c r="A210" s="67" t="n"/>
      <c r="B210" s="68" t="n"/>
      <c r="C210" s="69" t="n"/>
      <c r="D210" s="68" t="n"/>
      <c r="E210" s="69" t="n"/>
      <c r="F210" s="68" t="n"/>
      <c r="G210" s="69" t="n"/>
      <c r="H210" s="68" t="n"/>
      <c r="I210" s="70">
        <f>IF($A210="","",R209)</f>
        <v/>
      </c>
      <c r="J210" s="71">
        <f>IF($A210="","",IF(C210="",0,C210))</f>
        <v/>
      </c>
      <c r="K210" s="71">
        <f>IF($A210="","",IF(E210="",0,E210))</f>
        <v/>
      </c>
      <c r="L210" s="70">
        <f>IF($A210="","",B210-D210)</f>
        <v/>
      </c>
      <c r="M210" s="71">
        <f>IF($A210="","",J210-K210)</f>
        <v/>
      </c>
      <c r="N210" s="71">
        <f>IF($A210="","",IF(G210="",0,G210))</f>
        <v/>
      </c>
      <c r="O210" s="70">
        <f>IF($A210="","",D210+F210)</f>
        <v/>
      </c>
      <c r="P210" s="71">
        <f>IF($A210="","",K210+N210)</f>
        <v/>
      </c>
      <c r="Q210" s="70">
        <f>IF($A210="","",I210+L210-F210)</f>
        <v/>
      </c>
      <c r="R210" s="72">
        <f>IF($A210="","",IF(H210="",Q210,H210))</f>
        <v/>
      </c>
      <c r="S210" s="73">
        <f>IF($A210="","",R210-Q210)</f>
        <v/>
      </c>
      <c r="T210" s="70">
        <f>IF($A210="","",SUMIFS($B$5:$B$800,$A$5:$A$800,"&gt;="&amp;DATE(YEAR($A210),MONTH($A210),1),$A$5:$A$800,"&lt;="&amp;$A210)+IF(AND(YEAR($A210)=YEAR(Settings!$B$3),MONTH($A210)=MONTH(Settings!$B$3)),Settings!$B$6,0))</f>
        <v/>
      </c>
      <c r="U210" s="71">
        <f>IF($A210="","",SUMIFS($J$5:$J$800,$A$5:$A$800,"&gt;="&amp;DATE(YEAR($A210),MONTH($A210),1),$A$5:$A$800,"&lt;="&amp;$A210)+IF(AND(YEAR($A210)=YEAR(Settings!$B$3),MONTH($A210)=MONTH(Settings!$B$3)),Settings!$B$7,0))</f>
        <v/>
      </c>
      <c r="V210" s="70">
        <f>IF($A210="","",Settings!$B$8+SUM($B$5:B210))</f>
        <v/>
      </c>
      <c r="W210" s="71">
        <f>IF($A210="","",Settings!$B$9+SUM($J$5:J210))</f>
        <v/>
      </c>
      <c r="X210" s="71">
        <f>IF($A210="","",IF(AND(N210&gt;0,F210&gt;0),ROUND(F210/N210,0),X209))</f>
        <v/>
      </c>
      <c r="Y210" s="74">
        <f>IF($A210="","",IF(AND(M210&gt;0,L210&gt;0),ROUND(L210/M210,0),IF(AND(J210&gt;0,B210&gt;0),ROUND(B210/J210,0),Y209)))</f>
        <v/>
      </c>
    </row>
    <row r="211">
      <c r="A211" s="67" t="n"/>
      <c r="B211" s="68" t="n"/>
      <c r="C211" s="69" t="n"/>
      <c r="D211" s="68" t="n"/>
      <c r="E211" s="69" t="n"/>
      <c r="F211" s="68" t="n"/>
      <c r="G211" s="69" t="n"/>
      <c r="H211" s="68" t="n"/>
      <c r="I211" s="70">
        <f>IF($A211="","",R210)</f>
        <v/>
      </c>
      <c r="J211" s="71">
        <f>IF($A211="","",IF(C211="",0,C211))</f>
        <v/>
      </c>
      <c r="K211" s="71">
        <f>IF($A211="","",IF(E211="",0,E211))</f>
        <v/>
      </c>
      <c r="L211" s="70">
        <f>IF($A211="","",B211-D211)</f>
        <v/>
      </c>
      <c r="M211" s="71">
        <f>IF($A211="","",J211-K211)</f>
        <v/>
      </c>
      <c r="N211" s="71">
        <f>IF($A211="","",IF(G211="",0,G211))</f>
        <v/>
      </c>
      <c r="O211" s="70">
        <f>IF($A211="","",D211+F211)</f>
        <v/>
      </c>
      <c r="P211" s="71">
        <f>IF($A211="","",K211+N211)</f>
        <v/>
      </c>
      <c r="Q211" s="70">
        <f>IF($A211="","",I211+L211-F211)</f>
        <v/>
      </c>
      <c r="R211" s="72">
        <f>IF($A211="","",IF(H211="",Q211,H211))</f>
        <v/>
      </c>
      <c r="S211" s="73">
        <f>IF($A211="","",R211-Q211)</f>
        <v/>
      </c>
      <c r="T211" s="70">
        <f>IF($A211="","",SUMIFS($B$5:$B$800,$A$5:$A$800,"&gt;="&amp;DATE(YEAR($A211),MONTH($A211),1),$A$5:$A$800,"&lt;="&amp;$A211)+IF(AND(YEAR($A211)=YEAR(Settings!$B$3),MONTH($A211)=MONTH(Settings!$B$3)),Settings!$B$6,0))</f>
        <v/>
      </c>
      <c r="U211" s="71">
        <f>IF($A211="","",SUMIFS($J$5:$J$800,$A$5:$A$800,"&gt;="&amp;DATE(YEAR($A211),MONTH($A211),1),$A$5:$A$800,"&lt;="&amp;$A211)+IF(AND(YEAR($A211)=YEAR(Settings!$B$3),MONTH($A211)=MONTH(Settings!$B$3)),Settings!$B$7,0))</f>
        <v/>
      </c>
      <c r="V211" s="70">
        <f>IF($A211="","",Settings!$B$8+SUM($B$5:B211))</f>
        <v/>
      </c>
      <c r="W211" s="71">
        <f>IF($A211="","",Settings!$B$9+SUM($J$5:J211))</f>
        <v/>
      </c>
      <c r="X211" s="71">
        <f>IF($A211="","",IF(AND(N211&gt;0,F211&gt;0),ROUND(F211/N211,0),X210))</f>
        <v/>
      </c>
      <c r="Y211" s="74">
        <f>IF($A211="","",IF(AND(M211&gt;0,L211&gt;0),ROUND(L211/M211,0),IF(AND(J211&gt;0,B211&gt;0),ROUND(B211/J211,0),Y210)))</f>
        <v/>
      </c>
    </row>
    <row r="212">
      <c r="A212" s="67" t="n"/>
      <c r="B212" s="68" t="n"/>
      <c r="C212" s="69" t="n"/>
      <c r="D212" s="68" t="n"/>
      <c r="E212" s="69" t="n"/>
      <c r="F212" s="68" t="n"/>
      <c r="G212" s="69" t="n"/>
      <c r="H212" s="68" t="n"/>
      <c r="I212" s="70">
        <f>IF($A212="","",R211)</f>
        <v/>
      </c>
      <c r="J212" s="71">
        <f>IF($A212="","",IF(C212="",0,C212))</f>
        <v/>
      </c>
      <c r="K212" s="71">
        <f>IF($A212="","",IF(E212="",0,E212))</f>
        <v/>
      </c>
      <c r="L212" s="70">
        <f>IF($A212="","",B212-D212)</f>
        <v/>
      </c>
      <c r="M212" s="71">
        <f>IF($A212="","",J212-K212)</f>
        <v/>
      </c>
      <c r="N212" s="71">
        <f>IF($A212="","",IF(G212="",0,G212))</f>
        <v/>
      </c>
      <c r="O212" s="70">
        <f>IF($A212="","",D212+F212)</f>
        <v/>
      </c>
      <c r="P212" s="71">
        <f>IF($A212="","",K212+N212)</f>
        <v/>
      </c>
      <c r="Q212" s="70">
        <f>IF($A212="","",I212+L212-F212)</f>
        <v/>
      </c>
      <c r="R212" s="72">
        <f>IF($A212="","",IF(H212="",Q212,H212))</f>
        <v/>
      </c>
      <c r="S212" s="73">
        <f>IF($A212="","",R212-Q212)</f>
        <v/>
      </c>
      <c r="T212" s="70">
        <f>IF($A212="","",SUMIFS($B$5:$B$800,$A$5:$A$800,"&gt;="&amp;DATE(YEAR($A212),MONTH($A212),1),$A$5:$A$800,"&lt;="&amp;$A212)+IF(AND(YEAR($A212)=YEAR(Settings!$B$3),MONTH($A212)=MONTH(Settings!$B$3)),Settings!$B$6,0))</f>
        <v/>
      </c>
      <c r="U212" s="71">
        <f>IF($A212="","",SUMIFS($J$5:$J$800,$A$5:$A$800,"&gt;="&amp;DATE(YEAR($A212),MONTH($A212),1),$A$5:$A$800,"&lt;="&amp;$A212)+IF(AND(YEAR($A212)=YEAR(Settings!$B$3),MONTH($A212)=MONTH(Settings!$B$3)),Settings!$B$7,0))</f>
        <v/>
      </c>
      <c r="V212" s="70">
        <f>IF($A212="","",Settings!$B$8+SUM($B$5:B212))</f>
        <v/>
      </c>
      <c r="W212" s="71">
        <f>IF($A212="","",Settings!$B$9+SUM($J$5:J212))</f>
        <v/>
      </c>
      <c r="X212" s="71">
        <f>IF($A212="","",IF(AND(N212&gt;0,F212&gt;0),ROUND(F212/N212,0),X211))</f>
        <v/>
      </c>
      <c r="Y212" s="74">
        <f>IF($A212="","",IF(AND(M212&gt;0,L212&gt;0),ROUND(L212/M212,0),IF(AND(J212&gt;0,B212&gt;0),ROUND(B212/J212,0),Y211)))</f>
        <v/>
      </c>
    </row>
    <row r="213">
      <c r="A213" s="67" t="n"/>
      <c r="B213" s="68" t="n"/>
      <c r="C213" s="69" t="n"/>
      <c r="D213" s="68" t="n"/>
      <c r="E213" s="69" t="n"/>
      <c r="F213" s="68" t="n"/>
      <c r="G213" s="69" t="n"/>
      <c r="H213" s="68" t="n"/>
      <c r="I213" s="70">
        <f>IF($A213="","",R212)</f>
        <v/>
      </c>
      <c r="J213" s="71">
        <f>IF($A213="","",IF(C213="",0,C213))</f>
        <v/>
      </c>
      <c r="K213" s="71">
        <f>IF($A213="","",IF(E213="",0,E213))</f>
        <v/>
      </c>
      <c r="L213" s="70">
        <f>IF($A213="","",B213-D213)</f>
        <v/>
      </c>
      <c r="M213" s="71">
        <f>IF($A213="","",J213-K213)</f>
        <v/>
      </c>
      <c r="N213" s="71">
        <f>IF($A213="","",IF(G213="",0,G213))</f>
        <v/>
      </c>
      <c r="O213" s="70">
        <f>IF($A213="","",D213+F213)</f>
        <v/>
      </c>
      <c r="P213" s="71">
        <f>IF($A213="","",K213+N213)</f>
        <v/>
      </c>
      <c r="Q213" s="70">
        <f>IF($A213="","",I213+L213-F213)</f>
        <v/>
      </c>
      <c r="R213" s="72">
        <f>IF($A213="","",IF(H213="",Q213,H213))</f>
        <v/>
      </c>
      <c r="S213" s="73">
        <f>IF($A213="","",R213-Q213)</f>
        <v/>
      </c>
      <c r="T213" s="70">
        <f>IF($A213="","",SUMIFS($B$5:$B$800,$A$5:$A$800,"&gt;="&amp;DATE(YEAR($A213),MONTH($A213),1),$A$5:$A$800,"&lt;="&amp;$A213)+IF(AND(YEAR($A213)=YEAR(Settings!$B$3),MONTH($A213)=MONTH(Settings!$B$3)),Settings!$B$6,0))</f>
        <v/>
      </c>
      <c r="U213" s="71">
        <f>IF($A213="","",SUMIFS($J$5:$J$800,$A$5:$A$800,"&gt;="&amp;DATE(YEAR($A213),MONTH($A213),1),$A$5:$A$800,"&lt;="&amp;$A213)+IF(AND(YEAR($A213)=YEAR(Settings!$B$3),MONTH($A213)=MONTH(Settings!$B$3)),Settings!$B$7,0))</f>
        <v/>
      </c>
      <c r="V213" s="70">
        <f>IF($A213="","",Settings!$B$8+SUM($B$5:B213))</f>
        <v/>
      </c>
      <c r="W213" s="71">
        <f>IF($A213="","",Settings!$B$9+SUM($J$5:J213))</f>
        <v/>
      </c>
      <c r="X213" s="71">
        <f>IF($A213="","",IF(AND(N213&gt;0,F213&gt;0),ROUND(F213/N213,0),X212))</f>
        <v/>
      </c>
      <c r="Y213" s="74">
        <f>IF($A213="","",IF(AND(M213&gt;0,L213&gt;0),ROUND(L213/M213,0),IF(AND(J213&gt;0,B213&gt;0),ROUND(B213/J213,0),Y212)))</f>
        <v/>
      </c>
    </row>
    <row r="214">
      <c r="A214" s="67" t="n"/>
      <c r="B214" s="68" t="n"/>
      <c r="C214" s="69" t="n"/>
      <c r="D214" s="68" t="n"/>
      <c r="E214" s="69" t="n"/>
      <c r="F214" s="68" t="n"/>
      <c r="G214" s="69" t="n"/>
      <c r="H214" s="68" t="n"/>
      <c r="I214" s="70">
        <f>IF($A214="","",R213)</f>
        <v/>
      </c>
      <c r="J214" s="71">
        <f>IF($A214="","",IF(C214="",0,C214))</f>
        <v/>
      </c>
      <c r="K214" s="71">
        <f>IF($A214="","",IF(E214="",0,E214))</f>
        <v/>
      </c>
      <c r="L214" s="70">
        <f>IF($A214="","",B214-D214)</f>
        <v/>
      </c>
      <c r="M214" s="71">
        <f>IF($A214="","",J214-K214)</f>
        <v/>
      </c>
      <c r="N214" s="71">
        <f>IF($A214="","",IF(G214="",0,G214))</f>
        <v/>
      </c>
      <c r="O214" s="70">
        <f>IF($A214="","",D214+F214)</f>
        <v/>
      </c>
      <c r="P214" s="71">
        <f>IF($A214="","",K214+N214)</f>
        <v/>
      </c>
      <c r="Q214" s="70">
        <f>IF($A214="","",I214+L214-F214)</f>
        <v/>
      </c>
      <c r="R214" s="72">
        <f>IF($A214="","",IF(H214="",Q214,H214))</f>
        <v/>
      </c>
      <c r="S214" s="73">
        <f>IF($A214="","",R214-Q214)</f>
        <v/>
      </c>
      <c r="T214" s="70">
        <f>IF($A214="","",SUMIFS($B$5:$B$800,$A$5:$A$800,"&gt;="&amp;DATE(YEAR($A214),MONTH($A214),1),$A$5:$A$800,"&lt;="&amp;$A214)+IF(AND(YEAR($A214)=YEAR(Settings!$B$3),MONTH($A214)=MONTH(Settings!$B$3)),Settings!$B$6,0))</f>
        <v/>
      </c>
      <c r="U214" s="71">
        <f>IF($A214="","",SUMIFS($J$5:$J$800,$A$5:$A$800,"&gt;="&amp;DATE(YEAR($A214),MONTH($A214),1),$A$5:$A$800,"&lt;="&amp;$A214)+IF(AND(YEAR($A214)=YEAR(Settings!$B$3),MONTH($A214)=MONTH(Settings!$B$3)),Settings!$B$7,0))</f>
        <v/>
      </c>
      <c r="V214" s="70">
        <f>IF($A214="","",Settings!$B$8+SUM($B$5:B214))</f>
        <v/>
      </c>
      <c r="W214" s="71">
        <f>IF($A214="","",Settings!$B$9+SUM($J$5:J214))</f>
        <v/>
      </c>
      <c r="X214" s="71">
        <f>IF($A214="","",IF(AND(N214&gt;0,F214&gt;0),ROUND(F214/N214,0),X213))</f>
        <v/>
      </c>
      <c r="Y214" s="74">
        <f>IF($A214="","",IF(AND(M214&gt;0,L214&gt;0),ROUND(L214/M214,0),IF(AND(J214&gt;0,B214&gt;0),ROUND(B214/J214,0),Y213)))</f>
        <v/>
      </c>
    </row>
    <row r="215">
      <c r="A215" s="67" t="n"/>
      <c r="B215" s="68" t="n"/>
      <c r="C215" s="69" t="n"/>
      <c r="D215" s="68" t="n"/>
      <c r="E215" s="69" t="n"/>
      <c r="F215" s="68" t="n"/>
      <c r="G215" s="69" t="n"/>
      <c r="H215" s="68" t="n"/>
      <c r="I215" s="70">
        <f>IF($A215="","",R214)</f>
        <v/>
      </c>
      <c r="J215" s="71">
        <f>IF($A215="","",IF(C215="",0,C215))</f>
        <v/>
      </c>
      <c r="K215" s="71">
        <f>IF($A215="","",IF(E215="",0,E215))</f>
        <v/>
      </c>
      <c r="L215" s="70">
        <f>IF($A215="","",B215-D215)</f>
        <v/>
      </c>
      <c r="M215" s="71">
        <f>IF($A215="","",J215-K215)</f>
        <v/>
      </c>
      <c r="N215" s="71">
        <f>IF($A215="","",IF(G215="",0,G215))</f>
        <v/>
      </c>
      <c r="O215" s="70">
        <f>IF($A215="","",D215+F215)</f>
        <v/>
      </c>
      <c r="P215" s="71">
        <f>IF($A215="","",K215+N215)</f>
        <v/>
      </c>
      <c r="Q215" s="70">
        <f>IF($A215="","",I215+L215-F215)</f>
        <v/>
      </c>
      <c r="R215" s="72">
        <f>IF($A215="","",IF(H215="",Q215,H215))</f>
        <v/>
      </c>
      <c r="S215" s="73">
        <f>IF($A215="","",R215-Q215)</f>
        <v/>
      </c>
      <c r="T215" s="70">
        <f>IF($A215="","",SUMIFS($B$5:$B$800,$A$5:$A$800,"&gt;="&amp;DATE(YEAR($A215),MONTH($A215),1),$A$5:$A$800,"&lt;="&amp;$A215)+IF(AND(YEAR($A215)=YEAR(Settings!$B$3),MONTH($A215)=MONTH(Settings!$B$3)),Settings!$B$6,0))</f>
        <v/>
      </c>
      <c r="U215" s="71">
        <f>IF($A215="","",SUMIFS($J$5:$J$800,$A$5:$A$800,"&gt;="&amp;DATE(YEAR($A215),MONTH($A215),1),$A$5:$A$800,"&lt;="&amp;$A215)+IF(AND(YEAR($A215)=YEAR(Settings!$B$3),MONTH($A215)=MONTH(Settings!$B$3)),Settings!$B$7,0))</f>
        <v/>
      </c>
      <c r="V215" s="70">
        <f>IF($A215="","",Settings!$B$8+SUM($B$5:B215))</f>
        <v/>
      </c>
      <c r="W215" s="71">
        <f>IF($A215="","",Settings!$B$9+SUM($J$5:J215))</f>
        <v/>
      </c>
      <c r="X215" s="71">
        <f>IF($A215="","",IF(AND(N215&gt;0,F215&gt;0),ROUND(F215/N215,0),X214))</f>
        <v/>
      </c>
      <c r="Y215" s="74">
        <f>IF($A215="","",IF(AND(M215&gt;0,L215&gt;0),ROUND(L215/M215,0),IF(AND(J215&gt;0,B215&gt;0),ROUND(B215/J215,0),Y214)))</f>
        <v/>
      </c>
    </row>
    <row r="216">
      <c r="A216" s="67" t="n"/>
      <c r="B216" s="68" t="n"/>
      <c r="C216" s="69" t="n"/>
      <c r="D216" s="68" t="n"/>
      <c r="E216" s="69" t="n"/>
      <c r="F216" s="68" t="n"/>
      <c r="G216" s="69" t="n"/>
      <c r="H216" s="68" t="n"/>
      <c r="I216" s="70">
        <f>IF($A216="","",R215)</f>
        <v/>
      </c>
      <c r="J216" s="71">
        <f>IF($A216="","",IF(C216="",0,C216))</f>
        <v/>
      </c>
      <c r="K216" s="71">
        <f>IF($A216="","",IF(E216="",0,E216))</f>
        <v/>
      </c>
      <c r="L216" s="70">
        <f>IF($A216="","",B216-D216)</f>
        <v/>
      </c>
      <c r="M216" s="71">
        <f>IF($A216="","",J216-K216)</f>
        <v/>
      </c>
      <c r="N216" s="71">
        <f>IF($A216="","",IF(G216="",0,G216))</f>
        <v/>
      </c>
      <c r="O216" s="70">
        <f>IF($A216="","",D216+F216)</f>
        <v/>
      </c>
      <c r="P216" s="71">
        <f>IF($A216="","",K216+N216)</f>
        <v/>
      </c>
      <c r="Q216" s="70">
        <f>IF($A216="","",I216+L216-F216)</f>
        <v/>
      </c>
      <c r="R216" s="72">
        <f>IF($A216="","",IF(H216="",Q216,H216))</f>
        <v/>
      </c>
      <c r="S216" s="73">
        <f>IF($A216="","",R216-Q216)</f>
        <v/>
      </c>
      <c r="T216" s="70">
        <f>IF($A216="","",SUMIFS($B$5:$B$800,$A$5:$A$800,"&gt;="&amp;DATE(YEAR($A216),MONTH($A216),1),$A$5:$A$800,"&lt;="&amp;$A216)+IF(AND(YEAR($A216)=YEAR(Settings!$B$3),MONTH($A216)=MONTH(Settings!$B$3)),Settings!$B$6,0))</f>
        <v/>
      </c>
      <c r="U216" s="71">
        <f>IF($A216="","",SUMIFS($J$5:$J$800,$A$5:$A$800,"&gt;="&amp;DATE(YEAR($A216),MONTH($A216),1),$A$5:$A$800,"&lt;="&amp;$A216)+IF(AND(YEAR($A216)=YEAR(Settings!$B$3),MONTH($A216)=MONTH(Settings!$B$3)),Settings!$B$7,0))</f>
        <v/>
      </c>
      <c r="V216" s="70">
        <f>IF($A216="","",Settings!$B$8+SUM($B$5:B216))</f>
        <v/>
      </c>
      <c r="W216" s="71">
        <f>IF($A216="","",Settings!$B$9+SUM($J$5:J216))</f>
        <v/>
      </c>
      <c r="X216" s="71">
        <f>IF($A216="","",IF(AND(N216&gt;0,F216&gt;0),ROUND(F216/N216,0),X215))</f>
        <v/>
      </c>
      <c r="Y216" s="74">
        <f>IF($A216="","",IF(AND(M216&gt;0,L216&gt;0),ROUND(L216/M216,0),IF(AND(J216&gt;0,B216&gt;0),ROUND(B216/J216,0),Y215)))</f>
        <v/>
      </c>
    </row>
    <row r="217">
      <c r="A217" s="67" t="n"/>
      <c r="B217" s="68" t="n"/>
      <c r="C217" s="69" t="n"/>
      <c r="D217" s="68" t="n"/>
      <c r="E217" s="69" t="n"/>
      <c r="F217" s="68" t="n"/>
      <c r="G217" s="69" t="n"/>
      <c r="H217" s="68" t="n"/>
      <c r="I217" s="70">
        <f>IF($A217="","",R216)</f>
        <v/>
      </c>
      <c r="J217" s="71">
        <f>IF($A217="","",IF(C217="",0,C217))</f>
        <v/>
      </c>
      <c r="K217" s="71">
        <f>IF($A217="","",IF(E217="",0,E217))</f>
        <v/>
      </c>
      <c r="L217" s="70">
        <f>IF($A217="","",B217-D217)</f>
        <v/>
      </c>
      <c r="M217" s="71">
        <f>IF($A217="","",J217-K217)</f>
        <v/>
      </c>
      <c r="N217" s="71">
        <f>IF($A217="","",IF(G217="",0,G217))</f>
        <v/>
      </c>
      <c r="O217" s="70">
        <f>IF($A217="","",D217+F217)</f>
        <v/>
      </c>
      <c r="P217" s="71">
        <f>IF($A217="","",K217+N217)</f>
        <v/>
      </c>
      <c r="Q217" s="70">
        <f>IF($A217="","",I217+L217-F217)</f>
        <v/>
      </c>
      <c r="R217" s="72">
        <f>IF($A217="","",IF(H217="",Q217,H217))</f>
        <v/>
      </c>
      <c r="S217" s="73">
        <f>IF($A217="","",R217-Q217)</f>
        <v/>
      </c>
      <c r="T217" s="70">
        <f>IF($A217="","",SUMIFS($B$5:$B$800,$A$5:$A$800,"&gt;="&amp;DATE(YEAR($A217),MONTH($A217),1),$A$5:$A$800,"&lt;="&amp;$A217)+IF(AND(YEAR($A217)=YEAR(Settings!$B$3),MONTH($A217)=MONTH(Settings!$B$3)),Settings!$B$6,0))</f>
        <v/>
      </c>
      <c r="U217" s="71">
        <f>IF($A217="","",SUMIFS($J$5:$J$800,$A$5:$A$800,"&gt;="&amp;DATE(YEAR($A217),MONTH($A217),1),$A$5:$A$800,"&lt;="&amp;$A217)+IF(AND(YEAR($A217)=YEAR(Settings!$B$3),MONTH($A217)=MONTH(Settings!$B$3)),Settings!$B$7,0))</f>
        <v/>
      </c>
      <c r="V217" s="70">
        <f>IF($A217="","",Settings!$B$8+SUM($B$5:B217))</f>
        <v/>
      </c>
      <c r="W217" s="71">
        <f>IF($A217="","",Settings!$B$9+SUM($J$5:J217))</f>
        <v/>
      </c>
      <c r="X217" s="71">
        <f>IF($A217="","",IF(AND(N217&gt;0,F217&gt;0),ROUND(F217/N217,0),X216))</f>
        <v/>
      </c>
      <c r="Y217" s="74">
        <f>IF($A217="","",IF(AND(M217&gt;0,L217&gt;0),ROUND(L217/M217,0),IF(AND(J217&gt;0,B217&gt;0),ROUND(B217/J217,0),Y216)))</f>
        <v/>
      </c>
    </row>
    <row r="218">
      <c r="A218" s="67" t="n"/>
      <c r="B218" s="68" t="n"/>
      <c r="C218" s="69" t="n"/>
      <c r="D218" s="68" t="n"/>
      <c r="E218" s="69" t="n"/>
      <c r="F218" s="68" t="n"/>
      <c r="G218" s="69" t="n"/>
      <c r="H218" s="68" t="n"/>
      <c r="I218" s="70">
        <f>IF($A218="","",R217)</f>
        <v/>
      </c>
      <c r="J218" s="71">
        <f>IF($A218="","",IF(C218="",0,C218))</f>
        <v/>
      </c>
      <c r="K218" s="71">
        <f>IF($A218="","",IF(E218="",0,E218))</f>
        <v/>
      </c>
      <c r="L218" s="70">
        <f>IF($A218="","",B218-D218)</f>
        <v/>
      </c>
      <c r="M218" s="71">
        <f>IF($A218="","",J218-K218)</f>
        <v/>
      </c>
      <c r="N218" s="71">
        <f>IF($A218="","",IF(G218="",0,G218))</f>
        <v/>
      </c>
      <c r="O218" s="70">
        <f>IF($A218="","",D218+F218)</f>
        <v/>
      </c>
      <c r="P218" s="71">
        <f>IF($A218="","",K218+N218)</f>
        <v/>
      </c>
      <c r="Q218" s="70">
        <f>IF($A218="","",I218+L218-F218)</f>
        <v/>
      </c>
      <c r="R218" s="72">
        <f>IF($A218="","",IF(H218="",Q218,H218))</f>
        <v/>
      </c>
      <c r="S218" s="73">
        <f>IF($A218="","",R218-Q218)</f>
        <v/>
      </c>
      <c r="T218" s="70">
        <f>IF($A218="","",SUMIFS($B$5:$B$800,$A$5:$A$800,"&gt;="&amp;DATE(YEAR($A218),MONTH($A218),1),$A$5:$A$800,"&lt;="&amp;$A218)+IF(AND(YEAR($A218)=YEAR(Settings!$B$3),MONTH($A218)=MONTH(Settings!$B$3)),Settings!$B$6,0))</f>
        <v/>
      </c>
      <c r="U218" s="71">
        <f>IF($A218="","",SUMIFS($J$5:$J$800,$A$5:$A$800,"&gt;="&amp;DATE(YEAR($A218),MONTH($A218),1),$A$5:$A$800,"&lt;="&amp;$A218)+IF(AND(YEAR($A218)=YEAR(Settings!$B$3),MONTH($A218)=MONTH(Settings!$B$3)),Settings!$B$7,0))</f>
        <v/>
      </c>
      <c r="V218" s="70">
        <f>IF($A218="","",Settings!$B$8+SUM($B$5:B218))</f>
        <v/>
      </c>
      <c r="W218" s="71">
        <f>IF($A218="","",Settings!$B$9+SUM($J$5:J218))</f>
        <v/>
      </c>
      <c r="X218" s="71">
        <f>IF($A218="","",IF(AND(N218&gt;0,F218&gt;0),ROUND(F218/N218,0),X217))</f>
        <v/>
      </c>
      <c r="Y218" s="74">
        <f>IF($A218="","",IF(AND(M218&gt;0,L218&gt;0),ROUND(L218/M218,0),IF(AND(J218&gt;0,B218&gt;0),ROUND(B218/J218,0),Y217)))</f>
        <v/>
      </c>
    </row>
    <row r="219">
      <c r="A219" s="67" t="n"/>
      <c r="B219" s="68" t="n"/>
      <c r="C219" s="69" t="n"/>
      <c r="D219" s="68" t="n"/>
      <c r="E219" s="69" t="n"/>
      <c r="F219" s="68" t="n"/>
      <c r="G219" s="69" t="n"/>
      <c r="H219" s="68" t="n"/>
      <c r="I219" s="70">
        <f>IF($A219="","",R218)</f>
        <v/>
      </c>
      <c r="J219" s="71">
        <f>IF($A219="","",IF(C219="",0,C219))</f>
        <v/>
      </c>
      <c r="K219" s="71">
        <f>IF($A219="","",IF(E219="",0,E219))</f>
        <v/>
      </c>
      <c r="L219" s="70">
        <f>IF($A219="","",B219-D219)</f>
        <v/>
      </c>
      <c r="M219" s="71">
        <f>IF($A219="","",J219-K219)</f>
        <v/>
      </c>
      <c r="N219" s="71">
        <f>IF($A219="","",IF(G219="",0,G219))</f>
        <v/>
      </c>
      <c r="O219" s="70">
        <f>IF($A219="","",D219+F219)</f>
        <v/>
      </c>
      <c r="P219" s="71">
        <f>IF($A219="","",K219+N219)</f>
        <v/>
      </c>
      <c r="Q219" s="70">
        <f>IF($A219="","",I219+L219-F219)</f>
        <v/>
      </c>
      <c r="R219" s="72">
        <f>IF($A219="","",IF(H219="",Q219,H219))</f>
        <v/>
      </c>
      <c r="S219" s="73">
        <f>IF($A219="","",R219-Q219)</f>
        <v/>
      </c>
      <c r="T219" s="70">
        <f>IF($A219="","",SUMIFS($B$5:$B$800,$A$5:$A$800,"&gt;="&amp;DATE(YEAR($A219),MONTH($A219),1),$A$5:$A$800,"&lt;="&amp;$A219)+IF(AND(YEAR($A219)=YEAR(Settings!$B$3),MONTH($A219)=MONTH(Settings!$B$3)),Settings!$B$6,0))</f>
        <v/>
      </c>
      <c r="U219" s="71">
        <f>IF($A219="","",SUMIFS($J$5:$J$800,$A$5:$A$800,"&gt;="&amp;DATE(YEAR($A219),MONTH($A219),1),$A$5:$A$800,"&lt;="&amp;$A219)+IF(AND(YEAR($A219)=YEAR(Settings!$B$3),MONTH($A219)=MONTH(Settings!$B$3)),Settings!$B$7,0))</f>
        <v/>
      </c>
      <c r="V219" s="70">
        <f>IF($A219="","",Settings!$B$8+SUM($B$5:B219))</f>
        <v/>
      </c>
      <c r="W219" s="71">
        <f>IF($A219="","",Settings!$B$9+SUM($J$5:J219))</f>
        <v/>
      </c>
      <c r="X219" s="71">
        <f>IF($A219="","",IF(AND(N219&gt;0,F219&gt;0),ROUND(F219/N219,0),X218))</f>
        <v/>
      </c>
      <c r="Y219" s="74">
        <f>IF($A219="","",IF(AND(M219&gt;0,L219&gt;0),ROUND(L219/M219,0),IF(AND(J219&gt;0,B219&gt;0),ROUND(B219/J219,0),Y218)))</f>
        <v/>
      </c>
    </row>
    <row r="220">
      <c r="A220" s="67" t="n"/>
      <c r="B220" s="68" t="n"/>
      <c r="C220" s="69" t="n"/>
      <c r="D220" s="68" t="n"/>
      <c r="E220" s="69" t="n"/>
      <c r="F220" s="68" t="n"/>
      <c r="G220" s="69" t="n"/>
      <c r="H220" s="68" t="n"/>
      <c r="I220" s="70">
        <f>IF($A220="","",R219)</f>
        <v/>
      </c>
      <c r="J220" s="71">
        <f>IF($A220="","",IF(C220="",0,C220))</f>
        <v/>
      </c>
      <c r="K220" s="71">
        <f>IF($A220="","",IF(E220="",0,E220))</f>
        <v/>
      </c>
      <c r="L220" s="70">
        <f>IF($A220="","",B220-D220)</f>
        <v/>
      </c>
      <c r="M220" s="71">
        <f>IF($A220="","",J220-K220)</f>
        <v/>
      </c>
      <c r="N220" s="71">
        <f>IF($A220="","",IF(G220="",0,G220))</f>
        <v/>
      </c>
      <c r="O220" s="70">
        <f>IF($A220="","",D220+F220)</f>
        <v/>
      </c>
      <c r="P220" s="71">
        <f>IF($A220="","",K220+N220)</f>
        <v/>
      </c>
      <c r="Q220" s="70">
        <f>IF($A220="","",I220+L220-F220)</f>
        <v/>
      </c>
      <c r="R220" s="72">
        <f>IF($A220="","",IF(H220="",Q220,H220))</f>
        <v/>
      </c>
      <c r="S220" s="73">
        <f>IF($A220="","",R220-Q220)</f>
        <v/>
      </c>
      <c r="T220" s="70">
        <f>IF($A220="","",SUMIFS($B$5:$B$800,$A$5:$A$800,"&gt;="&amp;DATE(YEAR($A220),MONTH($A220),1),$A$5:$A$800,"&lt;="&amp;$A220)+IF(AND(YEAR($A220)=YEAR(Settings!$B$3),MONTH($A220)=MONTH(Settings!$B$3)),Settings!$B$6,0))</f>
        <v/>
      </c>
      <c r="U220" s="71">
        <f>IF($A220="","",SUMIFS($J$5:$J$800,$A$5:$A$800,"&gt;="&amp;DATE(YEAR($A220),MONTH($A220),1),$A$5:$A$800,"&lt;="&amp;$A220)+IF(AND(YEAR($A220)=YEAR(Settings!$B$3),MONTH($A220)=MONTH(Settings!$B$3)),Settings!$B$7,0))</f>
        <v/>
      </c>
      <c r="V220" s="70">
        <f>IF($A220="","",Settings!$B$8+SUM($B$5:B220))</f>
        <v/>
      </c>
      <c r="W220" s="71">
        <f>IF($A220="","",Settings!$B$9+SUM($J$5:J220))</f>
        <v/>
      </c>
      <c r="X220" s="71">
        <f>IF($A220="","",IF(AND(N220&gt;0,F220&gt;0),ROUND(F220/N220,0),X219))</f>
        <v/>
      </c>
      <c r="Y220" s="74">
        <f>IF($A220="","",IF(AND(M220&gt;0,L220&gt;0),ROUND(L220/M220,0),IF(AND(J220&gt;0,B220&gt;0),ROUND(B220/J220,0),Y219)))</f>
        <v/>
      </c>
    </row>
    <row r="221">
      <c r="A221" s="67" t="n"/>
      <c r="B221" s="68" t="n"/>
      <c r="C221" s="69" t="n"/>
      <c r="D221" s="68" t="n"/>
      <c r="E221" s="69" t="n"/>
      <c r="F221" s="68" t="n"/>
      <c r="G221" s="69" t="n"/>
      <c r="H221" s="68" t="n"/>
      <c r="I221" s="70">
        <f>IF($A221="","",R220)</f>
        <v/>
      </c>
      <c r="J221" s="71">
        <f>IF($A221="","",IF(C221="",0,C221))</f>
        <v/>
      </c>
      <c r="K221" s="71">
        <f>IF($A221="","",IF(E221="",0,E221))</f>
        <v/>
      </c>
      <c r="L221" s="70">
        <f>IF($A221="","",B221-D221)</f>
        <v/>
      </c>
      <c r="M221" s="71">
        <f>IF($A221="","",J221-K221)</f>
        <v/>
      </c>
      <c r="N221" s="71">
        <f>IF($A221="","",IF(G221="",0,G221))</f>
        <v/>
      </c>
      <c r="O221" s="70">
        <f>IF($A221="","",D221+F221)</f>
        <v/>
      </c>
      <c r="P221" s="71">
        <f>IF($A221="","",K221+N221)</f>
        <v/>
      </c>
      <c r="Q221" s="70">
        <f>IF($A221="","",I221+L221-F221)</f>
        <v/>
      </c>
      <c r="R221" s="72">
        <f>IF($A221="","",IF(H221="",Q221,H221))</f>
        <v/>
      </c>
      <c r="S221" s="73">
        <f>IF($A221="","",R221-Q221)</f>
        <v/>
      </c>
      <c r="T221" s="70">
        <f>IF($A221="","",SUMIFS($B$5:$B$800,$A$5:$A$800,"&gt;="&amp;DATE(YEAR($A221),MONTH($A221),1),$A$5:$A$800,"&lt;="&amp;$A221)+IF(AND(YEAR($A221)=YEAR(Settings!$B$3),MONTH($A221)=MONTH(Settings!$B$3)),Settings!$B$6,0))</f>
        <v/>
      </c>
      <c r="U221" s="71">
        <f>IF($A221="","",SUMIFS($J$5:$J$800,$A$5:$A$800,"&gt;="&amp;DATE(YEAR($A221),MONTH($A221),1),$A$5:$A$800,"&lt;="&amp;$A221)+IF(AND(YEAR($A221)=YEAR(Settings!$B$3),MONTH($A221)=MONTH(Settings!$B$3)),Settings!$B$7,0))</f>
        <v/>
      </c>
      <c r="V221" s="70">
        <f>IF($A221="","",Settings!$B$8+SUM($B$5:B221))</f>
        <v/>
      </c>
      <c r="W221" s="71">
        <f>IF($A221="","",Settings!$B$9+SUM($J$5:J221))</f>
        <v/>
      </c>
      <c r="X221" s="71">
        <f>IF($A221="","",IF(AND(N221&gt;0,F221&gt;0),ROUND(F221/N221,0),X220))</f>
        <v/>
      </c>
      <c r="Y221" s="74">
        <f>IF($A221="","",IF(AND(M221&gt;0,L221&gt;0),ROUND(L221/M221,0),IF(AND(J221&gt;0,B221&gt;0),ROUND(B221/J221,0),Y220)))</f>
        <v/>
      </c>
    </row>
    <row r="222">
      <c r="A222" s="67" t="n"/>
      <c r="B222" s="68" t="n"/>
      <c r="C222" s="69" t="n"/>
      <c r="D222" s="68" t="n"/>
      <c r="E222" s="69" t="n"/>
      <c r="F222" s="68" t="n"/>
      <c r="G222" s="69" t="n"/>
      <c r="H222" s="68" t="n"/>
      <c r="I222" s="70">
        <f>IF($A222="","",R221)</f>
        <v/>
      </c>
      <c r="J222" s="71">
        <f>IF($A222="","",IF(C222="",0,C222))</f>
        <v/>
      </c>
      <c r="K222" s="71">
        <f>IF($A222="","",IF(E222="",0,E222))</f>
        <v/>
      </c>
      <c r="L222" s="70">
        <f>IF($A222="","",B222-D222)</f>
        <v/>
      </c>
      <c r="M222" s="71">
        <f>IF($A222="","",J222-K222)</f>
        <v/>
      </c>
      <c r="N222" s="71">
        <f>IF($A222="","",IF(G222="",0,G222))</f>
        <v/>
      </c>
      <c r="O222" s="70">
        <f>IF($A222="","",D222+F222)</f>
        <v/>
      </c>
      <c r="P222" s="71">
        <f>IF($A222="","",K222+N222)</f>
        <v/>
      </c>
      <c r="Q222" s="70">
        <f>IF($A222="","",I222+L222-F222)</f>
        <v/>
      </c>
      <c r="R222" s="72">
        <f>IF($A222="","",IF(H222="",Q222,H222))</f>
        <v/>
      </c>
      <c r="S222" s="73">
        <f>IF($A222="","",R222-Q222)</f>
        <v/>
      </c>
      <c r="T222" s="70">
        <f>IF($A222="","",SUMIFS($B$5:$B$800,$A$5:$A$800,"&gt;="&amp;DATE(YEAR($A222),MONTH($A222),1),$A$5:$A$800,"&lt;="&amp;$A222)+IF(AND(YEAR($A222)=YEAR(Settings!$B$3),MONTH($A222)=MONTH(Settings!$B$3)),Settings!$B$6,0))</f>
        <v/>
      </c>
      <c r="U222" s="71">
        <f>IF($A222="","",SUMIFS($J$5:$J$800,$A$5:$A$800,"&gt;="&amp;DATE(YEAR($A222),MONTH($A222),1),$A$5:$A$800,"&lt;="&amp;$A222)+IF(AND(YEAR($A222)=YEAR(Settings!$B$3),MONTH($A222)=MONTH(Settings!$B$3)),Settings!$B$7,0))</f>
        <v/>
      </c>
      <c r="V222" s="70">
        <f>IF($A222="","",Settings!$B$8+SUM($B$5:B222))</f>
        <v/>
      </c>
      <c r="W222" s="71">
        <f>IF($A222="","",Settings!$B$9+SUM($J$5:J222))</f>
        <v/>
      </c>
      <c r="X222" s="71">
        <f>IF($A222="","",IF(AND(N222&gt;0,F222&gt;0),ROUND(F222/N222,0),X221))</f>
        <v/>
      </c>
      <c r="Y222" s="74">
        <f>IF($A222="","",IF(AND(M222&gt;0,L222&gt;0),ROUND(L222/M222,0),IF(AND(J222&gt;0,B222&gt;0),ROUND(B222/J222,0),Y221)))</f>
        <v/>
      </c>
    </row>
    <row r="223">
      <c r="A223" s="67" t="n"/>
      <c r="B223" s="68" t="n"/>
      <c r="C223" s="69" t="n"/>
      <c r="D223" s="68" t="n"/>
      <c r="E223" s="69" t="n"/>
      <c r="F223" s="68" t="n"/>
      <c r="G223" s="69" t="n"/>
      <c r="H223" s="68" t="n"/>
      <c r="I223" s="70">
        <f>IF($A223="","",R222)</f>
        <v/>
      </c>
      <c r="J223" s="71">
        <f>IF($A223="","",IF(C223="",0,C223))</f>
        <v/>
      </c>
      <c r="K223" s="71">
        <f>IF($A223="","",IF(E223="",0,E223))</f>
        <v/>
      </c>
      <c r="L223" s="70">
        <f>IF($A223="","",B223-D223)</f>
        <v/>
      </c>
      <c r="M223" s="71">
        <f>IF($A223="","",J223-K223)</f>
        <v/>
      </c>
      <c r="N223" s="71">
        <f>IF($A223="","",IF(G223="",0,G223))</f>
        <v/>
      </c>
      <c r="O223" s="70">
        <f>IF($A223="","",D223+F223)</f>
        <v/>
      </c>
      <c r="P223" s="71">
        <f>IF($A223="","",K223+N223)</f>
        <v/>
      </c>
      <c r="Q223" s="70">
        <f>IF($A223="","",I223+L223-F223)</f>
        <v/>
      </c>
      <c r="R223" s="72">
        <f>IF($A223="","",IF(H223="",Q223,H223))</f>
        <v/>
      </c>
      <c r="S223" s="73">
        <f>IF($A223="","",R223-Q223)</f>
        <v/>
      </c>
      <c r="T223" s="70">
        <f>IF($A223="","",SUMIFS($B$5:$B$800,$A$5:$A$800,"&gt;="&amp;DATE(YEAR($A223),MONTH($A223),1),$A$5:$A$800,"&lt;="&amp;$A223)+IF(AND(YEAR($A223)=YEAR(Settings!$B$3),MONTH($A223)=MONTH(Settings!$B$3)),Settings!$B$6,0))</f>
        <v/>
      </c>
      <c r="U223" s="71">
        <f>IF($A223="","",SUMIFS($J$5:$J$800,$A$5:$A$800,"&gt;="&amp;DATE(YEAR($A223),MONTH($A223),1),$A$5:$A$800,"&lt;="&amp;$A223)+IF(AND(YEAR($A223)=YEAR(Settings!$B$3),MONTH($A223)=MONTH(Settings!$B$3)),Settings!$B$7,0))</f>
        <v/>
      </c>
      <c r="V223" s="70">
        <f>IF($A223="","",Settings!$B$8+SUM($B$5:B223))</f>
        <v/>
      </c>
      <c r="W223" s="71">
        <f>IF($A223="","",Settings!$B$9+SUM($J$5:J223))</f>
        <v/>
      </c>
      <c r="X223" s="71">
        <f>IF($A223="","",IF(AND(N223&gt;0,F223&gt;0),ROUND(F223/N223,0),X222))</f>
        <v/>
      </c>
      <c r="Y223" s="74">
        <f>IF($A223="","",IF(AND(M223&gt;0,L223&gt;0),ROUND(L223/M223,0),IF(AND(J223&gt;0,B223&gt;0),ROUND(B223/J223,0),Y222)))</f>
        <v/>
      </c>
    </row>
    <row r="224">
      <c r="A224" s="67" t="n"/>
      <c r="B224" s="68" t="n"/>
      <c r="C224" s="69" t="n"/>
      <c r="D224" s="68" t="n"/>
      <c r="E224" s="69" t="n"/>
      <c r="F224" s="68" t="n"/>
      <c r="G224" s="69" t="n"/>
      <c r="H224" s="68" t="n"/>
      <c r="I224" s="70">
        <f>IF($A224="","",R223)</f>
        <v/>
      </c>
      <c r="J224" s="71">
        <f>IF($A224="","",IF(C224="",0,C224))</f>
        <v/>
      </c>
      <c r="K224" s="71">
        <f>IF($A224="","",IF(E224="",0,E224))</f>
        <v/>
      </c>
      <c r="L224" s="70">
        <f>IF($A224="","",B224-D224)</f>
        <v/>
      </c>
      <c r="M224" s="71">
        <f>IF($A224="","",J224-K224)</f>
        <v/>
      </c>
      <c r="N224" s="71">
        <f>IF($A224="","",IF(G224="",0,G224))</f>
        <v/>
      </c>
      <c r="O224" s="70">
        <f>IF($A224="","",D224+F224)</f>
        <v/>
      </c>
      <c r="P224" s="71">
        <f>IF($A224="","",K224+N224)</f>
        <v/>
      </c>
      <c r="Q224" s="70">
        <f>IF($A224="","",I224+L224-F224)</f>
        <v/>
      </c>
      <c r="R224" s="72">
        <f>IF($A224="","",IF(H224="",Q224,H224))</f>
        <v/>
      </c>
      <c r="S224" s="73">
        <f>IF($A224="","",R224-Q224)</f>
        <v/>
      </c>
      <c r="T224" s="70">
        <f>IF($A224="","",SUMIFS($B$5:$B$800,$A$5:$A$800,"&gt;="&amp;DATE(YEAR($A224),MONTH($A224),1),$A$5:$A$800,"&lt;="&amp;$A224)+IF(AND(YEAR($A224)=YEAR(Settings!$B$3),MONTH($A224)=MONTH(Settings!$B$3)),Settings!$B$6,0))</f>
        <v/>
      </c>
      <c r="U224" s="71">
        <f>IF($A224="","",SUMIFS($J$5:$J$800,$A$5:$A$800,"&gt;="&amp;DATE(YEAR($A224),MONTH($A224),1),$A$5:$A$800,"&lt;="&amp;$A224)+IF(AND(YEAR($A224)=YEAR(Settings!$B$3),MONTH($A224)=MONTH(Settings!$B$3)),Settings!$B$7,0))</f>
        <v/>
      </c>
      <c r="V224" s="70">
        <f>IF($A224="","",Settings!$B$8+SUM($B$5:B224))</f>
        <v/>
      </c>
      <c r="W224" s="71">
        <f>IF($A224="","",Settings!$B$9+SUM($J$5:J224))</f>
        <v/>
      </c>
      <c r="X224" s="71">
        <f>IF($A224="","",IF(AND(N224&gt;0,F224&gt;0),ROUND(F224/N224,0),X223))</f>
        <v/>
      </c>
      <c r="Y224" s="74">
        <f>IF($A224="","",IF(AND(M224&gt;0,L224&gt;0),ROUND(L224/M224,0),IF(AND(J224&gt;0,B224&gt;0),ROUND(B224/J224,0),Y223)))</f>
        <v/>
      </c>
    </row>
    <row r="225">
      <c r="A225" s="67" t="n"/>
      <c r="B225" s="68" t="n"/>
      <c r="C225" s="69" t="n"/>
      <c r="D225" s="68" t="n"/>
      <c r="E225" s="69" t="n"/>
      <c r="F225" s="68" t="n"/>
      <c r="G225" s="69" t="n"/>
      <c r="H225" s="68" t="n"/>
      <c r="I225" s="70">
        <f>IF($A225="","",R224)</f>
        <v/>
      </c>
      <c r="J225" s="71">
        <f>IF($A225="","",IF(C225="",0,C225))</f>
        <v/>
      </c>
      <c r="K225" s="71">
        <f>IF($A225="","",IF(E225="",0,E225))</f>
        <v/>
      </c>
      <c r="L225" s="70">
        <f>IF($A225="","",B225-D225)</f>
        <v/>
      </c>
      <c r="M225" s="71">
        <f>IF($A225="","",J225-K225)</f>
        <v/>
      </c>
      <c r="N225" s="71">
        <f>IF($A225="","",IF(G225="",0,G225))</f>
        <v/>
      </c>
      <c r="O225" s="70">
        <f>IF($A225="","",D225+F225)</f>
        <v/>
      </c>
      <c r="P225" s="71">
        <f>IF($A225="","",K225+N225)</f>
        <v/>
      </c>
      <c r="Q225" s="70">
        <f>IF($A225="","",I225+L225-F225)</f>
        <v/>
      </c>
      <c r="R225" s="72">
        <f>IF($A225="","",IF(H225="",Q225,H225))</f>
        <v/>
      </c>
      <c r="S225" s="73">
        <f>IF($A225="","",R225-Q225)</f>
        <v/>
      </c>
      <c r="T225" s="70">
        <f>IF($A225="","",SUMIFS($B$5:$B$800,$A$5:$A$800,"&gt;="&amp;DATE(YEAR($A225),MONTH($A225),1),$A$5:$A$800,"&lt;="&amp;$A225)+IF(AND(YEAR($A225)=YEAR(Settings!$B$3),MONTH($A225)=MONTH(Settings!$B$3)),Settings!$B$6,0))</f>
        <v/>
      </c>
      <c r="U225" s="71">
        <f>IF($A225="","",SUMIFS($J$5:$J$800,$A$5:$A$800,"&gt;="&amp;DATE(YEAR($A225),MONTH($A225),1),$A$5:$A$800,"&lt;="&amp;$A225)+IF(AND(YEAR($A225)=YEAR(Settings!$B$3),MONTH($A225)=MONTH(Settings!$B$3)),Settings!$B$7,0))</f>
        <v/>
      </c>
      <c r="V225" s="70">
        <f>IF($A225="","",Settings!$B$8+SUM($B$5:B225))</f>
        <v/>
      </c>
      <c r="W225" s="71">
        <f>IF($A225="","",Settings!$B$9+SUM($J$5:J225))</f>
        <v/>
      </c>
      <c r="X225" s="71">
        <f>IF($A225="","",IF(AND(N225&gt;0,F225&gt;0),ROUND(F225/N225,0),X224))</f>
        <v/>
      </c>
      <c r="Y225" s="74">
        <f>IF($A225="","",IF(AND(M225&gt;0,L225&gt;0),ROUND(L225/M225,0),IF(AND(J225&gt;0,B225&gt;0),ROUND(B225/J225,0),Y224)))</f>
        <v/>
      </c>
    </row>
    <row r="226">
      <c r="A226" s="67" t="n"/>
      <c r="B226" s="68" t="n"/>
      <c r="C226" s="69" t="n"/>
      <c r="D226" s="68" t="n"/>
      <c r="E226" s="69" t="n"/>
      <c r="F226" s="68" t="n"/>
      <c r="G226" s="69" t="n"/>
      <c r="H226" s="68" t="n"/>
      <c r="I226" s="70">
        <f>IF($A226="","",R225)</f>
        <v/>
      </c>
      <c r="J226" s="71">
        <f>IF($A226="","",IF(C226="",0,C226))</f>
        <v/>
      </c>
      <c r="K226" s="71">
        <f>IF($A226="","",IF(E226="",0,E226))</f>
        <v/>
      </c>
      <c r="L226" s="70">
        <f>IF($A226="","",B226-D226)</f>
        <v/>
      </c>
      <c r="M226" s="71">
        <f>IF($A226="","",J226-K226)</f>
        <v/>
      </c>
      <c r="N226" s="71">
        <f>IF($A226="","",IF(G226="",0,G226))</f>
        <v/>
      </c>
      <c r="O226" s="70">
        <f>IF($A226="","",D226+F226)</f>
        <v/>
      </c>
      <c r="P226" s="71">
        <f>IF($A226="","",K226+N226)</f>
        <v/>
      </c>
      <c r="Q226" s="70">
        <f>IF($A226="","",I226+L226-F226)</f>
        <v/>
      </c>
      <c r="R226" s="72">
        <f>IF($A226="","",IF(H226="",Q226,H226))</f>
        <v/>
      </c>
      <c r="S226" s="73">
        <f>IF($A226="","",R226-Q226)</f>
        <v/>
      </c>
      <c r="T226" s="70">
        <f>IF($A226="","",SUMIFS($B$5:$B$800,$A$5:$A$800,"&gt;="&amp;DATE(YEAR($A226),MONTH($A226),1),$A$5:$A$800,"&lt;="&amp;$A226)+IF(AND(YEAR($A226)=YEAR(Settings!$B$3),MONTH($A226)=MONTH(Settings!$B$3)),Settings!$B$6,0))</f>
        <v/>
      </c>
      <c r="U226" s="71">
        <f>IF($A226="","",SUMIFS($J$5:$J$800,$A$5:$A$800,"&gt;="&amp;DATE(YEAR($A226),MONTH($A226),1),$A$5:$A$800,"&lt;="&amp;$A226)+IF(AND(YEAR($A226)=YEAR(Settings!$B$3),MONTH($A226)=MONTH(Settings!$B$3)),Settings!$B$7,0))</f>
        <v/>
      </c>
      <c r="V226" s="70">
        <f>IF($A226="","",Settings!$B$8+SUM($B$5:B226))</f>
        <v/>
      </c>
      <c r="W226" s="71">
        <f>IF($A226="","",Settings!$B$9+SUM($J$5:J226))</f>
        <v/>
      </c>
      <c r="X226" s="71">
        <f>IF($A226="","",IF(AND(N226&gt;0,F226&gt;0),ROUND(F226/N226,0),X225))</f>
        <v/>
      </c>
      <c r="Y226" s="74">
        <f>IF($A226="","",IF(AND(M226&gt;0,L226&gt;0),ROUND(L226/M226,0),IF(AND(J226&gt;0,B226&gt;0),ROUND(B226/J226,0),Y225)))</f>
        <v/>
      </c>
    </row>
    <row r="227">
      <c r="A227" s="67" t="n"/>
      <c r="B227" s="68" t="n"/>
      <c r="C227" s="69" t="n"/>
      <c r="D227" s="68" t="n"/>
      <c r="E227" s="69" t="n"/>
      <c r="F227" s="68" t="n"/>
      <c r="G227" s="69" t="n"/>
      <c r="H227" s="68" t="n"/>
      <c r="I227" s="70">
        <f>IF($A227="","",R226)</f>
        <v/>
      </c>
      <c r="J227" s="71">
        <f>IF($A227="","",IF(C227="",0,C227))</f>
        <v/>
      </c>
      <c r="K227" s="71">
        <f>IF($A227="","",IF(E227="",0,E227))</f>
        <v/>
      </c>
      <c r="L227" s="70">
        <f>IF($A227="","",B227-D227)</f>
        <v/>
      </c>
      <c r="M227" s="71">
        <f>IF($A227="","",J227-K227)</f>
        <v/>
      </c>
      <c r="N227" s="71">
        <f>IF($A227="","",IF(G227="",0,G227))</f>
        <v/>
      </c>
      <c r="O227" s="70">
        <f>IF($A227="","",D227+F227)</f>
        <v/>
      </c>
      <c r="P227" s="71">
        <f>IF($A227="","",K227+N227)</f>
        <v/>
      </c>
      <c r="Q227" s="70">
        <f>IF($A227="","",I227+L227-F227)</f>
        <v/>
      </c>
      <c r="R227" s="72">
        <f>IF($A227="","",IF(H227="",Q227,H227))</f>
        <v/>
      </c>
      <c r="S227" s="73">
        <f>IF($A227="","",R227-Q227)</f>
        <v/>
      </c>
      <c r="T227" s="70">
        <f>IF($A227="","",SUMIFS($B$5:$B$800,$A$5:$A$800,"&gt;="&amp;DATE(YEAR($A227),MONTH($A227),1),$A$5:$A$800,"&lt;="&amp;$A227)+IF(AND(YEAR($A227)=YEAR(Settings!$B$3),MONTH($A227)=MONTH(Settings!$B$3)),Settings!$B$6,0))</f>
        <v/>
      </c>
      <c r="U227" s="71">
        <f>IF($A227="","",SUMIFS($J$5:$J$800,$A$5:$A$800,"&gt;="&amp;DATE(YEAR($A227),MONTH($A227),1),$A$5:$A$800,"&lt;="&amp;$A227)+IF(AND(YEAR($A227)=YEAR(Settings!$B$3),MONTH($A227)=MONTH(Settings!$B$3)),Settings!$B$7,0))</f>
        <v/>
      </c>
      <c r="V227" s="70">
        <f>IF($A227="","",Settings!$B$8+SUM($B$5:B227))</f>
        <v/>
      </c>
      <c r="W227" s="71">
        <f>IF($A227="","",Settings!$B$9+SUM($J$5:J227))</f>
        <v/>
      </c>
      <c r="X227" s="71">
        <f>IF($A227="","",IF(AND(N227&gt;0,F227&gt;0),ROUND(F227/N227,0),X226))</f>
        <v/>
      </c>
      <c r="Y227" s="74">
        <f>IF($A227="","",IF(AND(M227&gt;0,L227&gt;0),ROUND(L227/M227,0),IF(AND(J227&gt;0,B227&gt;0),ROUND(B227/J227,0),Y226)))</f>
        <v/>
      </c>
    </row>
    <row r="228">
      <c r="A228" s="67" t="n"/>
      <c r="B228" s="68" t="n"/>
      <c r="C228" s="69" t="n"/>
      <c r="D228" s="68" t="n"/>
      <c r="E228" s="69" t="n"/>
      <c r="F228" s="68" t="n"/>
      <c r="G228" s="69" t="n"/>
      <c r="H228" s="68" t="n"/>
      <c r="I228" s="70">
        <f>IF($A228="","",R227)</f>
        <v/>
      </c>
      <c r="J228" s="71">
        <f>IF($A228="","",IF(C228="",0,C228))</f>
        <v/>
      </c>
      <c r="K228" s="71">
        <f>IF($A228="","",IF(E228="",0,E228))</f>
        <v/>
      </c>
      <c r="L228" s="70">
        <f>IF($A228="","",B228-D228)</f>
        <v/>
      </c>
      <c r="M228" s="71">
        <f>IF($A228="","",J228-K228)</f>
        <v/>
      </c>
      <c r="N228" s="71">
        <f>IF($A228="","",IF(G228="",0,G228))</f>
        <v/>
      </c>
      <c r="O228" s="70">
        <f>IF($A228="","",D228+F228)</f>
        <v/>
      </c>
      <c r="P228" s="71">
        <f>IF($A228="","",K228+N228)</f>
        <v/>
      </c>
      <c r="Q228" s="70">
        <f>IF($A228="","",I228+L228-F228)</f>
        <v/>
      </c>
      <c r="R228" s="72">
        <f>IF($A228="","",IF(H228="",Q228,H228))</f>
        <v/>
      </c>
      <c r="S228" s="73">
        <f>IF($A228="","",R228-Q228)</f>
        <v/>
      </c>
      <c r="T228" s="70">
        <f>IF($A228="","",SUMIFS($B$5:$B$800,$A$5:$A$800,"&gt;="&amp;DATE(YEAR($A228),MONTH($A228),1),$A$5:$A$800,"&lt;="&amp;$A228)+IF(AND(YEAR($A228)=YEAR(Settings!$B$3),MONTH($A228)=MONTH(Settings!$B$3)),Settings!$B$6,0))</f>
        <v/>
      </c>
      <c r="U228" s="71">
        <f>IF($A228="","",SUMIFS($J$5:$J$800,$A$5:$A$800,"&gt;="&amp;DATE(YEAR($A228),MONTH($A228),1),$A$5:$A$800,"&lt;="&amp;$A228)+IF(AND(YEAR($A228)=YEAR(Settings!$B$3),MONTH($A228)=MONTH(Settings!$B$3)),Settings!$B$7,0))</f>
        <v/>
      </c>
      <c r="V228" s="70">
        <f>IF($A228="","",Settings!$B$8+SUM($B$5:B228))</f>
        <v/>
      </c>
      <c r="W228" s="71">
        <f>IF($A228="","",Settings!$B$9+SUM($J$5:J228))</f>
        <v/>
      </c>
      <c r="X228" s="71">
        <f>IF($A228="","",IF(AND(N228&gt;0,F228&gt;0),ROUND(F228/N228,0),X227))</f>
        <v/>
      </c>
      <c r="Y228" s="74">
        <f>IF($A228="","",IF(AND(M228&gt;0,L228&gt;0),ROUND(L228/M228,0),IF(AND(J228&gt;0,B228&gt;0),ROUND(B228/J228,0),Y227)))</f>
        <v/>
      </c>
    </row>
    <row r="229">
      <c r="A229" s="67" t="n"/>
      <c r="B229" s="68" t="n"/>
      <c r="C229" s="69" t="n"/>
      <c r="D229" s="68" t="n"/>
      <c r="E229" s="69" t="n"/>
      <c r="F229" s="68" t="n"/>
      <c r="G229" s="69" t="n"/>
      <c r="H229" s="68" t="n"/>
      <c r="I229" s="70">
        <f>IF($A229="","",R228)</f>
        <v/>
      </c>
      <c r="J229" s="71">
        <f>IF($A229="","",IF(C229="",0,C229))</f>
        <v/>
      </c>
      <c r="K229" s="71">
        <f>IF($A229="","",IF(E229="",0,E229))</f>
        <v/>
      </c>
      <c r="L229" s="70">
        <f>IF($A229="","",B229-D229)</f>
        <v/>
      </c>
      <c r="M229" s="71">
        <f>IF($A229="","",J229-K229)</f>
        <v/>
      </c>
      <c r="N229" s="71">
        <f>IF($A229="","",IF(G229="",0,G229))</f>
        <v/>
      </c>
      <c r="O229" s="70">
        <f>IF($A229="","",D229+F229)</f>
        <v/>
      </c>
      <c r="P229" s="71">
        <f>IF($A229="","",K229+N229)</f>
        <v/>
      </c>
      <c r="Q229" s="70">
        <f>IF($A229="","",I229+L229-F229)</f>
        <v/>
      </c>
      <c r="R229" s="72">
        <f>IF($A229="","",IF(H229="",Q229,H229))</f>
        <v/>
      </c>
      <c r="S229" s="73">
        <f>IF($A229="","",R229-Q229)</f>
        <v/>
      </c>
      <c r="T229" s="70">
        <f>IF($A229="","",SUMIFS($B$5:$B$800,$A$5:$A$800,"&gt;="&amp;DATE(YEAR($A229),MONTH($A229),1),$A$5:$A$800,"&lt;="&amp;$A229)+IF(AND(YEAR($A229)=YEAR(Settings!$B$3),MONTH($A229)=MONTH(Settings!$B$3)),Settings!$B$6,0))</f>
        <v/>
      </c>
      <c r="U229" s="71">
        <f>IF($A229="","",SUMIFS($J$5:$J$800,$A$5:$A$800,"&gt;="&amp;DATE(YEAR($A229),MONTH($A229),1),$A$5:$A$800,"&lt;="&amp;$A229)+IF(AND(YEAR($A229)=YEAR(Settings!$B$3),MONTH($A229)=MONTH(Settings!$B$3)),Settings!$B$7,0))</f>
        <v/>
      </c>
      <c r="V229" s="70">
        <f>IF($A229="","",Settings!$B$8+SUM($B$5:B229))</f>
        <v/>
      </c>
      <c r="W229" s="71">
        <f>IF($A229="","",Settings!$B$9+SUM($J$5:J229))</f>
        <v/>
      </c>
      <c r="X229" s="71">
        <f>IF($A229="","",IF(AND(N229&gt;0,F229&gt;0),ROUND(F229/N229,0),X228))</f>
        <v/>
      </c>
      <c r="Y229" s="74">
        <f>IF($A229="","",IF(AND(M229&gt;0,L229&gt;0),ROUND(L229/M229,0),IF(AND(J229&gt;0,B229&gt;0),ROUND(B229/J229,0),Y228)))</f>
        <v/>
      </c>
    </row>
    <row r="230">
      <c r="A230" s="67" t="n"/>
      <c r="B230" s="68" t="n"/>
      <c r="C230" s="69" t="n"/>
      <c r="D230" s="68" t="n"/>
      <c r="E230" s="69" t="n"/>
      <c r="F230" s="68" t="n"/>
      <c r="G230" s="69" t="n"/>
      <c r="H230" s="68" t="n"/>
      <c r="I230" s="70">
        <f>IF($A230="","",R229)</f>
        <v/>
      </c>
      <c r="J230" s="71">
        <f>IF($A230="","",IF(C230="",0,C230))</f>
        <v/>
      </c>
      <c r="K230" s="71">
        <f>IF($A230="","",IF(E230="",0,E230))</f>
        <v/>
      </c>
      <c r="L230" s="70">
        <f>IF($A230="","",B230-D230)</f>
        <v/>
      </c>
      <c r="M230" s="71">
        <f>IF($A230="","",J230-K230)</f>
        <v/>
      </c>
      <c r="N230" s="71">
        <f>IF($A230="","",IF(G230="",0,G230))</f>
        <v/>
      </c>
      <c r="O230" s="70">
        <f>IF($A230="","",D230+F230)</f>
        <v/>
      </c>
      <c r="P230" s="71">
        <f>IF($A230="","",K230+N230)</f>
        <v/>
      </c>
      <c r="Q230" s="70">
        <f>IF($A230="","",I230+L230-F230)</f>
        <v/>
      </c>
      <c r="R230" s="72">
        <f>IF($A230="","",IF(H230="",Q230,H230))</f>
        <v/>
      </c>
      <c r="S230" s="73">
        <f>IF($A230="","",R230-Q230)</f>
        <v/>
      </c>
      <c r="T230" s="70">
        <f>IF($A230="","",SUMIFS($B$5:$B$800,$A$5:$A$800,"&gt;="&amp;DATE(YEAR($A230),MONTH($A230),1),$A$5:$A$800,"&lt;="&amp;$A230)+IF(AND(YEAR($A230)=YEAR(Settings!$B$3),MONTH($A230)=MONTH(Settings!$B$3)),Settings!$B$6,0))</f>
        <v/>
      </c>
      <c r="U230" s="71">
        <f>IF($A230="","",SUMIFS($J$5:$J$800,$A$5:$A$800,"&gt;="&amp;DATE(YEAR($A230),MONTH($A230),1),$A$5:$A$800,"&lt;="&amp;$A230)+IF(AND(YEAR($A230)=YEAR(Settings!$B$3),MONTH($A230)=MONTH(Settings!$B$3)),Settings!$B$7,0))</f>
        <v/>
      </c>
      <c r="V230" s="70">
        <f>IF($A230="","",Settings!$B$8+SUM($B$5:B230))</f>
        <v/>
      </c>
      <c r="W230" s="71">
        <f>IF($A230="","",Settings!$B$9+SUM($J$5:J230))</f>
        <v/>
      </c>
      <c r="X230" s="71">
        <f>IF($A230="","",IF(AND(N230&gt;0,F230&gt;0),ROUND(F230/N230,0),X229))</f>
        <v/>
      </c>
      <c r="Y230" s="74">
        <f>IF($A230="","",IF(AND(M230&gt;0,L230&gt;0),ROUND(L230/M230,0),IF(AND(J230&gt;0,B230&gt;0),ROUND(B230/J230,0),Y229)))</f>
        <v/>
      </c>
    </row>
    <row r="231">
      <c r="A231" s="67" t="n"/>
      <c r="B231" s="68" t="n"/>
      <c r="C231" s="69" t="n"/>
      <c r="D231" s="68" t="n"/>
      <c r="E231" s="69" t="n"/>
      <c r="F231" s="68" t="n"/>
      <c r="G231" s="69" t="n"/>
      <c r="H231" s="68" t="n"/>
      <c r="I231" s="70">
        <f>IF($A231="","",R230)</f>
        <v/>
      </c>
      <c r="J231" s="71">
        <f>IF($A231="","",IF(C231="",0,C231))</f>
        <v/>
      </c>
      <c r="K231" s="71">
        <f>IF($A231="","",IF(E231="",0,E231))</f>
        <v/>
      </c>
      <c r="L231" s="70">
        <f>IF($A231="","",B231-D231)</f>
        <v/>
      </c>
      <c r="M231" s="71">
        <f>IF($A231="","",J231-K231)</f>
        <v/>
      </c>
      <c r="N231" s="71">
        <f>IF($A231="","",IF(G231="",0,G231))</f>
        <v/>
      </c>
      <c r="O231" s="70">
        <f>IF($A231="","",D231+F231)</f>
        <v/>
      </c>
      <c r="P231" s="71">
        <f>IF($A231="","",K231+N231)</f>
        <v/>
      </c>
      <c r="Q231" s="70">
        <f>IF($A231="","",I231+L231-F231)</f>
        <v/>
      </c>
      <c r="R231" s="72">
        <f>IF($A231="","",IF(H231="",Q231,H231))</f>
        <v/>
      </c>
      <c r="S231" s="73">
        <f>IF($A231="","",R231-Q231)</f>
        <v/>
      </c>
      <c r="T231" s="70">
        <f>IF($A231="","",SUMIFS($B$5:$B$800,$A$5:$A$800,"&gt;="&amp;DATE(YEAR($A231),MONTH($A231),1),$A$5:$A$800,"&lt;="&amp;$A231)+IF(AND(YEAR($A231)=YEAR(Settings!$B$3),MONTH($A231)=MONTH(Settings!$B$3)),Settings!$B$6,0))</f>
        <v/>
      </c>
      <c r="U231" s="71">
        <f>IF($A231="","",SUMIFS($J$5:$J$800,$A$5:$A$800,"&gt;="&amp;DATE(YEAR($A231),MONTH($A231),1),$A$5:$A$800,"&lt;="&amp;$A231)+IF(AND(YEAR($A231)=YEAR(Settings!$B$3),MONTH($A231)=MONTH(Settings!$B$3)),Settings!$B$7,0))</f>
        <v/>
      </c>
      <c r="V231" s="70">
        <f>IF($A231="","",Settings!$B$8+SUM($B$5:B231))</f>
        <v/>
      </c>
      <c r="W231" s="71">
        <f>IF($A231="","",Settings!$B$9+SUM($J$5:J231))</f>
        <v/>
      </c>
      <c r="X231" s="71">
        <f>IF($A231="","",IF(AND(N231&gt;0,F231&gt;0),ROUND(F231/N231,0),X230))</f>
        <v/>
      </c>
      <c r="Y231" s="74">
        <f>IF($A231="","",IF(AND(M231&gt;0,L231&gt;0),ROUND(L231/M231,0),IF(AND(J231&gt;0,B231&gt;0),ROUND(B231/J231,0),Y230)))</f>
        <v/>
      </c>
    </row>
    <row r="232">
      <c r="A232" s="67" t="n"/>
      <c r="B232" s="68" t="n"/>
      <c r="C232" s="69" t="n"/>
      <c r="D232" s="68" t="n"/>
      <c r="E232" s="69" t="n"/>
      <c r="F232" s="68" t="n"/>
      <c r="G232" s="69" t="n"/>
      <c r="H232" s="68" t="n"/>
      <c r="I232" s="70">
        <f>IF($A232="","",R231)</f>
        <v/>
      </c>
      <c r="J232" s="71">
        <f>IF($A232="","",IF(C232="",0,C232))</f>
        <v/>
      </c>
      <c r="K232" s="71">
        <f>IF($A232="","",IF(E232="",0,E232))</f>
        <v/>
      </c>
      <c r="L232" s="70">
        <f>IF($A232="","",B232-D232)</f>
        <v/>
      </c>
      <c r="M232" s="71">
        <f>IF($A232="","",J232-K232)</f>
        <v/>
      </c>
      <c r="N232" s="71">
        <f>IF($A232="","",IF(G232="",0,G232))</f>
        <v/>
      </c>
      <c r="O232" s="70">
        <f>IF($A232="","",D232+F232)</f>
        <v/>
      </c>
      <c r="P232" s="71">
        <f>IF($A232="","",K232+N232)</f>
        <v/>
      </c>
      <c r="Q232" s="70">
        <f>IF($A232="","",I232+L232-F232)</f>
        <v/>
      </c>
      <c r="R232" s="72">
        <f>IF($A232="","",IF(H232="",Q232,H232))</f>
        <v/>
      </c>
      <c r="S232" s="73">
        <f>IF($A232="","",R232-Q232)</f>
        <v/>
      </c>
      <c r="T232" s="70">
        <f>IF($A232="","",SUMIFS($B$5:$B$800,$A$5:$A$800,"&gt;="&amp;DATE(YEAR($A232),MONTH($A232),1),$A$5:$A$800,"&lt;="&amp;$A232)+IF(AND(YEAR($A232)=YEAR(Settings!$B$3),MONTH($A232)=MONTH(Settings!$B$3)),Settings!$B$6,0))</f>
        <v/>
      </c>
      <c r="U232" s="71">
        <f>IF($A232="","",SUMIFS($J$5:$J$800,$A$5:$A$800,"&gt;="&amp;DATE(YEAR($A232),MONTH($A232),1),$A$5:$A$800,"&lt;="&amp;$A232)+IF(AND(YEAR($A232)=YEAR(Settings!$B$3),MONTH($A232)=MONTH(Settings!$B$3)),Settings!$B$7,0))</f>
        <v/>
      </c>
      <c r="V232" s="70">
        <f>IF($A232="","",Settings!$B$8+SUM($B$5:B232))</f>
        <v/>
      </c>
      <c r="W232" s="71">
        <f>IF($A232="","",Settings!$B$9+SUM($J$5:J232))</f>
        <v/>
      </c>
      <c r="X232" s="71">
        <f>IF($A232="","",IF(AND(N232&gt;0,F232&gt;0),ROUND(F232/N232,0),X231))</f>
        <v/>
      </c>
      <c r="Y232" s="74">
        <f>IF($A232="","",IF(AND(M232&gt;0,L232&gt;0),ROUND(L232/M232,0),IF(AND(J232&gt;0,B232&gt;0),ROUND(B232/J232,0),Y231)))</f>
        <v/>
      </c>
    </row>
    <row r="233">
      <c r="A233" s="67" t="n"/>
      <c r="B233" s="68" t="n"/>
      <c r="C233" s="69" t="n"/>
      <c r="D233" s="68" t="n"/>
      <c r="E233" s="69" t="n"/>
      <c r="F233" s="68" t="n"/>
      <c r="G233" s="69" t="n"/>
      <c r="H233" s="68" t="n"/>
      <c r="I233" s="70">
        <f>IF($A233="","",R232)</f>
        <v/>
      </c>
      <c r="J233" s="71">
        <f>IF($A233="","",IF(C233="",0,C233))</f>
        <v/>
      </c>
      <c r="K233" s="71">
        <f>IF($A233="","",IF(E233="",0,E233))</f>
        <v/>
      </c>
      <c r="L233" s="70">
        <f>IF($A233="","",B233-D233)</f>
        <v/>
      </c>
      <c r="M233" s="71">
        <f>IF($A233="","",J233-K233)</f>
        <v/>
      </c>
      <c r="N233" s="71">
        <f>IF($A233="","",IF(G233="",0,G233))</f>
        <v/>
      </c>
      <c r="O233" s="70">
        <f>IF($A233="","",D233+F233)</f>
        <v/>
      </c>
      <c r="P233" s="71">
        <f>IF($A233="","",K233+N233)</f>
        <v/>
      </c>
      <c r="Q233" s="70">
        <f>IF($A233="","",I233+L233-F233)</f>
        <v/>
      </c>
      <c r="R233" s="72">
        <f>IF($A233="","",IF(H233="",Q233,H233))</f>
        <v/>
      </c>
      <c r="S233" s="73">
        <f>IF($A233="","",R233-Q233)</f>
        <v/>
      </c>
      <c r="T233" s="70">
        <f>IF($A233="","",SUMIFS($B$5:$B$800,$A$5:$A$800,"&gt;="&amp;DATE(YEAR($A233),MONTH($A233),1),$A$5:$A$800,"&lt;="&amp;$A233)+IF(AND(YEAR($A233)=YEAR(Settings!$B$3),MONTH($A233)=MONTH(Settings!$B$3)),Settings!$B$6,0))</f>
        <v/>
      </c>
      <c r="U233" s="71">
        <f>IF($A233="","",SUMIFS($J$5:$J$800,$A$5:$A$800,"&gt;="&amp;DATE(YEAR($A233),MONTH($A233),1),$A$5:$A$800,"&lt;="&amp;$A233)+IF(AND(YEAR($A233)=YEAR(Settings!$B$3),MONTH($A233)=MONTH(Settings!$B$3)),Settings!$B$7,0))</f>
        <v/>
      </c>
      <c r="V233" s="70">
        <f>IF($A233="","",Settings!$B$8+SUM($B$5:B233))</f>
        <v/>
      </c>
      <c r="W233" s="71">
        <f>IF($A233="","",Settings!$B$9+SUM($J$5:J233))</f>
        <v/>
      </c>
      <c r="X233" s="71">
        <f>IF($A233="","",IF(AND(N233&gt;0,F233&gt;0),ROUND(F233/N233,0),X232))</f>
        <v/>
      </c>
      <c r="Y233" s="74">
        <f>IF($A233="","",IF(AND(M233&gt;0,L233&gt;0),ROUND(L233/M233,0),IF(AND(J233&gt;0,B233&gt;0),ROUND(B233/J233,0),Y232)))</f>
        <v/>
      </c>
    </row>
    <row r="234">
      <c r="A234" s="67" t="n"/>
      <c r="B234" s="68" t="n"/>
      <c r="C234" s="69" t="n"/>
      <c r="D234" s="68" t="n"/>
      <c r="E234" s="69" t="n"/>
      <c r="F234" s="68" t="n"/>
      <c r="G234" s="69" t="n"/>
      <c r="H234" s="68" t="n"/>
      <c r="I234" s="70">
        <f>IF($A234="","",R233)</f>
        <v/>
      </c>
      <c r="J234" s="71">
        <f>IF($A234="","",IF(C234="",0,C234))</f>
        <v/>
      </c>
      <c r="K234" s="71">
        <f>IF($A234="","",IF(E234="",0,E234))</f>
        <v/>
      </c>
      <c r="L234" s="70">
        <f>IF($A234="","",B234-D234)</f>
        <v/>
      </c>
      <c r="M234" s="71">
        <f>IF($A234="","",J234-K234)</f>
        <v/>
      </c>
      <c r="N234" s="71">
        <f>IF($A234="","",IF(G234="",0,G234))</f>
        <v/>
      </c>
      <c r="O234" s="70">
        <f>IF($A234="","",D234+F234)</f>
        <v/>
      </c>
      <c r="P234" s="71">
        <f>IF($A234="","",K234+N234)</f>
        <v/>
      </c>
      <c r="Q234" s="70">
        <f>IF($A234="","",I234+L234-F234)</f>
        <v/>
      </c>
      <c r="R234" s="72">
        <f>IF($A234="","",IF(H234="",Q234,H234))</f>
        <v/>
      </c>
      <c r="S234" s="73">
        <f>IF($A234="","",R234-Q234)</f>
        <v/>
      </c>
      <c r="T234" s="70">
        <f>IF($A234="","",SUMIFS($B$5:$B$800,$A$5:$A$800,"&gt;="&amp;DATE(YEAR($A234),MONTH($A234),1),$A$5:$A$800,"&lt;="&amp;$A234)+IF(AND(YEAR($A234)=YEAR(Settings!$B$3),MONTH($A234)=MONTH(Settings!$B$3)),Settings!$B$6,0))</f>
        <v/>
      </c>
      <c r="U234" s="71">
        <f>IF($A234="","",SUMIFS($J$5:$J$800,$A$5:$A$800,"&gt;="&amp;DATE(YEAR($A234),MONTH($A234),1),$A$5:$A$800,"&lt;="&amp;$A234)+IF(AND(YEAR($A234)=YEAR(Settings!$B$3),MONTH($A234)=MONTH(Settings!$B$3)),Settings!$B$7,0))</f>
        <v/>
      </c>
      <c r="V234" s="70">
        <f>IF($A234="","",Settings!$B$8+SUM($B$5:B234))</f>
        <v/>
      </c>
      <c r="W234" s="71">
        <f>IF($A234="","",Settings!$B$9+SUM($J$5:J234))</f>
        <v/>
      </c>
      <c r="X234" s="71">
        <f>IF($A234="","",IF(AND(N234&gt;0,F234&gt;0),ROUND(F234/N234,0),X233))</f>
        <v/>
      </c>
      <c r="Y234" s="74">
        <f>IF($A234="","",IF(AND(M234&gt;0,L234&gt;0),ROUND(L234/M234,0),IF(AND(J234&gt;0,B234&gt;0),ROUND(B234/J234,0),Y233)))</f>
        <v/>
      </c>
    </row>
    <row r="235">
      <c r="A235" s="67" t="n"/>
      <c r="B235" s="68" t="n"/>
      <c r="C235" s="69" t="n"/>
      <c r="D235" s="68" t="n"/>
      <c r="E235" s="69" t="n"/>
      <c r="F235" s="68" t="n"/>
      <c r="G235" s="69" t="n"/>
      <c r="H235" s="68" t="n"/>
      <c r="I235" s="70">
        <f>IF($A235="","",R234)</f>
        <v/>
      </c>
      <c r="J235" s="71">
        <f>IF($A235="","",IF(C235="",0,C235))</f>
        <v/>
      </c>
      <c r="K235" s="71">
        <f>IF($A235="","",IF(E235="",0,E235))</f>
        <v/>
      </c>
      <c r="L235" s="70">
        <f>IF($A235="","",B235-D235)</f>
        <v/>
      </c>
      <c r="M235" s="71">
        <f>IF($A235="","",J235-K235)</f>
        <v/>
      </c>
      <c r="N235" s="71">
        <f>IF($A235="","",IF(G235="",0,G235))</f>
        <v/>
      </c>
      <c r="O235" s="70">
        <f>IF($A235="","",D235+F235)</f>
        <v/>
      </c>
      <c r="P235" s="71">
        <f>IF($A235="","",K235+N235)</f>
        <v/>
      </c>
      <c r="Q235" s="70">
        <f>IF($A235="","",I235+L235-F235)</f>
        <v/>
      </c>
      <c r="R235" s="72">
        <f>IF($A235="","",IF(H235="",Q235,H235))</f>
        <v/>
      </c>
      <c r="S235" s="73">
        <f>IF($A235="","",R235-Q235)</f>
        <v/>
      </c>
      <c r="T235" s="70">
        <f>IF($A235="","",SUMIFS($B$5:$B$800,$A$5:$A$800,"&gt;="&amp;DATE(YEAR($A235),MONTH($A235),1),$A$5:$A$800,"&lt;="&amp;$A235)+IF(AND(YEAR($A235)=YEAR(Settings!$B$3),MONTH($A235)=MONTH(Settings!$B$3)),Settings!$B$6,0))</f>
        <v/>
      </c>
      <c r="U235" s="71">
        <f>IF($A235="","",SUMIFS($J$5:$J$800,$A$5:$A$800,"&gt;="&amp;DATE(YEAR($A235),MONTH($A235),1),$A$5:$A$800,"&lt;="&amp;$A235)+IF(AND(YEAR($A235)=YEAR(Settings!$B$3),MONTH($A235)=MONTH(Settings!$B$3)),Settings!$B$7,0))</f>
        <v/>
      </c>
      <c r="V235" s="70">
        <f>IF($A235="","",Settings!$B$8+SUM($B$5:B235))</f>
        <v/>
      </c>
      <c r="W235" s="71">
        <f>IF($A235="","",Settings!$B$9+SUM($J$5:J235))</f>
        <v/>
      </c>
      <c r="X235" s="71">
        <f>IF($A235="","",IF(AND(N235&gt;0,F235&gt;0),ROUND(F235/N235,0),X234))</f>
        <v/>
      </c>
      <c r="Y235" s="74">
        <f>IF($A235="","",IF(AND(M235&gt;0,L235&gt;0),ROUND(L235/M235,0),IF(AND(J235&gt;0,B235&gt;0),ROUND(B235/J235,0),Y234)))</f>
        <v/>
      </c>
    </row>
    <row r="236">
      <c r="A236" s="67" t="n"/>
      <c r="B236" s="68" t="n"/>
      <c r="C236" s="69" t="n"/>
      <c r="D236" s="68" t="n"/>
      <c r="E236" s="69" t="n"/>
      <c r="F236" s="68" t="n"/>
      <c r="G236" s="69" t="n"/>
      <c r="H236" s="68" t="n"/>
      <c r="I236" s="70">
        <f>IF($A236="","",R235)</f>
        <v/>
      </c>
      <c r="J236" s="71">
        <f>IF($A236="","",IF(C236="",0,C236))</f>
        <v/>
      </c>
      <c r="K236" s="71">
        <f>IF($A236="","",IF(E236="",0,E236))</f>
        <v/>
      </c>
      <c r="L236" s="70">
        <f>IF($A236="","",B236-D236)</f>
        <v/>
      </c>
      <c r="M236" s="71">
        <f>IF($A236="","",J236-K236)</f>
        <v/>
      </c>
      <c r="N236" s="71">
        <f>IF($A236="","",IF(G236="",0,G236))</f>
        <v/>
      </c>
      <c r="O236" s="70">
        <f>IF($A236="","",D236+F236)</f>
        <v/>
      </c>
      <c r="P236" s="71">
        <f>IF($A236="","",K236+N236)</f>
        <v/>
      </c>
      <c r="Q236" s="70">
        <f>IF($A236="","",I236+L236-F236)</f>
        <v/>
      </c>
      <c r="R236" s="72">
        <f>IF($A236="","",IF(H236="",Q236,H236))</f>
        <v/>
      </c>
      <c r="S236" s="73">
        <f>IF($A236="","",R236-Q236)</f>
        <v/>
      </c>
      <c r="T236" s="70">
        <f>IF($A236="","",SUMIFS($B$5:$B$800,$A$5:$A$800,"&gt;="&amp;DATE(YEAR($A236),MONTH($A236),1),$A$5:$A$800,"&lt;="&amp;$A236)+IF(AND(YEAR($A236)=YEAR(Settings!$B$3),MONTH($A236)=MONTH(Settings!$B$3)),Settings!$B$6,0))</f>
        <v/>
      </c>
      <c r="U236" s="71">
        <f>IF($A236="","",SUMIFS($J$5:$J$800,$A$5:$A$800,"&gt;="&amp;DATE(YEAR($A236),MONTH($A236),1),$A$5:$A$800,"&lt;="&amp;$A236)+IF(AND(YEAR($A236)=YEAR(Settings!$B$3),MONTH($A236)=MONTH(Settings!$B$3)),Settings!$B$7,0))</f>
        <v/>
      </c>
      <c r="V236" s="70">
        <f>IF($A236="","",Settings!$B$8+SUM($B$5:B236))</f>
        <v/>
      </c>
      <c r="W236" s="71">
        <f>IF($A236="","",Settings!$B$9+SUM($J$5:J236))</f>
        <v/>
      </c>
      <c r="X236" s="71">
        <f>IF($A236="","",IF(AND(N236&gt;0,F236&gt;0),ROUND(F236/N236,0),X235))</f>
        <v/>
      </c>
      <c r="Y236" s="74">
        <f>IF($A236="","",IF(AND(M236&gt;0,L236&gt;0),ROUND(L236/M236,0),IF(AND(J236&gt;0,B236&gt;0),ROUND(B236/J236,0),Y235)))</f>
        <v/>
      </c>
    </row>
    <row r="237">
      <c r="A237" s="67" t="n"/>
      <c r="B237" s="68" t="n"/>
      <c r="C237" s="69" t="n"/>
      <c r="D237" s="68" t="n"/>
      <c r="E237" s="69" t="n"/>
      <c r="F237" s="68" t="n"/>
      <c r="G237" s="69" t="n"/>
      <c r="H237" s="68" t="n"/>
      <c r="I237" s="70">
        <f>IF($A237="","",R236)</f>
        <v/>
      </c>
      <c r="J237" s="71">
        <f>IF($A237="","",IF(C237="",0,C237))</f>
        <v/>
      </c>
      <c r="K237" s="71">
        <f>IF($A237="","",IF(E237="",0,E237))</f>
        <v/>
      </c>
      <c r="L237" s="70">
        <f>IF($A237="","",B237-D237)</f>
        <v/>
      </c>
      <c r="M237" s="71">
        <f>IF($A237="","",J237-K237)</f>
        <v/>
      </c>
      <c r="N237" s="71">
        <f>IF($A237="","",IF(G237="",0,G237))</f>
        <v/>
      </c>
      <c r="O237" s="70">
        <f>IF($A237="","",D237+F237)</f>
        <v/>
      </c>
      <c r="P237" s="71">
        <f>IF($A237="","",K237+N237)</f>
        <v/>
      </c>
      <c r="Q237" s="70">
        <f>IF($A237="","",I237+L237-F237)</f>
        <v/>
      </c>
      <c r="R237" s="72">
        <f>IF($A237="","",IF(H237="",Q237,H237))</f>
        <v/>
      </c>
      <c r="S237" s="73">
        <f>IF($A237="","",R237-Q237)</f>
        <v/>
      </c>
      <c r="T237" s="70">
        <f>IF($A237="","",SUMIFS($B$5:$B$800,$A$5:$A$800,"&gt;="&amp;DATE(YEAR($A237),MONTH($A237),1),$A$5:$A$800,"&lt;="&amp;$A237)+IF(AND(YEAR($A237)=YEAR(Settings!$B$3),MONTH($A237)=MONTH(Settings!$B$3)),Settings!$B$6,0))</f>
        <v/>
      </c>
      <c r="U237" s="71">
        <f>IF($A237="","",SUMIFS($J$5:$J$800,$A$5:$A$800,"&gt;="&amp;DATE(YEAR($A237),MONTH($A237),1),$A$5:$A$800,"&lt;="&amp;$A237)+IF(AND(YEAR($A237)=YEAR(Settings!$B$3),MONTH($A237)=MONTH(Settings!$B$3)),Settings!$B$7,0))</f>
        <v/>
      </c>
      <c r="V237" s="70">
        <f>IF($A237="","",Settings!$B$8+SUM($B$5:B237))</f>
        <v/>
      </c>
      <c r="W237" s="71">
        <f>IF($A237="","",Settings!$B$9+SUM($J$5:J237))</f>
        <v/>
      </c>
      <c r="X237" s="71">
        <f>IF($A237="","",IF(AND(N237&gt;0,F237&gt;0),ROUND(F237/N237,0),X236))</f>
        <v/>
      </c>
      <c r="Y237" s="74">
        <f>IF($A237="","",IF(AND(M237&gt;0,L237&gt;0),ROUND(L237/M237,0),IF(AND(J237&gt;0,B237&gt;0),ROUND(B237/J237,0),Y236)))</f>
        <v/>
      </c>
    </row>
    <row r="238">
      <c r="A238" s="67" t="n"/>
      <c r="B238" s="68" t="n"/>
      <c r="C238" s="69" t="n"/>
      <c r="D238" s="68" t="n"/>
      <c r="E238" s="69" t="n"/>
      <c r="F238" s="68" t="n"/>
      <c r="G238" s="69" t="n"/>
      <c r="H238" s="68" t="n"/>
      <c r="I238" s="70">
        <f>IF($A238="","",R237)</f>
        <v/>
      </c>
      <c r="J238" s="71">
        <f>IF($A238="","",IF(C238="",0,C238))</f>
        <v/>
      </c>
      <c r="K238" s="71">
        <f>IF($A238="","",IF(E238="",0,E238))</f>
        <v/>
      </c>
      <c r="L238" s="70">
        <f>IF($A238="","",B238-D238)</f>
        <v/>
      </c>
      <c r="M238" s="71">
        <f>IF($A238="","",J238-K238)</f>
        <v/>
      </c>
      <c r="N238" s="71">
        <f>IF($A238="","",IF(G238="",0,G238))</f>
        <v/>
      </c>
      <c r="O238" s="70">
        <f>IF($A238="","",D238+F238)</f>
        <v/>
      </c>
      <c r="P238" s="71">
        <f>IF($A238="","",K238+N238)</f>
        <v/>
      </c>
      <c r="Q238" s="70">
        <f>IF($A238="","",I238+L238-F238)</f>
        <v/>
      </c>
      <c r="R238" s="72">
        <f>IF($A238="","",IF(H238="",Q238,H238))</f>
        <v/>
      </c>
      <c r="S238" s="73">
        <f>IF($A238="","",R238-Q238)</f>
        <v/>
      </c>
      <c r="T238" s="70">
        <f>IF($A238="","",SUMIFS($B$5:$B$800,$A$5:$A$800,"&gt;="&amp;DATE(YEAR($A238),MONTH($A238),1),$A$5:$A$800,"&lt;="&amp;$A238)+IF(AND(YEAR($A238)=YEAR(Settings!$B$3),MONTH($A238)=MONTH(Settings!$B$3)),Settings!$B$6,0))</f>
        <v/>
      </c>
      <c r="U238" s="71">
        <f>IF($A238="","",SUMIFS($J$5:$J$800,$A$5:$A$800,"&gt;="&amp;DATE(YEAR($A238),MONTH($A238),1),$A$5:$A$800,"&lt;="&amp;$A238)+IF(AND(YEAR($A238)=YEAR(Settings!$B$3),MONTH($A238)=MONTH(Settings!$B$3)),Settings!$B$7,0))</f>
        <v/>
      </c>
      <c r="V238" s="70">
        <f>IF($A238="","",Settings!$B$8+SUM($B$5:B238))</f>
        <v/>
      </c>
      <c r="W238" s="71">
        <f>IF($A238="","",Settings!$B$9+SUM($J$5:J238))</f>
        <v/>
      </c>
      <c r="X238" s="71">
        <f>IF($A238="","",IF(AND(N238&gt;0,F238&gt;0),ROUND(F238/N238,0),X237))</f>
        <v/>
      </c>
      <c r="Y238" s="74">
        <f>IF($A238="","",IF(AND(M238&gt;0,L238&gt;0),ROUND(L238/M238,0),IF(AND(J238&gt;0,B238&gt;0),ROUND(B238/J238,0),Y237)))</f>
        <v/>
      </c>
    </row>
    <row r="239">
      <c r="A239" s="67" t="n"/>
      <c r="B239" s="68" t="n"/>
      <c r="C239" s="69" t="n"/>
      <c r="D239" s="68" t="n"/>
      <c r="E239" s="69" t="n"/>
      <c r="F239" s="68" t="n"/>
      <c r="G239" s="69" t="n"/>
      <c r="H239" s="68" t="n"/>
      <c r="I239" s="70">
        <f>IF($A239="","",R238)</f>
        <v/>
      </c>
      <c r="J239" s="71">
        <f>IF($A239="","",IF(C239="",0,C239))</f>
        <v/>
      </c>
      <c r="K239" s="71">
        <f>IF($A239="","",IF(E239="",0,E239))</f>
        <v/>
      </c>
      <c r="L239" s="70">
        <f>IF($A239="","",B239-D239)</f>
        <v/>
      </c>
      <c r="M239" s="71">
        <f>IF($A239="","",J239-K239)</f>
        <v/>
      </c>
      <c r="N239" s="71">
        <f>IF($A239="","",IF(G239="",0,G239))</f>
        <v/>
      </c>
      <c r="O239" s="70">
        <f>IF($A239="","",D239+F239)</f>
        <v/>
      </c>
      <c r="P239" s="71">
        <f>IF($A239="","",K239+N239)</f>
        <v/>
      </c>
      <c r="Q239" s="70">
        <f>IF($A239="","",I239+L239-F239)</f>
        <v/>
      </c>
      <c r="R239" s="72">
        <f>IF($A239="","",IF(H239="",Q239,H239))</f>
        <v/>
      </c>
      <c r="S239" s="73">
        <f>IF($A239="","",R239-Q239)</f>
        <v/>
      </c>
      <c r="T239" s="70">
        <f>IF($A239="","",SUMIFS($B$5:$B$800,$A$5:$A$800,"&gt;="&amp;DATE(YEAR($A239),MONTH($A239),1),$A$5:$A$800,"&lt;="&amp;$A239)+IF(AND(YEAR($A239)=YEAR(Settings!$B$3),MONTH($A239)=MONTH(Settings!$B$3)),Settings!$B$6,0))</f>
        <v/>
      </c>
      <c r="U239" s="71">
        <f>IF($A239="","",SUMIFS($J$5:$J$800,$A$5:$A$800,"&gt;="&amp;DATE(YEAR($A239),MONTH($A239),1),$A$5:$A$800,"&lt;="&amp;$A239)+IF(AND(YEAR($A239)=YEAR(Settings!$B$3),MONTH($A239)=MONTH(Settings!$B$3)),Settings!$B$7,0))</f>
        <v/>
      </c>
      <c r="V239" s="70">
        <f>IF($A239="","",Settings!$B$8+SUM($B$5:B239))</f>
        <v/>
      </c>
      <c r="W239" s="71">
        <f>IF($A239="","",Settings!$B$9+SUM($J$5:J239))</f>
        <v/>
      </c>
      <c r="X239" s="71">
        <f>IF($A239="","",IF(AND(N239&gt;0,F239&gt;0),ROUND(F239/N239,0),X238))</f>
        <v/>
      </c>
      <c r="Y239" s="74">
        <f>IF($A239="","",IF(AND(M239&gt;0,L239&gt;0),ROUND(L239/M239,0),IF(AND(J239&gt;0,B239&gt;0),ROUND(B239/J239,0),Y238)))</f>
        <v/>
      </c>
    </row>
    <row r="240">
      <c r="A240" s="67" t="n"/>
      <c r="B240" s="68" t="n"/>
      <c r="C240" s="69" t="n"/>
      <c r="D240" s="68" t="n"/>
      <c r="E240" s="69" t="n"/>
      <c r="F240" s="68" t="n"/>
      <c r="G240" s="69" t="n"/>
      <c r="H240" s="68" t="n"/>
      <c r="I240" s="70">
        <f>IF($A240="","",R239)</f>
        <v/>
      </c>
      <c r="J240" s="71">
        <f>IF($A240="","",IF(C240="",0,C240))</f>
        <v/>
      </c>
      <c r="K240" s="71">
        <f>IF($A240="","",IF(E240="",0,E240))</f>
        <v/>
      </c>
      <c r="L240" s="70">
        <f>IF($A240="","",B240-D240)</f>
        <v/>
      </c>
      <c r="M240" s="71">
        <f>IF($A240="","",J240-K240)</f>
        <v/>
      </c>
      <c r="N240" s="71">
        <f>IF($A240="","",IF(G240="",0,G240))</f>
        <v/>
      </c>
      <c r="O240" s="70">
        <f>IF($A240="","",D240+F240)</f>
        <v/>
      </c>
      <c r="P240" s="71">
        <f>IF($A240="","",K240+N240)</f>
        <v/>
      </c>
      <c r="Q240" s="70">
        <f>IF($A240="","",I240+L240-F240)</f>
        <v/>
      </c>
      <c r="R240" s="72">
        <f>IF($A240="","",IF(H240="",Q240,H240))</f>
        <v/>
      </c>
      <c r="S240" s="73">
        <f>IF($A240="","",R240-Q240)</f>
        <v/>
      </c>
      <c r="T240" s="70">
        <f>IF($A240="","",SUMIFS($B$5:$B$800,$A$5:$A$800,"&gt;="&amp;DATE(YEAR($A240),MONTH($A240),1),$A$5:$A$800,"&lt;="&amp;$A240)+IF(AND(YEAR($A240)=YEAR(Settings!$B$3),MONTH($A240)=MONTH(Settings!$B$3)),Settings!$B$6,0))</f>
        <v/>
      </c>
      <c r="U240" s="71">
        <f>IF($A240="","",SUMIFS($J$5:$J$800,$A$5:$A$800,"&gt;="&amp;DATE(YEAR($A240),MONTH($A240),1),$A$5:$A$800,"&lt;="&amp;$A240)+IF(AND(YEAR($A240)=YEAR(Settings!$B$3),MONTH($A240)=MONTH(Settings!$B$3)),Settings!$B$7,0))</f>
        <v/>
      </c>
      <c r="V240" s="70">
        <f>IF($A240="","",Settings!$B$8+SUM($B$5:B240))</f>
        <v/>
      </c>
      <c r="W240" s="71">
        <f>IF($A240="","",Settings!$B$9+SUM($J$5:J240))</f>
        <v/>
      </c>
      <c r="X240" s="71">
        <f>IF($A240="","",IF(AND(N240&gt;0,F240&gt;0),ROUND(F240/N240,0),X239))</f>
        <v/>
      </c>
      <c r="Y240" s="74">
        <f>IF($A240="","",IF(AND(M240&gt;0,L240&gt;0),ROUND(L240/M240,0),IF(AND(J240&gt;0,B240&gt;0),ROUND(B240/J240,0),Y239)))</f>
        <v/>
      </c>
    </row>
    <row r="241">
      <c r="A241" s="67" t="n"/>
      <c r="B241" s="68" t="n"/>
      <c r="C241" s="69" t="n"/>
      <c r="D241" s="68" t="n"/>
      <c r="E241" s="69" t="n"/>
      <c r="F241" s="68" t="n"/>
      <c r="G241" s="69" t="n"/>
      <c r="H241" s="68" t="n"/>
      <c r="I241" s="70">
        <f>IF($A241="","",R240)</f>
        <v/>
      </c>
      <c r="J241" s="71">
        <f>IF($A241="","",IF(C241="",0,C241))</f>
        <v/>
      </c>
      <c r="K241" s="71">
        <f>IF($A241="","",IF(E241="",0,E241))</f>
        <v/>
      </c>
      <c r="L241" s="70">
        <f>IF($A241="","",B241-D241)</f>
        <v/>
      </c>
      <c r="M241" s="71">
        <f>IF($A241="","",J241-K241)</f>
        <v/>
      </c>
      <c r="N241" s="71">
        <f>IF($A241="","",IF(G241="",0,G241))</f>
        <v/>
      </c>
      <c r="O241" s="70">
        <f>IF($A241="","",D241+F241)</f>
        <v/>
      </c>
      <c r="P241" s="71">
        <f>IF($A241="","",K241+N241)</f>
        <v/>
      </c>
      <c r="Q241" s="70">
        <f>IF($A241="","",I241+L241-F241)</f>
        <v/>
      </c>
      <c r="R241" s="72">
        <f>IF($A241="","",IF(H241="",Q241,H241))</f>
        <v/>
      </c>
      <c r="S241" s="73">
        <f>IF($A241="","",R241-Q241)</f>
        <v/>
      </c>
      <c r="T241" s="70">
        <f>IF($A241="","",SUMIFS($B$5:$B$800,$A$5:$A$800,"&gt;="&amp;DATE(YEAR($A241),MONTH($A241),1),$A$5:$A$800,"&lt;="&amp;$A241)+IF(AND(YEAR($A241)=YEAR(Settings!$B$3),MONTH($A241)=MONTH(Settings!$B$3)),Settings!$B$6,0))</f>
        <v/>
      </c>
      <c r="U241" s="71">
        <f>IF($A241="","",SUMIFS($J$5:$J$800,$A$5:$A$800,"&gt;="&amp;DATE(YEAR($A241),MONTH($A241),1),$A$5:$A$800,"&lt;="&amp;$A241)+IF(AND(YEAR($A241)=YEAR(Settings!$B$3),MONTH($A241)=MONTH(Settings!$B$3)),Settings!$B$7,0))</f>
        <v/>
      </c>
      <c r="V241" s="70">
        <f>IF($A241="","",Settings!$B$8+SUM($B$5:B241))</f>
        <v/>
      </c>
      <c r="W241" s="71">
        <f>IF($A241="","",Settings!$B$9+SUM($J$5:J241))</f>
        <v/>
      </c>
      <c r="X241" s="71">
        <f>IF($A241="","",IF(AND(N241&gt;0,F241&gt;0),ROUND(F241/N241,0),X240))</f>
        <v/>
      </c>
      <c r="Y241" s="74">
        <f>IF($A241="","",IF(AND(M241&gt;0,L241&gt;0),ROUND(L241/M241,0),IF(AND(J241&gt;0,B241&gt;0),ROUND(B241/J241,0),Y240)))</f>
        <v/>
      </c>
    </row>
    <row r="242">
      <c r="A242" s="67" t="n"/>
      <c r="B242" s="68" t="n"/>
      <c r="C242" s="69" t="n"/>
      <c r="D242" s="68" t="n"/>
      <c r="E242" s="69" t="n"/>
      <c r="F242" s="68" t="n"/>
      <c r="G242" s="69" t="n"/>
      <c r="H242" s="68" t="n"/>
      <c r="I242" s="70">
        <f>IF($A242="","",R241)</f>
        <v/>
      </c>
      <c r="J242" s="71">
        <f>IF($A242="","",IF(C242="",0,C242))</f>
        <v/>
      </c>
      <c r="K242" s="71">
        <f>IF($A242="","",IF(E242="",0,E242))</f>
        <v/>
      </c>
      <c r="L242" s="70">
        <f>IF($A242="","",B242-D242)</f>
        <v/>
      </c>
      <c r="M242" s="71">
        <f>IF($A242="","",J242-K242)</f>
        <v/>
      </c>
      <c r="N242" s="71">
        <f>IF($A242="","",IF(G242="",0,G242))</f>
        <v/>
      </c>
      <c r="O242" s="70">
        <f>IF($A242="","",D242+F242)</f>
        <v/>
      </c>
      <c r="P242" s="71">
        <f>IF($A242="","",K242+N242)</f>
        <v/>
      </c>
      <c r="Q242" s="70">
        <f>IF($A242="","",I242+L242-F242)</f>
        <v/>
      </c>
      <c r="R242" s="72">
        <f>IF($A242="","",IF(H242="",Q242,H242))</f>
        <v/>
      </c>
      <c r="S242" s="73">
        <f>IF($A242="","",R242-Q242)</f>
        <v/>
      </c>
      <c r="T242" s="70">
        <f>IF($A242="","",SUMIFS($B$5:$B$800,$A$5:$A$800,"&gt;="&amp;DATE(YEAR($A242),MONTH($A242),1),$A$5:$A$800,"&lt;="&amp;$A242)+IF(AND(YEAR($A242)=YEAR(Settings!$B$3),MONTH($A242)=MONTH(Settings!$B$3)),Settings!$B$6,0))</f>
        <v/>
      </c>
      <c r="U242" s="71">
        <f>IF($A242="","",SUMIFS($J$5:$J$800,$A$5:$A$800,"&gt;="&amp;DATE(YEAR($A242),MONTH($A242),1),$A$5:$A$800,"&lt;="&amp;$A242)+IF(AND(YEAR($A242)=YEAR(Settings!$B$3),MONTH($A242)=MONTH(Settings!$B$3)),Settings!$B$7,0))</f>
        <v/>
      </c>
      <c r="V242" s="70">
        <f>IF($A242="","",Settings!$B$8+SUM($B$5:B242))</f>
        <v/>
      </c>
      <c r="W242" s="71">
        <f>IF($A242="","",Settings!$B$9+SUM($J$5:J242))</f>
        <v/>
      </c>
      <c r="X242" s="71">
        <f>IF($A242="","",IF(AND(N242&gt;0,F242&gt;0),ROUND(F242/N242,0),X241))</f>
        <v/>
      </c>
      <c r="Y242" s="74">
        <f>IF($A242="","",IF(AND(M242&gt;0,L242&gt;0),ROUND(L242/M242,0),IF(AND(J242&gt;0,B242&gt;0),ROUND(B242/J242,0),Y241)))</f>
        <v/>
      </c>
    </row>
    <row r="243">
      <c r="A243" s="67" t="n"/>
      <c r="B243" s="68" t="n"/>
      <c r="C243" s="69" t="n"/>
      <c r="D243" s="68" t="n"/>
      <c r="E243" s="69" t="n"/>
      <c r="F243" s="68" t="n"/>
      <c r="G243" s="69" t="n"/>
      <c r="H243" s="68" t="n"/>
      <c r="I243" s="70">
        <f>IF($A243="","",R242)</f>
        <v/>
      </c>
      <c r="J243" s="71">
        <f>IF($A243="","",IF(C243="",0,C243))</f>
        <v/>
      </c>
      <c r="K243" s="71">
        <f>IF($A243="","",IF(E243="",0,E243))</f>
        <v/>
      </c>
      <c r="L243" s="70">
        <f>IF($A243="","",B243-D243)</f>
        <v/>
      </c>
      <c r="M243" s="71">
        <f>IF($A243="","",J243-K243)</f>
        <v/>
      </c>
      <c r="N243" s="71">
        <f>IF($A243="","",IF(G243="",0,G243))</f>
        <v/>
      </c>
      <c r="O243" s="70">
        <f>IF($A243="","",D243+F243)</f>
        <v/>
      </c>
      <c r="P243" s="71">
        <f>IF($A243="","",K243+N243)</f>
        <v/>
      </c>
      <c r="Q243" s="70">
        <f>IF($A243="","",I243+L243-F243)</f>
        <v/>
      </c>
      <c r="R243" s="72">
        <f>IF($A243="","",IF(H243="",Q243,H243))</f>
        <v/>
      </c>
      <c r="S243" s="73">
        <f>IF($A243="","",R243-Q243)</f>
        <v/>
      </c>
      <c r="T243" s="70">
        <f>IF($A243="","",SUMIFS($B$5:$B$800,$A$5:$A$800,"&gt;="&amp;DATE(YEAR($A243),MONTH($A243),1),$A$5:$A$800,"&lt;="&amp;$A243)+IF(AND(YEAR($A243)=YEAR(Settings!$B$3),MONTH($A243)=MONTH(Settings!$B$3)),Settings!$B$6,0))</f>
        <v/>
      </c>
      <c r="U243" s="71">
        <f>IF($A243="","",SUMIFS($J$5:$J$800,$A$5:$A$800,"&gt;="&amp;DATE(YEAR($A243),MONTH($A243),1),$A$5:$A$800,"&lt;="&amp;$A243)+IF(AND(YEAR($A243)=YEAR(Settings!$B$3),MONTH($A243)=MONTH(Settings!$B$3)),Settings!$B$7,0))</f>
        <v/>
      </c>
      <c r="V243" s="70">
        <f>IF($A243="","",Settings!$B$8+SUM($B$5:B243))</f>
        <v/>
      </c>
      <c r="W243" s="71">
        <f>IF($A243="","",Settings!$B$9+SUM($J$5:J243))</f>
        <v/>
      </c>
      <c r="X243" s="71">
        <f>IF($A243="","",IF(AND(N243&gt;0,F243&gt;0),ROUND(F243/N243,0),X242))</f>
        <v/>
      </c>
      <c r="Y243" s="74">
        <f>IF($A243="","",IF(AND(M243&gt;0,L243&gt;0),ROUND(L243/M243,0),IF(AND(J243&gt;0,B243&gt;0),ROUND(B243/J243,0),Y242)))</f>
        <v/>
      </c>
    </row>
    <row r="244">
      <c r="A244" s="67" t="n"/>
      <c r="B244" s="68" t="n"/>
      <c r="C244" s="69" t="n"/>
      <c r="D244" s="68" t="n"/>
      <c r="E244" s="69" t="n"/>
      <c r="F244" s="68" t="n"/>
      <c r="G244" s="69" t="n"/>
      <c r="H244" s="68" t="n"/>
      <c r="I244" s="70">
        <f>IF($A244="","",R243)</f>
        <v/>
      </c>
      <c r="J244" s="71">
        <f>IF($A244="","",IF(C244="",0,C244))</f>
        <v/>
      </c>
      <c r="K244" s="71">
        <f>IF($A244="","",IF(E244="",0,E244))</f>
        <v/>
      </c>
      <c r="L244" s="70">
        <f>IF($A244="","",B244-D244)</f>
        <v/>
      </c>
      <c r="M244" s="71">
        <f>IF($A244="","",J244-K244)</f>
        <v/>
      </c>
      <c r="N244" s="71">
        <f>IF($A244="","",IF(G244="",0,G244))</f>
        <v/>
      </c>
      <c r="O244" s="70">
        <f>IF($A244="","",D244+F244)</f>
        <v/>
      </c>
      <c r="P244" s="71">
        <f>IF($A244="","",K244+N244)</f>
        <v/>
      </c>
      <c r="Q244" s="70">
        <f>IF($A244="","",I244+L244-F244)</f>
        <v/>
      </c>
      <c r="R244" s="72">
        <f>IF($A244="","",IF(H244="",Q244,H244))</f>
        <v/>
      </c>
      <c r="S244" s="73">
        <f>IF($A244="","",R244-Q244)</f>
        <v/>
      </c>
      <c r="T244" s="70">
        <f>IF($A244="","",SUMIFS($B$5:$B$800,$A$5:$A$800,"&gt;="&amp;DATE(YEAR($A244),MONTH($A244),1),$A$5:$A$800,"&lt;="&amp;$A244)+IF(AND(YEAR($A244)=YEAR(Settings!$B$3),MONTH($A244)=MONTH(Settings!$B$3)),Settings!$B$6,0))</f>
        <v/>
      </c>
      <c r="U244" s="71">
        <f>IF($A244="","",SUMIFS($J$5:$J$800,$A$5:$A$800,"&gt;="&amp;DATE(YEAR($A244),MONTH($A244),1),$A$5:$A$800,"&lt;="&amp;$A244)+IF(AND(YEAR($A244)=YEAR(Settings!$B$3),MONTH($A244)=MONTH(Settings!$B$3)),Settings!$B$7,0))</f>
        <v/>
      </c>
      <c r="V244" s="70">
        <f>IF($A244="","",Settings!$B$8+SUM($B$5:B244))</f>
        <v/>
      </c>
      <c r="W244" s="71">
        <f>IF($A244="","",Settings!$B$9+SUM($J$5:J244))</f>
        <v/>
      </c>
      <c r="X244" s="71">
        <f>IF($A244="","",IF(AND(N244&gt;0,F244&gt;0),ROUND(F244/N244,0),X243))</f>
        <v/>
      </c>
      <c r="Y244" s="74">
        <f>IF($A244="","",IF(AND(M244&gt;0,L244&gt;0),ROUND(L244/M244,0),IF(AND(J244&gt;0,B244&gt;0),ROUND(B244/J244,0),Y243)))</f>
        <v/>
      </c>
    </row>
    <row r="245">
      <c r="A245" s="67" t="n"/>
      <c r="B245" s="68" t="n"/>
      <c r="C245" s="69" t="n"/>
      <c r="D245" s="68" t="n"/>
      <c r="E245" s="69" t="n"/>
      <c r="F245" s="68" t="n"/>
      <c r="G245" s="69" t="n"/>
      <c r="H245" s="68" t="n"/>
      <c r="I245" s="70">
        <f>IF($A245="","",R244)</f>
        <v/>
      </c>
      <c r="J245" s="71">
        <f>IF($A245="","",IF(C245="",0,C245))</f>
        <v/>
      </c>
      <c r="K245" s="71">
        <f>IF($A245="","",IF(E245="",0,E245))</f>
        <v/>
      </c>
      <c r="L245" s="70">
        <f>IF($A245="","",B245-D245)</f>
        <v/>
      </c>
      <c r="M245" s="71">
        <f>IF($A245="","",J245-K245)</f>
        <v/>
      </c>
      <c r="N245" s="71">
        <f>IF($A245="","",IF(G245="",0,G245))</f>
        <v/>
      </c>
      <c r="O245" s="70">
        <f>IF($A245="","",D245+F245)</f>
        <v/>
      </c>
      <c r="P245" s="71">
        <f>IF($A245="","",K245+N245)</f>
        <v/>
      </c>
      <c r="Q245" s="70">
        <f>IF($A245="","",I245+L245-F245)</f>
        <v/>
      </c>
      <c r="R245" s="72">
        <f>IF($A245="","",IF(H245="",Q245,H245))</f>
        <v/>
      </c>
      <c r="S245" s="73">
        <f>IF($A245="","",R245-Q245)</f>
        <v/>
      </c>
      <c r="T245" s="70">
        <f>IF($A245="","",SUMIFS($B$5:$B$800,$A$5:$A$800,"&gt;="&amp;DATE(YEAR($A245),MONTH($A245),1),$A$5:$A$800,"&lt;="&amp;$A245)+IF(AND(YEAR($A245)=YEAR(Settings!$B$3),MONTH($A245)=MONTH(Settings!$B$3)),Settings!$B$6,0))</f>
        <v/>
      </c>
      <c r="U245" s="71">
        <f>IF($A245="","",SUMIFS($J$5:$J$800,$A$5:$A$800,"&gt;="&amp;DATE(YEAR($A245),MONTH($A245),1),$A$5:$A$800,"&lt;="&amp;$A245)+IF(AND(YEAR($A245)=YEAR(Settings!$B$3),MONTH($A245)=MONTH(Settings!$B$3)),Settings!$B$7,0))</f>
        <v/>
      </c>
      <c r="V245" s="70">
        <f>IF($A245="","",Settings!$B$8+SUM($B$5:B245))</f>
        <v/>
      </c>
      <c r="W245" s="71">
        <f>IF($A245="","",Settings!$B$9+SUM($J$5:J245))</f>
        <v/>
      </c>
      <c r="X245" s="71">
        <f>IF($A245="","",IF(AND(N245&gt;0,F245&gt;0),ROUND(F245/N245,0),X244))</f>
        <v/>
      </c>
      <c r="Y245" s="74">
        <f>IF($A245="","",IF(AND(M245&gt;0,L245&gt;0),ROUND(L245/M245,0),IF(AND(J245&gt;0,B245&gt;0),ROUND(B245/J245,0),Y244)))</f>
        <v/>
      </c>
    </row>
    <row r="246">
      <c r="A246" s="67" t="n"/>
      <c r="B246" s="68" t="n"/>
      <c r="C246" s="69" t="n"/>
      <c r="D246" s="68" t="n"/>
      <c r="E246" s="69" t="n"/>
      <c r="F246" s="68" t="n"/>
      <c r="G246" s="69" t="n"/>
      <c r="H246" s="68" t="n"/>
      <c r="I246" s="70">
        <f>IF($A246="","",R245)</f>
        <v/>
      </c>
      <c r="J246" s="71">
        <f>IF($A246="","",IF(C246="",0,C246))</f>
        <v/>
      </c>
      <c r="K246" s="71">
        <f>IF($A246="","",IF(E246="",0,E246))</f>
        <v/>
      </c>
      <c r="L246" s="70">
        <f>IF($A246="","",B246-D246)</f>
        <v/>
      </c>
      <c r="M246" s="71">
        <f>IF($A246="","",J246-K246)</f>
        <v/>
      </c>
      <c r="N246" s="71">
        <f>IF($A246="","",IF(G246="",0,G246))</f>
        <v/>
      </c>
      <c r="O246" s="70">
        <f>IF($A246="","",D246+F246)</f>
        <v/>
      </c>
      <c r="P246" s="71">
        <f>IF($A246="","",K246+N246)</f>
        <v/>
      </c>
      <c r="Q246" s="70">
        <f>IF($A246="","",I246+L246-F246)</f>
        <v/>
      </c>
      <c r="R246" s="72">
        <f>IF($A246="","",IF(H246="",Q246,H246))</f>
        <v/>
      </c>
      <c r="S246" s="73">
        <f>IF($A246="","",R246-Q246)</f>
        <v/>
      </c>
      <c r="T246" s="70">
        <f>IF($A246="","",SUMIFS($B$5:$B$800,$A$5:$A$800,"&gt;="&amp;DATE(YEAR($A246),MONTH($A246),1),$A$5:$A$800,"&lt;="&amp;$A246)+IF(AND(YEAR($A246)=YEAR(Settings!$B$3),MONTH($A246)=MONTH(Settings!$B$3)),Settings!$B$6,0))</f>
        <v/>
      </c>
      <c r="U246" s="71">
        <f>IF($A246="","",SUMIFS($J$5:$J$800,$A$5:$A$800,"&gt;="&amp;DATE(YEAR($A246),MONTH($A246),1),$A$5:$A$800,"&lt;="&amp;$A246)+IF(AND(YEAR($A246)=YEAR(Settings!$B$3),MONTH($A246)=MONTH(Settings!$B$3)),Settings!$B$7,0))</f>
        <v/>
      </c>
      <c r="V246" s="70">
        <f>IF($A246="","",Settings!$B$8+SUM($B$5:B246))</f>
        <v/>
      </c>
      <c r="W246" s="71">
        <f>IF($A246="","",Settings!$B$9+SUM($J$5:J246))</f>
        <v/>
      </c>
      <c r="X246" s="71">
        <f>IF($A246="","",IF(AND(N246&gt;0,F246&gt;0),ROUND(F246/N246,0),X245))</f>
        <v/>
      </c>
      <c r="Y246" s="74">
        <f>IF($A246="","",IF(AND(M246&gt;0,L246&gt;0),ROUND(L246/M246,0),IF(AND(J246&gt;0,B246&gt;0),ROUND(B246/J246,0),Y245)))</f>
        <v/>
      </c>
    </row>
    <row r="247">
      <c r="A247" s="67" t="n"/>
      <c r="B247" s="68" t="n"/>
      <c r="C247" s="69" t="n"/>
      <c r="D247" s="68" t="n"/>
      <c r="E247" s="69" t="n"/>
      <c r="F247" s="68" t="n"/>
      <c r="G247" s="69" t="n"/>
      <c r="H247" s="68" t="n"/>
      <c r="I247" s="70">
        <f>IF($A247="","",R246)</f>
        <v/>
      </c>
      <c r="J247" s="71">
        <f>IF($A247="","",IF(C247="",0,C247))</f>
        <v/>
      </c>
      <c r="K247" s="71">
        <f>IF($A247="","",IF(E247="",0,E247))</f>
        <v/>
      </c>
      <c r="L247" s="70">
        <f>IF($A247="","",B247-D247)</f>
        <v/>
      </c>
      <c r="M247" s="71">
        <f>IF($A247="","",J247-K247)</f>
        <v/>
      </c>
      <c r="N247" s="71">
        <f>IF($A247="","",IF(G247="",0,G247))</f>
        <v/>
      </c>
      <c r="O247" s="70">
        <f>IF($A247="","",D247+F247)</f>
        <v/>
      </c>
      <c r="P247" s="71">
        <f>IF($A247="","",K247+N247)</f>
        <v/>
      </c>
      <c r="Q247" s="70">
        <f>IF($A247="","",I247+L247-F247)</f>
        <v/>
      </c>
      <c r="R247" s="72">
        <f>IF($A247="","",IF(H247="",Q247,H247))</f>
        <v/>
      </c>
      <c r="S247" s="73">
        <f>IF($A247="","",R247-Q247)</f>
        <v/>
      </c>
      <c r="T247" s="70">
        <f>IF($A247="","",SUMIFS($B$5:$B$800,$A$5:$A$800,"&gt;="&amp;DATE(YEAR($A247),MONTH($A247),1),$A$5:$A$800,"&lt;="&amp;$A247)+IF(AND(YEAR($A247)=YEAR(Settings!$B$3),MONTH($A247)=MONTH(Settings!$B$3)),Settings!$B$6,0))</f>
        <v/>
      </c>
      <c r="U247" s="71">
        <f>IF($A247="","",SUMIFS($J$5:$J$800,$A$5:$A$800,"&gt;="&amp;DATE(YEAR($A247),MONTH($A247),1),$A$5:$A$800,"&lt;="&amp;$A247)+IF(AND(YEAR($A247)=YEAR(Settings!$B$3),MONTH($A247)=MONTH(Settings!$B$3)),Settings!$B$7,0))</f>
        <v/>
      </c>
      <c r="V247" s="70">
        <f>IF($A247="","",Settings!$B$8+SUM($B$5:B247))</f>
        <v/>
      </c>
      <c r="W247" s="71">
        <f>IF($A247="","",Settings!$B$9+SUM($J$5:J247))</f>
        <v/>
      </c>
      <c r="X247" s="71">
        <f>IF($A247="","",IF(AND(N247&gt;0,F247&gt;0),ROUND(F247/N247,0),X246))</f>
        <v/>
      </c>
      <c r="Y247" s="74">
        <f>IF($A247="","",IF(AND(M247&gt;0,L247&gt;0),ROUND(L247/M247,0),IF(AND(J247&gt;0,B247&gt;0),ROUND(B247/J247,0),Y246)))</f>
        <v/>
      </c>
    </row>
    <row r="248">
      <c r="A248" s="67" t="n"/>
      <c r="B248" s="68" t="n"/>
      <c r="C248" s="69" t="n"/>
      <c r="D248" s="68" t="n"/>
      <c r="E248" s="69" t="n"/>
      <c r="F248" s="68" t="n"/>
      <c r="G248" s="69" t="n"/>
      <c r="H248" s="68" t="n"/>
      <c r="I248" s="70">
        <f>IF($A248="","",R247)</f>
        <v/>
      </c>
      <c r="J248" s="71">
        <f>IF($A248="","",IF(C248="",0,C248))</f>
        <v/>
      </c>
      <c r="K248" s="71">
        <f>IF($A248="","",IF(E248="",0,E248))</f>
        <v/>
      </c>
      <c r="L248" s="70">
        <f>IF($A248="","",B248-D248)</f>
        <v/>
      </c>
      <c r="M248" s="71">
        <f>IF($A248="","",J248-K248)</f>
        <v/>
      </c>
      <c r="N248" s="71">
        <f>IF($A248="","",IF(G248="",0,G248))</f>
        <v/>
      </c>
      <c r="O248" s="70">
        <f>IF($A248="","",D248+F248)</f>
        <v/>
      </c>
      <c r="P248" s="71">
        <f>IF($A248="","",K248+N248)</f>
        <v/>
      </c>
      <c r="Q248" s="70">
        <f>IF($A248="","",I248+L248-F248)</f>
        <v/>
      </c>
      <c r="R248" s="72">
        <f>IF($A248="","",IF(H248="",Q248,H248))</f>
        <v/>
      </c>
      <c r="S248" s="73">
        <f>IF($A248="","",R248-Q248)</f>
        <v/>
      </c>
      <c r="T248" s="70">
        <f>IF($A248="","",SUMIFS($B$5:$B$800,$A$5:$A$800,"&gt;="&amp;DATE(YEAR($A248),MONTH($A248),1),$A$5:$A$800,"&lt;="&amp;$A248)+IF(AND(YEAR($A248)=YEAR(Settings!$B$3),MONTH($A248)=MONTH(Settings!$B$3)),Settings!$B$6,0))</f>
        <v/>
      </c>
      <c r="U248" s="71">
        <f>IF($A248="","",SUMIFS($J$5:$J$800,$A$5:$A$800,"&gt;="&amp;DATE(YEAR($A248),MONTH($A248),1),$A$5:$A$800,"&lt;="&amp;$A248)+IF(AND(YEAR($A248)=YEAR(Settings!$B$3),MONTH($A248)=MONTH(Settings!$B$3)),Settings!$B$7,0))</f>
        <v/>
      </c>
      <c r="V248" s="70">
        <f>IF($A248="","",Settings!$B$8+SUM($B$5:B248))</f>
        <v/>
      </c>
      <c r="W248" s="71">
        <f>IF($A248="","",Settings!$B$9+SUM($J$5:J248))</f>
        <v/>
      </c>
      <c r="X248" s="71">
        <f>IF($A248="","",IF(AND(N248&gt;0,F248&gt;0),ROUND(F248/N248,0),X247))</f>
        <v/>
      </c>
      <c r="Y248" s="74">
        <f>IF($A248="","",IF(AND(M248&gt;0,L248&gt;0),ROUND(L248/M248,0),IF(AND(J248&gt;0,B248&gt;0),ROUND(B248/J248,0),Y247)))</f>
        <v/>
      </c>
    </row>
    <row r="249">
      <c r="A249" s="67" t="n"/>
      <c r="B249" s="68" t="n"/>
      <c r="C249" s="69" t="n"/>
      <c r="D249" s="68" t="n"/>
      <c r="E249" s="69" t="n"/>
      <c r="F249" s="68" t="n"/>
      <c r="G249" s="69" t="n"/>
      <c r="H249" s="68" t="n"/>
      <c r="I249" s="70">
        <f>IF($A249="","",R248)</f>
        <v/>
      </c>
      <c r="J249" s="71">
        <f>IF($A249="","",IF(C249="",0,C249))</f>
        <v/>
      </c>
      <c r="K249" s="71">
        <f>IF($A249="","",IF(E249="",0,E249))</f>
        <v/>
      </c>
      <c r="L249" s="70">
        <f>IF($A249="","",B249-D249)</f>
        <v/>
      </c>
      <c r="M249" s="71">
        <f>IF($A249="","",J249-K249)</f>
        <v/>
      </c>
      <c r="N249" s="71">
        <f>IF($A249="","",IF(G249="",0,G249))</f>
        <v/>
      </c>
      <c r="O249" s="70">
        <f>IF($A249="","",D249+F249)</f>
        <v/>
      </c>
      <c r="P249" s="71">
        <f>IF($A249="","",K249+N249)</f>
        <v/>
      </c>
      <c r="Q249" s="70">
        <f>IF($A249="","",I249+L249-F249)</f>
        <v/>
      </c>
      <c r="R249" s="72">
        <f>IF($A249="","",IF(H249="",Q249,H249))</f>
        <v/>
      </c>
      <c r="S249" s="73">
        <f>IF($A249="","",R249-Q249)</f>
        <v/>
      </c>
      <c r="T249" s="70">
        <f>IF($A249="","",SUMIFS($B$5:$B$800,$A$5:$A$800,"&gt;="&amp;DATE(YEAR($A249),MONTH($A249),1),$A$5:$A$800,"&lt;="&amp;$A249)+IF(AND(YEAR($A249)=YEAR(Settings!$B$3),MONTH($A249)=MONTH(Settings!$B$3)),Settings!$B$6,0))</f>
        <v/>
      </c>
      <c r="U249" s="71">
        <f>IF($A249="","",SUMIFS($J$5:$J$800,$A$5:$A$800,"&gt;="&amp;DATE(YEAR($A249),MONTH($A249),1),$A$5:$A$800,"&lt;="&amp;$A249)+IF(AND(YEAR($A249)=YEAR(Settings!$B$3),MONTH($A249)=MONTH(Settings!$B$3)),Settings!$B$7,0))</f>
        <v/>
      </c>
      <c r="V249" s="70">
        <f>IF($A249="","",Settings!$B$8+SUM($B$5:B249))</f>
        <v/>
      </c>
      <c r="W249" s="71">
        <f>IF($A249="","",Settings!$B$9+SUM($J$5:J249))</f>
        <v/>
      </c>
      <c r="X249" s="71">
        <f>IF($A249="","",IF(AND(N249&gt;0,F249&gt;0),ROUND(F249/N249,0),X248))</f>
        <v/>
      </c>
      <c r="Y249" s="74">
        <f>IF($A249="","",IF(AND(M249&gt;0,L249&gt;0),ROUND(L249/M249,0),IF(AND(J249&gt;0,B249&gt;0),ROUND(B249/J249,0),Y248)))</f>
        <v/>
      </c>
    </row>
    <row r="250">
      <c r="A250" s="67" t="n"/>
      <c r="B250" s="68" t="n"/>
      <c r="C250" s="69" t="n"/>
      <c r="D250" s="68" t="n"/>
      <c r="E250" s="69" t="n"/>
      <c r="F250" s="68" t="n"/>
      <c r="G250" s="69" t="n"/>
      <c r="H250" s="68" t="n"/>
      <c r="I250" s="70">
        <f>IF($A250="","",R249)</f>
        <v/>
      </c>
      <c r="J250" s="71">
        <f>IF($A250="","",IF(C250="",0,C250))</f>
        <v/>
      </c>
      <c r="K250" s="71">
        <f>IF($A250="","",IF(E250="",0,E250))</f>
        <v/>
      </c>
      <c r="L250" s="70">
        <f>IF($A250="","",B250-D250)</f>
        <v/>
      </c>
      <c r="M250" s="71">
        <f>IF($A250="","",J250-K250)</f>
        <v/>
      </c>
      <c r="N250" s="71">
        <f>IF($A250="","",IF(G250="",0,G250))</f>
        <v/>
      </c>
      <c r="O250" s="70">
        <f>IF($A250="","",D250+F250)</f>
        <v/>
      </c>
      <c r="P250" s="71">
        <f>IF($A250="","",K250+N250)</f>
        <v/>
      </c>
      <c r="Q250" s="70">
        <f>IF($A250="","",I250+L250-F250)</f>
        <v/>
      </c>
      <c r="R250" s="72">
        <f>IF($A250="","",IF(H250="",Q250,H250))</f>
        <v/>
      </c>
      <c r="S250" s="73">
        <f>IF($A250="","",R250-Q250)</f>
        <v/>
      </c>
      <c r="T250" s="70">
        <f>IF($A250="","",SUMIFS($B$5:$B$800,$A$5:$A$800,"&gt;="&amp;DATE(YEAR($A250),MONTH($A250),1),$A$5:$A$800,"&lt;="&amp;$A250)+IF(AND(YEAR($A250)=YEAR(Settings!$B$3),MONTH($A250)=MONTH(Settings!$B$3)),Settings!$B$6,0))</f>
        <v/>
      </c>
      <c r="U250" s="71">
        <f>IF($A250="","",SUMIFS($J$5:$J$800,$A$5:$A$800,"&gt;="&amp;DATE(YEAR($A250),MONTH($A250),1),$A$5:$A$800,"&lt;="&amp;$A250)+IF(AND(YEAR($A250)=YEAR(Settings!$B$3),MONTH($A250)=MONTH(Settings!$B$3)),Settings!$B$7,0))</f>
        <v/>
      </c>
      <c r="V250" s="70">
        <f>IF($A250="","",Settings!$B$8+SUM($B$5:B250))</f>
        <v/>
      </c>
      <c r="W250" s="71">
        <f>IF($A250="","",Settings!$B$9+SUM($J$5:J250))</f>
        <v/>
      </c>
      <c r="X250" s="71">
        <f>IF($A250="","",IF(AND(N250&gt;0,F250&gt;0),ROUND(F250/N250,0),X249))</f>
        <v/>
      </c>
      <c r="Y250" s="74">
        <f>IF($A250="","",IF(AND(M250&gt;0,L250&gt;0),ROUND(L250/M250,0),IF(AND(J250&gt;0,B250&gt;0),ROUND(B250/J250,0),Y249)))</f>
        <v/>
      </c>
    </row>
    <row r="251">
      <c r="A251" s="67" t="n"/>
      <c r="B251" s="68" t="n"/>
      <c r="C251" s="69" t="n"/>
      <c r="D251" s="68" t="n"/>
      <c r="E251" s="69" t="n"/>
      <c r="F251" s="68" t="n"/>
      <c r="G251" s="69" t="n"/>
      <c r="H251" s="68" t="n"/>
      <c r="I251" s="70">
        <f>IF($A251="","",R250)</f>
        <v/>
      </c>
      <c r="J251" s="71">
        <f>IF($A251="","",IF(C251="",0,C251))</f>
        <v/>
      </c>
      <c r="K251" s="71">
        <f>IF($A251="","",IF(E251="",0,E251))</f>
        <v/>
      </c>
      <c r="L251" s="70">
        <f>IF($A251="","",B251-D251)</f>
        <v/>
      </c>
      <c r="M251" s="71">
        <f>IF($A251="","",J251-K251)</f>
        <v/>
      </c>
      <c r="N251" s="71">
        <f>IF($A251="","",IF(G251="",0,G251))</f>
        <v/>
      </c>
      <c r="O251" s="70">
        <f>IF($A251="","",D251+F251)</f>
        <v/>
      </c>
      <c r="P251" s="71">
        <f>IF($A251="","",K251+N251)</f>
        <v/>
      </c>
      <c r="Q251" s="70">
        <f>IF($A251="","",I251+L251-F251)</f>
        <v/>
      </c>
      <c r="R251" s="72">
        <f>IF($A251="","",IF(H251="",Q251,H251))</f>
        <v/>
      </c>
      <c r="S251" s="73">
        <f>IF($A251="","",R251-Q251)</f>
        <v/>
      </c>
      <c r="T251" s="70">
        <f>IF($A251="","",SUMIFS($B$5:$B$800,$A$5:$A$800,"&gt;="&amp;DATE(YEAR($A251),MONTH($A251),1),$A$5:$A$800,"&lt;="&amp;$A251)+IF(AND(YEAR($A251)=YEAR(Settings!$B$3),MONTH($A251)=MONTH(Settings!$B$3)),Settings!$B$6,0))</f>
        <v/>
      </c>
      <c r="U251" s="71">
        <f>IF($A251="","",SUMIFS($J$5:$J$800,$A$5:$A$800,"&gt;="&amp;DATE(YEAR($A251),MONTH($A251),1),$A$5:$A$800,"&lt;="&amp;$A251)+IF(AND(YEAR($A251)=YEAR(Settings!$B$3),MONTH($A251)=MONTH(Settings!$B$3)),Settings!$B$7,0))</f>
        <v/>
      </c>
      <c r="V251" s="70">
        <f>IF($A251="","",Settings!$B$8+SUM($B$5:B251))</f>
        <v/>
      </c>
      <c r="W251" s="71">
        <f>IF($A251="","",Settings!$B$9+SUM($J$5:J251))</f>
        <v/>
      </c>
      <c r="X251" s="71">
        <f>IF($A251="","",IF(AND(N251&gt;0,F251&gt;0),ROUND(F251/N251,0),X250))</f>
        <v/>
      </c>
      <c r="Y251" s="74">
        <f>IF($A251="","",IF(AND(M251&gt;0,L251&gt;0),ROUND(L251/M251,0),IF(AND(J251&gt;0,B251&gt;0),ROUND(B251/J251,0),Y250)))</f>
        <v/>
      </c>
    </row>
    <row r="252">
      <c r="A252" s="67" t="n"/>
      <c r="B252" s="68" t="n"/>
      <c r="C252" s="69" t="n"/>
      <c r="D252" s="68" t="n"/>
      <c r="E252" s="69" t="n"/>
      <c r="F252" s="68" t="n"/>
      <c r="G252" s="69" t="n"/>
      <c r="H252" s="68" t="n"/>
      <c r="I252" s="70">
        <f>IF($A252="","",R251)</f>
        <v/>
      </c>
      <c r="J252" s="71">
        <f>IF($A252="","",IF(C252="",0,C252))</f>
        <v/>
      </c>
      <c r="K252" s="71">
        <f>IF($A252="","",IF(E252="",0,E252))</f>
        <v/>
      </c>
      <c r="L252" s="70">
        <f>IF($A252="","",B252-D252)</f>
        <v/>
      </c>
      <c r="M252" s="71">
        <f>IF($A252="","",J252-K252)</f>
        <v/>
      </c>
      <c r="N252" s="71">
        <f>IF($A252="","",IF(G252="",0,G252))</f>
        <v/>
      </c>
      <c r="O252" s="70">
        <f>IF($A252="","",D252+F252)</f>
        <v/>
      </c>
      <c r="P252" s="71">
        <f>IF($A252="","",K252+N252)</f>
        <v/>
      </c>
      <c r="Q252" s="70">
        <f>IF($A252="","",I252+L252-F252)</f>
        <v/>
      </c>
      <c r="R252" s="72">
        <f>IF($A252="","",IF(H252="",Q252,H252))</f>
        <v/>
      </c>
      <c r="S252" s="73">
        <f>IF($A252="","",R252-Q252)</f>
        <v/>
      </c>
      <c r="T252" s="70">
        <f>IF($A252="","",SUMIFS($B$5:$B$800,$A$5:$A$800,"&gt;="&amp;DATE(YEAR($A252),MONTH($A252),1),$A$5:$A$800,"&lt;="&amp;$A252)+IF(AND(YEAR($A252)=YEAR(Settings!$B$3),MONTH($A252)=MONTH(Settings!$B$3)),Settings!$B$6,0))</f>
        <v/>
      </c>
      <c r="U252" s="71">
        <f>IF($A252="","",SUMIFS($J$5:$J$800,$A$5:$A$800,"&gt;="&amp;DATE(YEAR($A252),MONTH($A252),1),$A$5:$A$800,"&lt;="&amp;$A252)+IF(AND(YEAR($A252)=YEAR(Settings!$B$3),MONTH($A252)=MONTH(Settings!$B$3)),Settings!$B$7,0))</f>
        <v/>
      </c>
      <c r="V252" s="70">
        <f>IF($A252="","",Settings!$B$8+SUM($B$5:B252))</f>
        <v/>
      </c>
      <c r="W252" s="71">
        <f>IF($A252="","",Settings!$B$9+SUM($J$5:J252))</f>
        <v/>
      </c>
      <c r="X252" s="71">
        <f>IF($A252="","",IF(AND(N252&gt;0,F252&gt;0),ROUND(F252/N252,0),X251))</f>
        <v/>
      </c>
      <c r="Y252" s="74">
        <f>IF($A252="","",IF(AND(M252&gt;0,L252&gt;0),ROUND(L252/M252,0),IF(AND(J252&gt;0,B252&gt;0),ROUND(B252/J252,0),Y251)))</f>
        <v/>
      </c>
    </row>
    <row r="253">
      <c r="A253" s="67" t="n"/>
      <c r="B253" s="68" t="n"/>
      <c r="C253" s="69" t="n"/>
      <c r="D253" s="68" t="n"/>
      <c r="E253" s="69" t="n"/>
      <c r="F253" s="68" t="n"/>
      <c r="G253" s="69" t="n"/>
      <c r="H253" s="68" t="n"/>
      <c r="I253" s="70">
        <f>IF($A253="","",R252)</f>
        <v/>
      </c>
      <c r="J253" s="71">
        <f>IF($A253="","",IF(C253="",0,C253))</f>
        <v/>
      </c>
      <c r="K253" s="71">
        <f>IF($A253="","",IF(E253="",0,E253))</f>
        <v/>
      </c>
      <c r="L253" s="70">
        <f>IF($A253="","",B253-D253)</f>
        <v/>
      </c>
      <c r="M253" s="71">
        <f>IF($A253="","",J253-K253)</f>
        <v/>
      </c>
      <c r="N253" s="71">
        <f>IF($A253="","",IF(G253="",0,G253))</f>
        <v/>
      </c>
      <c r="O253" s="70">
        <f>IF($A253="","",D253+F253)</f>
        <v/>
      </c>
      <c r="P253" s="71">
        <f>IF($A253="","",K253+N253)</f>
        <v/>
      </c>
      <c r="Q253" s="70">
        <f>IF($A253="","",I253+L253-F253)</f>
        <v/>
      </c>
      <c r="R253" s="72">
        <f>IF($A253="","",IF(H253="",Q253,H253))</f>
        <v/>
      </c>
      <c r="S253" s="73">
        <f>IF($A253="","",R253-Q253)</f>
        <v/>
      </c>
      <c r="T253" s="70">
        <f>IF($A253="","",SUMIFS($B$5:$B$800,$A$5:$A$800,"&gt;="&amp;DATE(YEAR($A253),MONTH($A253),1),$A$5:$A$800,"&lt;="&amp;$A253)+IF(AND(YEAR($A253)=YEAR(Settings!$B$3),MONTH($A253)=MONTH(Settings!$B$3)),Settings!$B$6,0))</f>
        <v/>
      </c>
      <c r="U253" s="71">
        <f>IF($A253="","",SUMIFS($J$5:$J$800,$A$5:$A$800,"&gt;="&amp;DATE(YEAR($A253),MONTH($A253),1),$A$5:$A$800,"&lt;="&amp;$A253)+IF(AND(YEAR($A253)=YEAR(Settings!$B$3),MONTH($A253)=MONTH(Settings!$B$3)),Settings!$B$7,0))</f>
        <v/>
      </c>
      <c r="V253" s="70">
        <f>IF($A253="","",Settings!$B$8+SUM($B$5:B253))</f>
        <v/>
      </c>
      <c r="W253" s="71">
        <f>IF($A253="","",Settings!$B$9+SUM($J$5:J253))</f>
        <v/>
      </c>
      <c r="X253" s="71">
        <f>IF($A253="","",IF(AND(N253&gt;0,F253&gt;0),ROUND(F253/N253,0),X252))</f>
        <v/>
      </c>
      <c r="Y253" s="74">
        <f>IF($A253="","",IF(AND(M253&gt;0,L253&gt;0),ROUND(L253/M253,0),IF(AND(J253&gt;0,B253&gt;0),ROUND(B253/J253,0),Y252)))</f>
        <v/>
      </c>
    </row>
    <row r="254">
      <c r="A254" s="67" t="n"/>
      <c r="B254" s="68" t="n"/>
      <c r="C254" s="69" t="n"/>
      <c r="D254" s="68" t="n"/>
      <c r="E254" s="69" t="n"/>
      <c r="F254" s="68" t="n"/>
      <c r="G254" s="69" t="n"/>
      <c r="H254" s="68" t="n"/>
      <c r="I254" s="70">
        <f>IF($A254="","",R253)</f>
        <v/>
      </c>
      <c r="J254" s="71">
        <f>IF($A254="","",IF(C254="",0,C254))</f>
        <v/>
      </c>
      <c r="K254" s="71">
        <f>IF($A254="","",IF(E254="",0,E254))</f>
        <v/>
      </c>
      <c r="L254" s="70">
        <f>IF($A254="","",B254-D254)</f>
        <v/>
      </c>
      <c r="M254" s="71">
        <f>IF($A254="","",J254-K254)</f>
        <v/>
      </c>
      <c r="N254" s="71">
        <f>IF($A254="","",IF(G254="",0,G254))</f>
        <v/>
      </c>
      <c r="O254" s="70">
        <f>IF($A254="","",D254+F254)</f>
        <v/>
      </c>
      <c r="P254" s="71">
        <f>IF($A254="","",K254+N254)</f>
        <v/>
      </c>
      <c r="Q254" s="70">
        <f>IF($A254="","",I254+L254-F254)</f>
        <v/>
      </c>
      <c r="R254" s="72">
        <f>IF($A254="","",IF(H254="",Q254,H254))</f>
        <v/>
      </c>
      <c r="S254" s="73">
        <f>IF($A254="","",R254-Q254)</f>
        <v/>
      </c>
      <c r="T254" s="70">
        <f>IF($A254="","",SUMIFS($B$5:$B$800,$A$5:$A$800,"&gt;="&amp;DATE(YEAR($A254),MONTH($A254),1),$A$5:$A$800,"&lt;="&amp;$A254)+IF(AND(YEAR($A254)=YEAR(Settings!$B$3),MONTH($A254)=MONTH(Settings!$B$3)),Settings!$B$6,0))</f>
        <v/>
      </c>
      <c r="U254" s="71">
        <f>IF($A254="","",SUMIFS($J$5:$J$800,$A$5:$A$800,"&gt;="&amp;DATE(YEAR($A254),MONTH($A254),1),$A$5:$A$800,"&lt;="&amp;$A254)+IF(AND(YEAR($A254)=YEAR(Settings!$B$3),MONTH($A254)=MONTH(Settings!$B$3)),Settings!$B$7,0))</f>
        <v/>
      </c>
      <c r="V254" s="70">
        <f>IF($A254="","",Settings!$B$8+SUM($B$5:B254))</f>
        <v/>
      </c>
      <c r="W254" s="71">
        <f>IF($A254="","",Settings!$B$9+SUM($J$5:J254))</f>
        <v/>
      </c>
      <c r="X254" s="71">
        <f>IF($A254="","",IF(AND(N254&gt;0,F254&gt;0),ROUND(F254/N254,0),X253))</f>
        <v/>
      </c>
      <c r="Y254" s="74">
        <f>IF($A254="","",IF(AND(M254&gt;0,L254&gt;0),ROUND(L254/M254,0),IF(AND(J254&gt;0,B254&gt;0),ROUND(B254/J254,0),Y253)))</f>
        <v/>
      </c>
    </row>
    <row r="255">
      <c r="A255" s="67" t="n"/>
      <c r="B255" s="68" t="n"/>
      <c r="C255" s="69" t="n"/>
      <c r="D255" s="68" t="n"/>
      <c r="E255" s="69" t="n"/>
      <c r="F255" s="68" t="n"/>
      <c r="G255" s="69" t="n"/>
      <c r="H255" s="68" t="n"/>
      <c r="I255" s="70">
        <f>IF($A255="","",R254)</f>
        <v/>
      </c>
      <c r="J255" s="71">
        <f>IF($A255="","",IF(C255="",0,C255))</f>
        <v/>
      </c>
      <c r="K255" s="71">
        <f>IF($A255="","",IF(E255="",0,E255))</f>
        <v/>
      </c>
      <c r="L255" s="70">
        <f>IF($A255="","",B255-D255)</f>
        <v/>
      </c>
      <c r="M255" s="71">
        <f>IF($A255="","",J255-K255)</f>
        <v/>
      </c>
      <c r="N255" s="71">
        <f>IF($A255="","",IF(G255="",0,G255))</f>
        <v/>
      </c>
      <c r="O255" s="70">
        <f>IF($A255="","",D255+F255)</f>
        <v/>
      </c>
      <c r="P255" s="71">
        <f>IF($A255="","",K255+N255)</f>
        <v/>
      </c>
      <c r="Q255" s="70">
        <f>IF($A255="","",I255+L255-F255)</f>
        <v/>
      </c>
      <c r="R255" s="72">
        <f>IF($A255="","",IF(H255="",Q255,H255))</f>
        <v/>
      </c>
      <c r="S255" s="73">
        <f>IF($A255="","",R255-Q255)</f>
        <v/>
      </c>
      <c r="T255" s="70">
        <f>IF($A255="","",SUMIFS($B$5:$B$800,$A$5:$A$800,"&gt;="&amp;DATE(YEAR($A255),MONTH($A255),1),$A$5:$A$800,"&lt;="&amp;$A255)+IF(AND(YEAR($A255)=YEAR(Settings!$B$3),MONTH($A255)=MONTH(Settings!$B$3)),Settings!$B$6,0))</f>
        <v/>
      </c>
      <c r="U255" s="71">
        <f>IF($A255="","",SUMIFS($J$5:$J$800,$A$5:$A$800,"&gt;="&amp;DATE(YEAR($A255),MONTH($A255),1),$A$5:$A$800,"&lt;="&amp;$A255)+IF(AND(YEAR($A255)=YEAR(Settings!$B$3),MONTH($A255)=MONTH(Settings!$B$3)),Settings!$B$7,0))</f>
        <v/>
      </c>
      <c r="V255" s="70">
        <f>IF($A255="","",Settings!$B$8+SUM($B$5:B255))</f>
        <v/>
      </c>
      <c r="W255" s="71">
        <f>IF($A255="","",Settings!$B$9+SUM($J$5:J255))</f>
        <v/>
      </c>
      <c r="X255" s="71">
        <f>IF($A255="","",IF(AND(N255&gt;0,F255&gt;0),ROUND(F255/N255,0),X254))</f>
        <v/>
      </c>
      <c r="Y255" s="74">
        <f>IF($A255="","",IF(AND(M255&gt;0,L255&gt;0),ROUND(L255/M255,0),IF(AND(J255&gt;0,B255&gt;0),ROUND(B255/J255,0),Y254)))</f>
        <v/>
      </c>
    </row>
    <row r="256">
      <c r="A256" s="67" t="n"/>
      <c r="B256" s="68" t="n"/>
      <c r="C256" s="69" t="n"/>
      <c r="D256" s="68" t="n"/>
      <c r="E256" s="69" t="n"/>
      <c r="F256" s="68" t="n"/>
      <c r="G256" s="69" t="n"/>
      <c r="H256" s="68" t="n"/>
      <c r="I256" s="70">
        <f>IF($A256="","",R255)</f>
        <v/>
      </c>
      <c r="J256" s="71">
        <f>IF($A256="","",IF(C256="",0,C256))</f>
        <v/>
      </c>
      <c r="K256" s="71">
        <f>IF($A256="","",IF(E256="",0,E256))</f>
        <v/>
      </c>
      <c r="L256" s="70">
        <f>IF($A256="","",B256-D256)</f>
        <v/>
      </c>
      <c r="M256" s="71">
        <f>IF($A256="","",J256-K256)</f>
        <v/>
      </c>
      <c r="N256" s="71">
        <f>IF($A256="","",IF(G256="",0,G256))</f>
        <v/>
      </c>
      <c r="O256" s="70">
        <f>IF($A256="","",D256+F256)</f>
        <v/>
      </c>
      <c r="P256" s="71">
        <f>IF($A256="","",K256+N256)</f>
        <v/>
      </c>
      <c r="Q256" s="70">
        <f>IF($A256="","",I256+L256-F256)</f>
        <v/>
      </c>
      <c r="R256" s="72">
        <f>IF($A256="","",IF(H256="",Q256,H256))</f>
        <v/>
      </c>
      <c r="S256" s="73">
        <f>IF($A256="","",R256-Q256)</f>
        <v/>
      </c>
      <c r="T256" s="70">
        <f>IF($A256="","",SUMIFS($B$5:$B$800,$A$5:$A$800,"&gt;="&amp;DATE(YEAR($A256),MONTH($A256),1),$A$5:$A$800,"&lt;="&amp;$A256)+IF(AND(YEAR($A256)=YEAR(Settings!$B$3),MONTH($A256)=MONTH(Settings!$B$3)),Settings!$B$6,0))</f>
        <v/>
      </c>
      <c r="U256" s="71">
        <f>IF($A256="","",SUMIFS($J$5:$J$800,$A$5:$A$800,"&gt;="&amp;DATE(YEAR($A256),MONTH($A256),1),$A$5:$A$800,"&lt;="&amp;$A256)+IF(AND(YEAR($A256)=YEAR(Settings!$B$3),MONTH($A256)=MONTH(Settings!$B$3)),Settings!$B$7,0))</f>
        <v/>
      </c>
      <c r="V256" s="70">
        <f>IF($A256="","",Settings!$B$8+SUM($B$5:B256))</f>
        <v/>
      </c>
      <c r="W256" s="71">
        <f>IF($A256="","",Settings!$B$9+SUM($J$5:J256))</f>
        <v/>
      </c>
      <c r="X256" s="71">
        <f>IF($A256="","",IF(AND(N256&gt;0,F256&gt;0),ROUND(F256/N256,0),X255))</f>
        <v/>
      </c>
      <c r="Y256" s="74">
        <f>IF($A256="","",IF(AND(M256&gt;0,L256&gt;0),ROUND(L256/M256,0),IF(AND(J256&gt;0,B256&gt;0),ROUND(B256/J256,0),Y255)))</f>
        <v/>
      </c>
    </row>
    <row r="257">
      <c r="A257" s="67" t="n"/>
      <c r="B257" s="68" t="n"/>
      <c r="C257" s="69" t="n"/>
      <c r="D257" s="68" t="n"/>
      <c r="E257" s="69" t="n"/>
      <c r="F257" s="68" t="n"/>
      <c r="G257" s="69" t="n"/>
      <c r="H257" s="68" t="n"/>
      <c r="I257" s="70">
        <f>IF($A257="","",R256)</f>
        <v/>
      </c>
      <c r="J257" s="71">
        <f>IF($A257="","",IF(C257="",0,C257))</f>
        <v/>
      </c>
      <c r="K257" s="71">
        <f>IF($A257="","",IF(E257="",0,E257))</f>
        <v/>
      </c>
      <c r="L257" s="70">
        <f>IF($A257="","",B257-D257)</f>
        <v/>
      </c>
      <c r="M257" s="71">
        <f>IF($A257="","",J257-K257)</f>
        <v/>
      </c>
      <c r="N257" s="71">
        <f>IF($A257="","",IF(G257="",0,G257))</f>
        <v/>
      </c>
      <c r="O257" s="70">
        <f>IF($A257="","",D257+F257)</f>
        <v/>
      </c>
      <c r="P257" s="71">
        <f>IF($A257="","",K257+N257)</f>
        <v/>
      </c>
      <c r="Q257" s="70">
        <f>IF($A257="","",I257+L257-F257)</f>
        <v/>
      </c>
      <c r="R257" s="72">
        <f>IF($A257="","",IF(H257="",Q257,H257))</f>
        <v/>
      </c>
      <c r="S257" s="73">
        <f>IF($A257="","",R257-Q257)</f>
        <v/>
      </c>
      <c r="T257" s="70">
        <f>IF($A257="","",SUMIFS($B$5:$B$800,$A$5:$A$800,"&gt;="&amp;DATE(YEAR($A257),MONTH($A257),1),$A$5:$A$800,"&lt;="&amp;$A257)+IF(AND(YEAR($A257)=YEAR(Settings!$B$3),MONTH($A257)=MONTH(Settings!$B$3)),Settings!$B$6,0))</f>
        <v/>
      </c>
      <c r="U257" s="71">
        <f>IF($A257="","",SUMIFS($J$5:$J$800,$A$5:$A$800,"&gt;="&amp;DATE(YEAR($A257),MONTH($A257),1),$A$5:$A$800,"&lt;="&amp;$A257)+IF(AND(YEAR($A257)=YEAR(Settings!$B$3),MONTH($A257)=MONTH(Settings!$B$3)),Settings!$B$7,0))</f>
        <v/>
      </c>
      <c r="V257" s="70">
        <f>IF($A257="","",Settings!$B$8+SUM($B$5:B257))</f>
        <v/>
      </c>
      <c r="W257" s="71">
        <f>IF($A257="","",Settings!$B$9+SUM($J$5:J257))</f>
        <v/>
      </c>
      <c r="X257" s="71">
        <f>IF($A257="","",IF(AND(N257&gt;0,F257&gt;0),ROUND(F257/N257,0),X256))</f>
        <v/>
      </c>
      <c r="Y257" s="74">
        <f>IF($A257="","",IF(AND(M257&gt;0,L257&gt;0),ROUND(L257/M257,0),IF(AND(J257&gt;0,B257&gt;0),ROUND(B257/J257,0),Y256)))</f>
        <v/>
      </c>
    </row>
    <row r="258">
      <c r="A258" s="67" t="n"/>
      <c r="B258" s="68" t="n"/>
      <c r="C258" s="69" t="n"/>
      <c r="D258" s="68" t="n"/>
      <c r="E258" s="69" t="n"/>
      <c r="F258" s="68" t="n"/>
      <c r="G258" s="69" t="n"/>
      <c r="H258" s="68" t="n"/>
      <c r="I258" s="70">
        <f>IF($A258="","",R257)</f>
        <v/>
      </c>
      <c r="J258" s="71">
        <f>IF($A258="","",IF(C258="",0,C258))</f>
        <v/>
      </c>
      <c r="K258" s="71">
        <f>IF($A258="","",IF(E258="",0,E258))</f>
        <v/>
      </c>
      <c r="L258" s="70">
        <f>IF($A258="","",B258-D258)</f>
        <v/>
      </c>
      <c r="M258" s="71">
        <f>IF($A258="","",J258-K258)</f>
        <v/>
      </c>
      <c r="N258" s="71">
        <f>IF($A258="","",IF(G258="",0,G258))</f>
        <v/>
      </c>
      <c r="O258" s="70">
        <f>IF($A258="","",D258+F258)</f>
        <v/>
      </c>
      <c r="P258" s="71">
        <f>IF($A258="","",K258+N258)</f>
        <v/>
      </c>
      <c r="Q258" s="70">
        <f>IF($A258="","",I258+L258-F258)</f>
        <v/>
      </c>
      <c r="R258" s="72">
        <f>IF($A258="","",IF(H258="",Q258,H258))</f>
        <v/>
      </c>
      <c r="S258" s="73">
        <f>IF($A258="","",R258-Q258)</f>
        <v/>
      </c>
      <c r="T258" s="70">
        <f>IF($A258="","",SUMIFS($B$5:$B$800,$A$5:$A$800,"&gt;="&amp;DATE(YEAR($A258),MONTH($A258),1),$A$5:$A$800,"&lt;="&amp;$A258)+IF(AND(YEAR($A258)=YEAR(Settings!$B$3),MONTH($A258)=MONTH(Settings!$B$3)),Settings!$B$6,0))</f>
        <v/>
      </c>
      <c r="U258" s="71">
        <f>IF($A258="","",SUMIFS($J$5:$J$800,$A$5:$A$800,"&gt;="&amp;DATE(YEAR($A258),MONTH($A258),1),$A$5:$A$800,"&lt;="&amp;$A258)+IF(AND(YEAR($A258)=YEAR(Settings!$B$3),MONTH($A258)=MONTH(Settings!$B$3)),Settings!$B$7,0))</f>
        <v/>
      </c>
      <c r="V258" s="70">
        <f>IF($A258="","",Settings!$B$8+SUM($B$5:B258))</f>
        <v/>
      </c>
      <c r="W258" s="71">
        <f>IF($A258="","",Settings!$B$9+SUM($J$5:J258))</f>
        <v/>
      </c>
      <c r="X258" s="71">
        <f>IF($A258="","",IF(AND(N258&gt;0,F258&gt;0),ROUND(F258/N258,0),X257))</f>
        <v/>
      </c>
      <c r="Y258" s="74">
        <f>IF($A258="","",IF(AND(M258&gt;0,L258&gt;0),ROUND(L258/M258,0),IF(AND(J258&gt;0,B258&gt;0),ROUND(B258/J258,0),Y257)))</f>
        <v/>
      </c>
    </row>
    <row r="259">
      <c r="A259" s="67" t="n"/>
      <c r="B259" s="68" t="n"/>
      <c r="C259" s="69" t="n"/>
      <c r="D259" s="68" t="n"/>
      <c r="E259" s="69" t="n"/>
      <c r="F259" s="68" t="n"/>
      <c r="G259" s="69" t="n"/>
      <c r="H259" s="68" t="n"/>
      <c r="I259" s="70">
        <f>IF($A259="","",R258)</f>
        <v/>
      </c>
      <c r="J259" s="71">
        <f>IF($A259="","",IF(C259="",0,C259))</f>
        <v/>
      </c>
      <c r="K259" s="71">
        <f>IF($A259="","",IF(E259="",0,E259))</f>
        <v/>
      </c>
      <c r="L259" s="70">
        <f>IF($A259="","",B259-D259)</f>
        <v/>
      </c>
      <c r="M259" s="71">
        <f>IF($A259="","",J259-K259)</f>
        <v/>
      </c>
      <c r="N259" s="71">
        <f>IF($A259="","",IF(G259="",0,G259))</f>
        <v/>
      </c>
      <c r="O259" s="70">
        <f>IF($A259="","",D259+F259)</f>
        <v/>
      </c>
      <c r="P259" s="71">
        <f>IF($A259="","",K259+N259)</f>
        <v/>
      </c>
      <c r="Q259" s="70">
        <f>IF($A259="","",I259+L259-F259)</f>
        <v/>
      </c>
      <c r="R259" s="72">
        <f>IF($A259="","",IF(H259="",Q259,H259))</f>
        <v/>
      </c>
      <c r="S259" s="73">
        <f>IF($A259="","",R259-Q259)</f>
        <v/>
      </c>
      <c r="T259" s="70">
        <f>IF($A259="","",SUMIFS($B$5:$B$800,$A$5:$A$800,"&gt;="&amp;DATE(YEAR($A259),MONTH($A259),1),$A$5:$A$800,"&lt;="&amp;$A259)+IF(AND(YEAR($A259)=YEAR(Settings!$B$3),MONTH($A259)=MONTH(Settings!$B$3)),Settings!$B$6,0))</f>
        <v/>
      </c>
      <c r="U259" s="71">
        <f>IF($A259="","",SUMIFS($J$5:$J$800,$A$5:$A$800,"&gt;="&amp;DATE(YEAR($A259),MONTH($A259),1),$A$5:$A$800,"&lt;="&amp;$A259)+IF(AND(YEAR($A259)=YEAR(Settings!$B$3),MONTH($A259)=MONTH(Settings!$B$3)),Settings!$B$7,0))</f>
        <v/>
      </c>
      <c r="V259" s="70">
        <f>IF($A259="","",Settings!$B$8+SUM($B$5:B259))</f>
        <v/>
      </c>
      <c r="W259" s="71">
        <f>IF($A259="","",Settings!$B$9+SUM($J$5:J259))</f>
        <v/>
      </c>
      <c r="X259" s="71">
        <f>IF($A259="","",IF(AND(N259&gt;0,F259&gt;0),ROUND(F259/N259,0),X258))</f>
        <v/>
      </c>
      <c r="Y259" s="74">
        <f>IF($A259="","",IF(AND(M259&gt;0,L259&gt;0),ROUND(L259/M259,0),IF(AND(J259&gt;0,B259&gt;0),ROUND(B259/J259,0),Y258)))</f>
        <v/>
      </c>
    </row>
    <row r="260">
      <c r="A260" s="67" t="n"/>
      <c r="B260" s="68" t="n"/>
      <c r="C260" s="69" t="n"/>
      <c r="D260" s="68" t="n"/>
      <c r="E260" s="69" t="n"/>
      <c r="F260" s="68" t="n"/>
      <c r="G260" s="69" t="n"/>
      <c r="H260" s="68" t="n"/>
      <c r="I260" s="70">
        <f>IF($A260="","",R259)</f>
        <v/>
      </c>
      <c r="J260" s="71">
        <f>IF($A260="","",IF(C260="",0,C260))</f>
        <v/>
      </c>
      <c r="K260" s="71">
        <f>IF($A260="","",IF(E260="",0,E260))</f>
        <v/>
      </c>
      <c r="L260" s="70">
        <f>IF($A260="","",B260-D260)</f>
        <v/>
      </c>
      <c r="M260" s="71">
        <f>IF($A260="","",J260-K260)</f>
        <v/>
      </c>
      <c r="N260" s="71">
        <f>IF($A260="","",IF(G260="",0,G260))</f>
        <v/>
      </c>
      <c r="O260" s="70">
        <f>IF($A260="","",D260+F260)</f>
        <v/>
      </c>
      <c r="P260" s="71">
        <f>IF($A260="","",K260+N260)</f>
        <v/>
      </c>
      <c r="Q260" s="70">
        <f>IF($A260="","",I260+L260-F260)</f>
        <v/>
      </c>
      <c r="R260" s="72">
        <f>IF($A260="","",IF(H260="",Q260,H260))</f>
        <v/>
      </c>
      <c r="S260" s="73">
        <f>IF($A260="","",R260-Q260)</f>
        <v/>
      </c>
      <c r="T260" s="70">
        <f>IF($A260="","",SUMIFS($B$5:$B$800,$A$5:$A$800,"&gt;="&amp;DATE(YEAR($A260),MONTH($A260),1),$A$5:$A$800,"&lt;="&amp;$A260)+IF(AND(YEAR($A260)=YEAR(Settings!$B$3),MONTH($A260)=MONTH(Settings!$B$3)),Settings!$B$6,0))</f>
        <v/>
      </c>
      <c r="U260" s="71">
        <f>IF($A260="","",SUMIFS($J$5:$J$800,$A$5:$A$800,"&gt;="&amp;DATE(YEAR($A260),MONTH($A260),1),$A$5:$A$800,"&lt;="&amp;$A260)+IF(AND(YEAR($A260)=YEAR(Settings!$B$3),MONTH($A260)=MONTH(Settings!$B$3)),Settings!$B$7,0))</f>
        <v/>
      </c>
      <c r="V260" s="70">
        <f>IF($A260="","",Settings!$B$8+SUM($B$5:B260))</f>
        <v/>
      </c>
      <c r="W260" s="71">
        <f>IF($A260="","",Settings!$B$9+SUM($J$5:J260))</f>
        <v/>
      </c>
      <c r="X260" s="71">
        <f>IF($A260="","",IF(AND(N260&gt;0,F260&gt;0),ROUND(F260/N260,0),X259))</f>
        <v/>
      </c>
      <c r="Y260" s="74">
        <f>IF($A260="","",IF(AND(M260&gt;0,L260&gt;0),ROUND(L260/M260,0),IF(AND(J260&gt;0,B260&gt;0),ROUND(B260/J260,0),Y259)))</f>
        <v/>
      </c>
    </row>
    <row r="261">
      <c r="A261" s="67" t="n"/>
      <c r="B261" s="68" t="n"/>
      <c r="C261" s="69" t="n"/>
      <c r="D261" s="68" t="n"/>
      <c r="E261" s="69" t="n"/>
      <c r="F261" s="68" t="n"/>
      <c r="G261" s="69" t="n"/>
      <c r="H261" s="68" t="n"/>
      <c r="I261" s="70">
        <f>IF($A261="","",R260)</f>
        <v/>
      </c>
      <c r="J261" s="71">
        <f>IF($A261="","",IF(C261="",0,C261))</f>
        <v/>
      </c>
      <c r="K261" s="71">
        <f>IF($A261="","",IF(E261="",0,E261))</f>
        <v/>
      </c>
      <c r="L261" s="70">
        <f>IF($A261="","",B261-D261)</f>
        <v/>
      </c>
      <c r="M261" s="71">
        <f>IF($A261="","",J261-K261)</f>
        <v/>
      </c>
      <c r="N261" s="71">
        <f>IF($A261="","",IF(G261="",0,G261))</f>
        <v/>
      </c>
      <c r="O261" s="70">
        <f>IF($A261="","",D261+F261)</f>
        <v/>
      </c>
      <c r="P261" s="71">
        <f>IF($A261="","",K261+N261)</f>
        <v/>
      </c>
      <c r="Q261" s="70">
        <f>IF($A261="","",I261+L261-F261)</f>
        <v/>
      </c>
      <c r="R261" s="72">
        <f>IF($A261="","",IF(H261="",Q261,H261))</f>
        <v/>
      </c>
      <c r="S261" s="73">
        <f>IF($A261="","",R261-Q261)</f>
        <v/>
      </c>
      <c r="T261" s="70">
        <f>IF($A261="","",SUMIFS($B$5:$B$800,$A$5:$A$800,"&gt;="&amp;DATE(YEAR($A261),MONTH($A261),1),$A$5:$A$800,"&lt;="&amp;$A261)+IF(AND(YEAR($A261)=YEAR(Settings!$B$3),MONTH($A261)=MONTH(Settings!$B$3)),Settings!$B$6,0))</f>
        <v/>
      </c>
      <c r="U261" s="71">
        <f>IF($A261="","",SUMIFS($J$5:$J$800,$A$5:$A$800,"&gt;="&amp;DATE(YEAR($A261),MONTH($A261),1),$A$5:$A$800,"&lt;="&amp;$A261)+IF(AND(YEAR($A261)=YEAR(Settings!$B$3),MONTH($A261)=MONTH(Settings!$B$3)),Settings!$B$7,0))</f>
        <v/>
      </c>
      <c r="V261" s="70">
        <f>IF($A261="","",Settings!$B$8+SUM($B$5:B261))</f>
        <v/>
      </c>
      <c r="W261" s="71">
        <f>IF($A261="","",Settings!$B$9+SUM($J$5:J261))</f>
        <v/>
      </c>
      <c r="X261" s="71">
        <f>IF($A261="","",IF(AND(N261&gt;0,F261&gt;0),ROUND(F261/N261,0),X260))</f>
        <v/>
      </c>
      <c r="Y261" s="74">
        <f>IF($A261="","",IF(AND(M261&gt;0,L261&gt;0),ROUND(L261/M261,0),IF(AND(J261&gt;0,B261&gt;0),ROUND(B261/J261,0),Y260)))</f>
        <v/>
      </c>
    </row>
    <row r="262">
      <c r="A262" s="67" t="n"/>
      <c r="B262" s="68" t="n"/>
      <c r="C262" s="69" t="n"/>
      <c r="D262" s="68" t="n"/>
      <c r="E262" s="69" t="n"/>
      <c r="F262" s="68" t="n"/>
      <c r="G262" s="69" t="n"/>
      <c r="H262" s="68" t="n"/>
      <c r="I262" s="70">
        <f>IF($A262="","",R261)</f>
        <v/>
      </c>
      <c r="J262" s="71">
        <f>IF($A262="","",IF(C262="",0,C262))</f>
        <v/>
      </c>
      <c r="K262" s="71">
        <f>IF($A262="","",IF(E262="",0,E262))</f>
        <v/>
      </c>
      <c r="L262" s="70">
        <f>IF($A262="","",B262-D262)</f>
        <v/>
      </c>
      <c r="M262" s="71">
        <f>IF($A262="","",J262-K262)</f>
        <v/>
      </c>
      <c r="N262" s="71">
        <f>IF($A262="","",IF(G262="",0,G262))</f>
        <v/>
      </c>
      <c r="O262" s="70">
        <f>IF($A262="","",D262+F262)</f>
        <v/>
      </c>
      <c r="P262" s="71">
        <f>IF($A262="","",K262+N262)</f>
        <v/>
      </c>
      <c r="Q262" s="70">
        <f>IF($A262="","",I262+L262-F262)</f>
        <v/>
      </c>
      <c r="R262" s="72">
        <f>IF($A262="","",IF(H262="",Q262,H262))</f>
        <v/>
      </c>
      <c r="S262" s="73">
        <f>IF($A262="","",R262-Q262)</f>
        <v/>
      </c>
      <c r="T262" s="70">
        <f>IF($A262="","",SUMIFS($B$5:$B$800,$A$5:$A$800,"&gt;="&amp;DATE(YEAR($A262),MONTH($A262),1),$A$5:$A$800,"&lt;="&amp;$A262)+IF(AND(YEAR($A262)=YEAR(Settings!$B$3),MONTH($A262)=MONTH(Settings!$B$3)),Settings!$B$6,0))</f>
        <v/>
      </c>
      <c r="U262" s="71">
        <f>IF($A262="","",SUMIFS($J$5:$J$800,$A$5:$A$800,"&gt;="&amp;DATE(YEAR($A262),MONTH($A262),1),$A$5:$A$800,"&lt;="&amp;$A262)+IF(AND(YEAR($A262)=YEAR(Settings!$B$3),MONTH($A262)=MONTH(Settings!$B$3)),Settings!$B$7,0))</f>
        <v/>
      </c>
      <c r="V262" s="70">
        <f>IF($A262="","",Settings!$B$8+SUM($B$5:B262))</f>
        <v/>
      </c>
      <c r="W262" s="71">
        <f>IF($A262="","",Settings!$B$9+SUM($J$5:J262))</f>
        <v/>
      </c>
      <c r="X262" s="71">
        <f>IF($A262="","",IF(AND(N262&gt;0,F262&gt;0),ROUND(F262/N262,0),X261))</f>
        <v/>
      </c>
      <c r="Y262" s="74">
        <f>IF($A262="","",IF(AND(M262&gt;0,L262&gt;0),ROUND(L262/M262,0),IF(AND(J262&gt;0,B262&gt;0),ROUND(B262/J262,0),Y261)))</f>
        <v/>
      </c>
    </row>
    <row r="263">
      <c r="A263" s="67" t="n"/>
      <c r="B263" s="68" t="n"/>
      <c r="C263" s="69" t="n"/>
      <c r="D263" s="68" t="n"/>
      <c r="E263" s="69" t="n"/>
      <c r="F263" s="68" t="n"/>
      <c r="G263" s="69" t="n"/>
      <c r="H263" s="68" t="n"/>
      <c r="I263" s="70">
        <f>IF($A263="","",R262)</f>
        <v/>
      </c>
      <c r="J263" s="71">
        <f>IF($A263="","",IF(C263="",0,C263))</f>
        <v/>
      </c>
      <c r="K263" s="71">
        <f>IF($A263="","",IF(E263="",0,E263))</f>
        <v/>
      </c>
      <c r="L263" s="70">
        <f>IF($A263="","",B263-D263)</f>
        <v/>
      </c>
      <c r="M263" s="71">
        <f>IF($A263="","",J263-K263)</f>
        <v/>
      </c>
      <c r="N263" s="71">
        <f>IF($A263="","",IF(G263="",0,G263))</f>
        <v/>
      </c>
      <c r="O263" s="70">
        <f>IF($A263="","",D263+F263)</f>
        <v/>
      </c>
      <c r="P263" s="71">
        <f>IF($A263="","",K263+N263)</f>
        <v/>
      </c>
      <c r="Q263" s="70">
        <f>IF($A263="","",I263+L263-F263)</f>
        <v/>
      </c>
      <c r="R263" s="72">
        <f>IF($A263="","",IF(H263="",Q263,H263))</f>
        <v/>
      </c>
      <c r="S263" s="73">
        <f>IF($A263="","",R263-Q263)</f>
        <v/>
      </c>
      <c r="T263" s="70">
        <f>IF($A263="","",SUMIFS($B$5:$B$800,$A$5:$A$800,"&gt;="&amp;DATE(YEAR($A263),MONTH($A263),1),$A$5:$A$800,"&lt;="&amp;$A263)+IF(AND(YEAR($A263)=YEAR(Settings!$B$3),MONTH($A263)=MONTH(Settings!$B$3)),Settings!$B$6,0))</f>
        <v/>
      </c>
      <c r="U263" s="71">
        <f>IF($A263="","",SUMIFS($J$5:$J$800,$A$5:$A$800,"&gt;="&amp;DATE(YEAR($A263),MONTH($A263),1),$A$5:$A$800,"&lt;="&amp;$A263)+IF(AND(YEAR($A263)=YEAR(Settings!$B$3),MONTH($A263)=MONTH(Settings!$B$3)),Settings!$B$7,0))</f>
        <v/>
      </c>
      <c r="V263" s="70">
        <f>IF($A263="","",Settings!$B$8+SUM($B$5:B263))</f>
        <v/>
      </c>
      <c r="W263" s="71">
        <f>IF($A263="","",Settings!$B$9+SUM($J$5:J263))</f>
        <v/>
      </c>
      <c r="X263" s="71">
        <f>IF($A263="","",IF(AND(N263&gt;0,F263&gt;0),ROUND(F263/N263,0),X262))</f>
        <v/>
      </c>
      <c r="Y263" s="74">
        <f>IF($A263="","",IF(AND(M263&gt;0,L263&gt;0),ROUND(L263/M263,0),IF(AND(J263&gt;0,B263&gt;0),ROUND(B263/J263,0),Y262)))</f>
        <v/>
      </c>
    </row>
    <row r="264">
      <c r="A264" s="67" t="n"/>
      <c r="B264" s="68" t="n"/>
      <c r="C264" s="69" t="n"/>
      <c r="D264" s="68" t="n"/>
      <c r="E264" s="69" t="n"/>
      <c r="F264" s="68" t="n"/>
      <c r="G264" s="69" t="n"/>
      <c r="H264" s="68" t="n"/>
      <c r="I264" s="70">
        <f>IF($A264="","",R263)</f>
        <v/>
      </c>
      <c r="J264" s="71">
        <f>IF($A264="","",IF(C264="",0,C264))</f>
        <v/>
      </c>
      <c r="K264" s="71">
        <f>IF($A264="","",IF(E264="",0,E264))</f>
        <v/>
      </c>
      <c r="L264" s="70">
        <f>IF($A264="","",B264-D264)</f>
        <v/>
      </c>
      <c r="M264" s="71">
        <f>IF($A264="","",J264-K264)</f>
        <v/>
      </c>
      <c r="N264" s="71">
        <f>IF($A264="","",IF(G264="",0,G264))</f>
        <v/>
      </c>
      <c r="O264" s="70">
        <f>IF($A264="","",D264+F264)</f>
        <v/>
      </c>
      <c r="P264" s="71">
        <f>IF($A264="","",K264+N264)</f>
        <v/>
      </c>
      <c r="Q264" s="70">
        <f>IF($A264="","",I264+L264-F264)</f>
        <v/>
      </c>
      <c r="R264" s="72">
        <f>IF($A264="","",IF(H264="",Q264,H264))</f>
        <v/>
      </c>
      <c r="S264" s="73">
        <f>IF($A264="","",R264-Q264)</f>
        <v/>
      </c>
      <c r="T264" s="70">
        <f>IF($A264="","",SUMIFS($B$5:$B$800,$A$5:$A$800,"&gt;="&amp;DATE(YEAR($A264),MONTH($A264),1),$A$5:$A$800,"&lt;="&amp;$A264)+IF(AND(YEAR($A264)=YEAR(Settings!$B$3),MONTH($A264)=MONTH(Settings!$B$3)),Settings!$B$6,0))</f>
        <v/>
      </c>
      <c r="U264" s="71">
        <f>IF($A264="","",SUMIFS($J$5:$J$800,$A$5:$A$800,"&gt;="&amp;DATE(YEAR($A264),MONTH($A264),1),$A$5:$A$800,"&lt;="&amp;$A264)+IF(AND(YEAR($A264)=YEAR(Settings!$B$3),MONTH($A264)=MONTH(Settings!$B$3)),Settings!$B$7,0))</f>
        <v/>
      </c>
      <c r="V264" s="70">
        <f>IF($A264="","",Settings!$B$8+SUM($B$5:B264))</f>
        <v/>
      </c>
      <c r="W264" s="71">
        <f>IF($A264="","",Settings!$B$9+SUM($J$5:J264))</f>
        <v/>
      </c>
      <c r="X264" s="71">
        <f>IF($A264="","",IF(AND(N264&gt;0,F264&gt;0),ROUND(F264/N264,0),X263))</f>
        <v/>
      </c>
      <c r="Y264" s="74">
        <f>IF($A264="","",IF(AND(M264&gt;0,L264&gt;0),ROUND(L264/M264,0),IF(AND(J264&gt;0,B264&gt;0),ROUND(B264/J264,0),Y263)))</f>
        <v/>
      </c>
    </row>
    <row r="265">
      <c r="A265" s="67" t="n"/>
      <c r="B265" s="68" t="n"/>
      <c r="C265" s="69" t="n"/>
      <c r="D265" s="68" t="n"/>
      <c r="E265" s="69" t="n"/>
      <c r="F265" s="68" t="n"/>
      <c r="G265" s="69" t="n"/>
      <c r="H265" s="68" t="n"/>
      <c r="I265" s="70">
        <f>IF($A265="","",R264)</f>
        <v/>
      </c>
      <c r="J265" s="71">
        <f>IF($A265="","",IF(C265="",0,C265))</f>
        <v/>
      </c>
      <c r="K265" s="71">
        <f>IF($A265="","",IF(E265="",0,E265))</f>
        <v/>
      </c>
      <c r="L265" s="70">
        <f>IF($A265="","",B265-D265)</f>
        <v/>
      </c>
      <c r="M265" s="71">
        <f>IF($A265="","",J265-K265)</f>
        <v/>
      </c>
      <c r="N265" s="71">
        <f>IF($A265="","",IF(G265="",0,G265))</f>
        <v/>
      </c>
      <c r="O265" s="70">
        <f>IF($A265="","",D265+F265)</f>
        <v/>
      </c>
      <c r="P265" s="71">
        <f>IF($A265="","",K265+N265)</f>
        <v/>
      </c>
      <c r="Q265" s="70">
        <f>IF($A265="","",I265+L265-F265)</f>
        <v/>
      </c>
      <c r="R265" s="72">
        <f>IF($A265="","",IF(H265="",Q265,H265))</f>
        <v/>
      </c>
      <c r="S265" s="73">
        <f>IF($A265="","",R265-Q265)</f>
        <v/>
      </c>
      <c r="T265" s="70">
        <f>IF($A265="","",SUMIFS($B$5:$B$800,$A$5:$A$800,"&gt;="&amp;DATE(YEAR($A265),MONTH($A265),1),$A$5:$A$800,"&lt;="&amp;$A265)+IF(AND(YEAR($A265)=YEAR(Settings!$B$3),MONTH($A265)=MONTH(Settings!$B$3)),Settings!$B$6,0))</f>
        <v/>
      </c>
      <c r="U265" s="71">
        <f>IF($A265="","",SUMIFS($J$5:$J$800,$A$5:$A$800,"&gt;="&amp;DATE(YEAR($A265),MONTH($A265),1),$A$5:$A$800,"&lt;="&amp;$A265)+IF(AND(YEAR($A265)=YEAR(Settings!$B$3),MONTH($A265)=MONTH(Settings!$B$3)),Settings!$B$7,0))</f>
        <v/>
      </c>
      <c r="V265" s="70">
        <f>IF($A265="","",Settings!$B$8+SUM($B$5:B265))</f>
        <v/>
      </c>
      <c r="W265" s="71">
        <f>IF($A265="","",Settings!$B$9+SUM($J$5:J265))</f>
        <v/>
      </c>
      <c r="X265" s="71">
        <f>IF($A265="","",IF(AND(N265&gt;0,F265&gt;0),ROUND(F265/N265,0),X264))</f>
        <v/>
      </c>
      <c r="Y265" s="74">
        <f>IF($A265="","",IF(AND(M265&gt;0,L265&gt;0),ROUND(L265/M265,0),IF(AND(J265&gt;0,B265&gt;0),ROUND(B265/J265,0),Y264)))</f>
        <v/>
      </c>
    </row>
    <row r="266">
      <c r="A266" s="67" t="n"/>
      <c r="B266" s="68" t="n"/>
      <c r="C266" s="69" t="n"/>
      <c r="D266" s="68" t="n"/>
      <c r="E266" s="69" t="n"/>
      <c r="F266" s="68" t="n"/>
      <c r="G266" s="69" t="n"/>
      <c r="H266" s="68" t="n"/>
      <c r="I266" s="70">
        <f>IF($A266="","",R265)</f>
        <v/>
      </c>
      <c r="J266" s="71">
        <f>IF($A266="","",IF(C266="",0,C266))</f>
        <v/>
      </c>
      <c r="K266" s="71">
        <f>IF($A266="","",IF(E266="",0,E266))</f>
        <v/>
      </c>
      <c r="L266" s="70">
        <f>IF($A266="","",B266-D266)</f>
        <v/>
      </c>
      <c r="M266" s="71">
        <f>IF($A266="","",J266-K266)</f>
        <v/>
      </c>
      <c r="N266" s="71">
        <f>IF($A266="","",IF(G266="",0,G266))</f>
        <v/>
      </c>
      <c r="O266" s="70">
        <f>IF($A266="","",D266+F266)</f>
        <v/>
      </c>
      <c r="P266" s="71">
        <f>IF($A266="","",K266+N266)</f>
        <v/>
      </c>
      <c r="Q266" s="70">
        <f>IF($A266="","",I266+L266-F266)</f>
        <v/>
      </c>
      <c r="R266" s="72">
        <f>IF($A266="","",IF(H266="",Q266,H266))</f>
        <v/>
      </c>
      <c r="S266" s="73">
        <f>IF($A266="","",R266-Q266)</f>
        <v/>
      </c>
      <c r="T266" s="70">
        <f>IF($A266="","",SUMIFS($B$5:$B$800,$A$5:$A$800,"&gt;="&amp;DATE(YEAR($A266),MONTH($A266),1),$A$5:$A$800,"&lt;="&amp;$A266)+IF(AND(YEAR($A266)=YEAR(Settings!$B$3),MONTH($A266)=MONTH(Settings!$B$3)),Settings!$B$6,0))</f>
        <v/>
      </c>
      <c r="U266" s="71">
        <f>IF($A266="","",SUMIFS($J$5:$J$800,$A$5:$A$800,"&gt;="&amp;DATE(YEAR($A266),MONTH($A266),1),$A$5:$A$800,"&lt;="&amp;$A266)+IF(AND(YEAR($A266)=YEAR(Settings!$B$3),MONTH($A266)=MONTH(Settings!$B$3)),Settings!$B$7,0))</f>
        <v/>
      </c>
      <c r="V266" s="70">
        <f>IF($A266="","",Settings!$B$8+SUM($B$5:B266))</f>
        <v/>
      </c>
      <c r="W266" s="71">
        <f>IF($A266="","",Settings!$B$9+SUM($J$5:J266))</f>
        <v/>
      </c>
      <c r="X266" s="71">
        <f>IF($A266="","",IF(AND(N266&gt;0,F266&gt;0),ROUND(F266/N266,0),X265))</f>
        <v/>
      </c>
      <c r="Y266" s="74">
        <f>IF($A266="","",IF(AND(M266&gt;0,L266&gt;0),ROUND(L266/M266,0),IF(AND(J266&gt;0,B266&gt;0),ROUND(B266/J266,0),Y265)))</f>
        <v/>
      </c>
    </row>
    <row r="267">
      <c r="A267" s="67" t="n"/>
      <c r="B267" s="68" t="n"/>
      <c r="C267" s="69" t="n"/>
      <c r="D267" s="68" t="n"/>
      <c r="E267" s="69" t="n"/>
      <c r="F267" s="68" t="n"/>
      <c r="G267" s="69" t="n"/>
      <c r="H267" s="68" t="n"/>
      <c r="I267" s="70">
        <f>IF($A267="","",R266)</f>
        <v/>
      </c>
      <c r="J267" s="71">
        <f>IF($A267="","",IF(C267="",0,C267))</f>
        <v/>
      </c>
      <c r="K267" s="71">
        <f>IF($A267="","",IF(E267="",0,E267))</f>
        <v/>
      </c>
      <c r="L267" s="70">
        <f>IF($A267="","",B267-D267)</f>
        <v/>
      </c>
      <c r="M267" s="71">
        <f>IF($A267="","",J267-K267)</f>
        <v/>
      </c>
      <c r="N267" s="71">
        <f>IF($A267="","",IF(G267="",0,G267))</f>
        <v/>
      </c>
      <c r="O267" s="70">
        <f>IF($A267="","",D267+F267)</f>
        <v/>
      </c>
      <c r="P267" s="71">
        <f>IF($A267="","",K267+N267)</f>
        <v/>
      </c>
      <c r="Q267" s="70">
        <f>IF($A267="","",I267+L267-F267)</f>
        <v/>
      </c>
      <c r="R267" s="72">
        <f>IF($A267="","",IF(H267="",Q267,H267))</f>
        <v/>
      </c>
      <c r="S267" s="73">
        <f>IF($A267="","",R267-Q267)</f>
        <v/>
      </c>
      <c r="T267" s="70">
        <f>IF($A267="","",SUMIFS($B$5:$B$800,$A$5:$A$800,"&gt;="&amp;DATE(YEAR($A267),MONTH($A267),1),$A$5:$A$800,"&lt;="&amp;$A267)+IF(AND(YEAR($A267)=YEAR(Settings!$B$3),MONTH($A267)=MONTH(Settings!$B$3)),Settings!$B$6,0))</f>
        <v/>
      </c>
      <c r="U267" s="71">
        <f>IF($A267="","",SUMIFS($J$5:$J$800,$A$5:$A$800,"&gt;="&amp;DATE(YEAR($A267),MONTH($A267),1),$A$5:$A$800,"&lt;="&amp;$A267)+IF(AND(YEAR($A267)=YEAR(Settings!$B$3),MONTH($A267)=MONTH(Settings!$B$3)),Settings!$B$7,0))</f>
        <v/>
      </c>
      <c r="V267" s="70">
        <f>IF($A267="","",Settings!$B$8+SUM($B$5:B267))</f>
        <v/>
      </c>
      <c r="W267" s="71">
        <f>IF($A267="","",Settings!$B$9+SUM($J$5:J267))</f>
        <v/>
      </c>
      <c r="X267" s="71">
        <f>IF($A267="","",IF(AND(N267&gt;0,F267&gt;0),ROUND(F267/N267,0),X266))</f>
        <v/>
      </c>
      <c r="Y267" s="74">
        <f>IF($A267="","",IF(AND(M267&gt;0,L267&gt;0),ROUND(L267/M267,0),IF(AND(J267&gt;0,B267&gt;0),ROUND(B267/J267,0),Y266)))</f>
        <v/>
      </c>
    </row>
    <row r="268">
      <c r="A268" s="67" t="n"/>
      <c r="B268" s="68" t="n"/>
      <c r="C268" s="69" t="n"/>
      <c r="D268" s="68" t="n"/>
      <c r="E268" s="69" t="n"/>
      <c r="F268" s="68" t="n"/>
      <c r="G268" s="69" t="n"/>
      <c r="H268" s="68" t="n"/>
      <c r="I268" s="70">
        <f>IF($A268="","",R267)</f>
        <v/>
      </c>
      <c r="J268" s="71">
        <f>IF($A268="","",IF(C268="",0,C268))</f>
        <v/>
      </c>
      <c r="K268" s="71">
        <f>IF($A268="","",IF(E268="",0,E268))</f>
        <v/>
      </c>
      <c r="L268" s="70">
        <f>IF($A268="","",B268-D268)</f>
        <v/>
      </c>
      <c r="M268" s="71">
        <f>IF($A268="","",J268-K268)</f>
        <v/>
      </c>
      <c r="N268" s="71">
        <f>IF($A268="","",IF(G268="",0,G268))</f>
        <v/>
      </c>
      <c r="O268" s="70">
        <f>IF($A268="","",D268+F268)</f>
        <v/>
      </c>
      <c r="P268" s="71">
        <f>IF($A268="","",K268+N268)</f>
        <v/>
      </c>
      <c r="Q268" s="70">
        <f>IF($A268="","",I268+L268-F268)</f>
        <v/>
      </c>
      <c r="R268" s="72">
        <f>IF($A268="","",IF(H268="",Q268,H268))</f>
        <v/>
      </c>
      <c r="S268" s="73">
        <f>IF($A268="","",R268-Q268)</f>
        <v/>
      </c>
      <c r="T268" s="70">
        <f>IF($A268="","",SUMIFS($B$5:$B$800,$A$5:$A$800,"&gt;="&amp;DATE(YEAR($A268),MONTH($A268),1),$A$5:$A$800,"&lt;="&amp;$A268)+IF(AND(YEAR($A268)=YEAR(Settings!$B$3),MONTH($A268)=MONTH(Settings!$B$3)),Settings!$B$6,0))</f>
        <v/>
      </c>
      <c r="U268" s="71">
        <f>IF($A268="","",SUMIFS($J$5:$J$800,$A$5:$A$800,"&gt;="&amp;DATE(YEAR($A268),MONTH($A268),1),$A$5:$A$800,"&lt;="&amp;$A268)+IF(AND(YEAR($A268)=YEAR(Settings!$B$3),MONTH($A268)=MONTH(Settings!$B$3)),Settings!$B$7,0))</f>
        <v/>
      </c>
      <c r="V268" s="70">
        <f>IF($A268="","",Settings!$B$8+SUM($B$5:B268))</f>
        <v/>
      </c>
      <c r="W268" s="71">
        <f>IF($A268="","",Settings!$B$9+SUM($J$5:J268))</f>
        <v/>
      </c>
      <c r="X268" s="71">
        <f>IF($A268="","",IF(AND(N268&gt;0,F268&gt;0),ROUND(F268/N268,0),X267))</f>
        <v/>
      </c>
      <c r="Y268" s="74">
        <f>IF($A268="","",IF(AND(M268&gt;0,L268&gt;0),ROUND(L268/M268,0),IF(AND(J268&gt;0,B268&gt;0),ROUND(B268/J268,0),Y267)))</f>
        <v/>
      </c>
    </row>
    <row r="269">
      <c r="A269" s="67" t="n"/>
      <c r="B269" s="68" t="n"/>
      <c r="C269" s="69" t="n"/>
      <c r="D269" s="68" t="n"/>
      <c r="E269" s="69" t="n"/>
      <c r="F269" s="68" t="n"/>
      <c r="G269" s="69" t="n"/>
      <c r="H269" s="68" t="n"/>
      <c r="I269" s="70">
        <f>IF($A269="","",R268)</f>
        <v/>
      </c>
      <c r="J269" s="71">
        <f>IF($A269="","",IF(C269="",0,C269))</f>
        <v/>
      </c>
      <c r="K269" s="71">
        <f>IF($A269="","",IF(E269="",0,E269))</f>
        <v/>
      </c>
      <c r="L269" s="70">
        <f>IF($A269="","",B269-D269)</f>
        <v/>
      </c>
      <c r="M269" s="71">
        <f>IF($A269="","",J269-K269)</f>
        <v/>
      </c>
      <c r="N269" s="71">
        <f>IF($A269="","",IF(G269="",0,G269))</f>
        <v/>
      </c>
      <c r="O269" s="70">
        <f>IF($A269="","",D269+F269)</f>
        <v/>
      </c>
      <c r="P269" s="71">
        <f>IF($A269="","",K269+N269)</f>
        <v/>
      </c>
      <c r="Q269" s="70">
        <f>IF($A269="","",I269+L269-F269)</f>
        <v/>
      </c>
      <c r="R269" s="72">
        <f>IF($A269="","",IF(H269="",Q269,H269))</f>
        <v/>
      </c>
      <c r="S269" s="73">
        <f>IF($A269="","",R269-Q269)</f>
        <v/>
      </c>
      <c r="T269" s="70">
        <f>IF($A269="","",SUMIFS($B$5:$B$800,$A$5:$A$800,"&gt;="&amp;DATE(YEAR($A269),MONTH($A269),1),$A$5:$A$800,"&lt;="&amp;$A269)+IF(AND(YEAR($A269)=YEAR(Settings!$B$3),MONTH($A269)=MONTH(Settings!$B$3)),Settings!$B$6,0))</f>
        <v/>
      </c>
      <c r="U269" s="71">
        <f>IF($A269="","",SUMIFS($J$5:$J$800,$A$5:$A$800,"&gt;="&amp;DATE(YEAR($A269),MONTH($A269),1),$A$5:$A$800,"&lt;="&amp;$A269)+IF(AND(YEAR($A269)=YEAR(Settings!$B$3),MONTH($A269)=MONTH(Settings!$B$3)),Settings!$B$7,0))</f>
        <v/>
      </c>
      <c r="V269" s="70">
        <f>IF($A269="","",Settings!$B$8+SUM($B$5:B269))</f>
        <v/>
      </c>
      <c r="W269" s="71">
        <f>IF($A269="","",Settings!$B$9+SUM($J$5:J269))</f>
        <v/>
      </c>
      <c r="X269" s="71">
        <f>IF($A269="","",IF(AND(N269&gt;0,F269&gt;0),ROUND(F269/N269,0),X268))</f>
        <v/>
      </c>
      <c r="Y269" s="74">
        <f>IF($A269="","",IF(AND(M269&gt;0,L269&gt;0),ROUND(L269/M269,0),IF(AND(J269&gt;0,B269&gt;0),ROUND(B269/J269,0),Y268)))</f>
        <v/>
      </c>
    </row>
    <row r="270">
      <c r="A270" s="67" t="n"/>
      <c r="B270" s="68" t="n"/>
      <c r="C270" s="69" t="n"/>
      <c r="D270" s="68" t="n"/>
      <c r="E270" s="69" t="n"/>
      <c r="F270" s="68" t="n"/>
      <c r="G270" s="69" t="n"/>
      <c r="H270" s="68" t="n"/>
      <c r="I270" s="70">
        <f>IF($A270="","",R269)</f>
        <v/>
      </c>
      <c r="J270" s="71">
        <f>IF($A270="","",IF(C270="",0,C270))</f>
        <v/>
      </c>
      <c r="K270" s="71">
        <f>IF($A270="","",IF(E270="",0,E270))</f>
        <v/>
      </c>
      <c r="L270" s="70">
        <f>IF($A270="","",B270-D270)</f>
        <v/>
      </c>
      <c r="M270" s="71">
        <f>IF($A270="","",J270-K270)</f>
        <v/>
      </c>
      <c r="N270" s="71">
        <f>IF($A270="","",IF(G270="",0,G270))</f>
        <v/>
      </c>
      <c r="O270" s="70">
        <f>IF($A270="","",D270+F270)</f>
        <v/>
      </c>
      <c r="P270" s="71">
        <f>IF($A270="","",K270+N270)</f>
        <v/>
      </c>
      <c r="Q270" s="70">
        <f>IF($A270="","",I270+L270-F270)</f>
        <v/>
      </c>
      <c r="R270" s="72">
        <f>IF($A270="","",IF(H270="",Q270,H270))</f>
        <v/>
      </c>
      <c r="S270" s="73">
        <f>IF($A270="","",R270-Q270)</f>
        <v/>
      </c>
      <c r="T270" s="70">
        <f>IF($A270="","",SUMIFS($B$5:$B$800,$A$5:$A$800,"&gt;="&amp;DATE(YEAR($A270),MONTH($A270),1),$A$5:$A$800,"&lt;="&amp;$A270)+IF(AND(YEAR($A270)=YEAR(Settings!$B$3),MONTH($A270)=MONTH(Settings!$B$3)),Settings!$B$6,0))</f>
        <v/>
      </c>
      <c r="U270" s="71">
        <f>IF($A270="","",SUMIFS($J$5:$J$800,$A$5:$A$800,"&gt;="&amp;DATE(YEAR($A270),MONTH($A270),1),$A$5:$A$800,"&lt;="&amp;$A270)+IF(AND(YEAR($A270)=YEAR(Settings!$B$3),MONTH($A270)=MONTH(Settings!$B$3)),Settings!$B$7,0))</f>
        <v/>
      </c>
      <c r="V270" s="70">
        <f>IF($A270="","",Settings!$B$8+SUM($B$5:B270))</f>
        <v/>
      </c>
      <c r="W270" s="71">
        <f>IF($A270="","",Settings!$B$9+SUM($J$5:J270))</f>
        <v/>
      </c>
      <c r="X270" s="71">
        <f>IF($A270="","",IF(AND(N270&gt;0,F270&gt;0),ROUND(F270/N270,0),X269))</f>
        <v/>
      </c>
      <c r="Y270" s="74">
        <f>IF($A270="","",IF(AND(M270&gt;0,L270&gt;0),ROUND(L270/M270,0),IF(AND(J270&gt;0,B270&gt;0),ROUND(B270/J270,0),Y269)))</f>
        <v/>
      </c>
    </row>
    <row r="271">
      <c r="A271" s="67" t="n"/>
      <c r="B271" s="68" t="n"/>
      <c r="C271" s="69" t="n"/>
      <c r="D271" s="68" t="n"/>
      <c r="E271" s="69" t="n"/>
      <c r="F271" s="68" t="n"/>
      <c r="G271" s="69" t="n"/>
      <c r="H271" s="68" t="n"/>
      <c r="I271" s="70">
        <f>IF($A271="","",R270)</f>
        <v/>
      </c>
      <c r="J271" s="71">
        <f>IF($A271="","",IF(C271="",0,C271))</f>
        <v/>
      </c>
      <c r="K271" s="71">
        <f>IF($A271="","",IF(E271="",0,E271))</f>
        <v/>
      </c>
      <c r="L271" s="70">
        <f>IF($A271="","",B271-D271)</f>
        <v/>
      </c>
      <c r="M271" s="71">
        <f>IF($A271="","",J271-K271)</f>
        <v/>
      </c>
      <c r="N271" s="71">
        <f>IF($A271="","",IF(G271="",0,G271))</f>
        <v/>
      </c>
      <c r="O271" s="70">
        <f>IF($A271="","",D271+F271)</f>
        <v/>
      </c>
      <c r="P271" s="71">
        <f>IF($A271="","",K271+N271)</f>
        <v/>
      </c>
      <c r="Q271" s="70">
        <f>IF($A271="","",I271+L271-F271)</f>
        <v/>
      </c>
      <c r="R271" s="72">
        <f>IF($A271="","",IF(H271="",Q271,H271))</f>
        <v/>
      </c>
      <c r="S271" s="73">
        <f>IF($A271="","",R271-Q271)</f>
        <v/>
      </c>
      <c r="T271" s="70">
        <f>IF($A271="","",SUMIFS($B$5:$B$800,$A$5:$A$800,"&gt;="&amp;DATE(YEAR($A271),MONTH($A271),1),$A$5:$A$800,"&lt;="&amp;$A271)+IF(AND(YEAR($A271)=YEAR(Settings!$B$3),MONTH($A271)=MONTH(Settings!$B$3)),Settings!$B$6,0))</f>
        <v/>
      </c>
      <c r="U271" s="71">
        <f>IF($A271="","",SUMIFS($J$5:$J$800,$A$5:$A$800,"&gt;="&amp;DATE(YEAR($A271),MONTH($A271),1),$A$5:$A$800,"&lt;="&amp;$A271)+IF(AND(YEAR($A271)=YEAR(Settings!$B$3),MONTH($A271)=MONTH(Settings!$B$3)),Settings!$B$7,0))</f>
        <v/>
      </c>
      <c r="V271" s="70">
        <f>IF($A271="","",Settings!$B$8+SUM($B$5:B271))</f>
        <v/>
      </c>
      <c r="W271" s="71">
        <f>IF($A271="","",Settings!$B$9+SUM($J$5:J271))</f>
        <v/>
      </c>
      <c r="X271" s="71">
        <f>IF($A271="","",IF(AND(N271&gt;0,F271&gt;0),ROUND(F271/N271,0),X270))</f>
        <v/>
      </c>
      <c r="Y271" s="74">
        <f>IF($A271="","",IF(AND(M271&gt;0,L271&gt;0),ROUND(L271/M271,0),IF(AND(J271&gt;0,B271&gt;0),ROUND(B271/J271,0),Y270)))</f>
        <v/>
      </c>
    </row>
    <row r="272">
      <c r="A272" s="67" t="n"/>
      <c r="B272" s="68" t="n"/>
      <c r="C272" s="69" t="n"/>
      <c r="D272" s="68" t="n"/>
      <c r="E272" s="69" t="n"/>
      <c r="F272" s="68" t="n"/>
      <c r="G272" s="69" t="n"/>
      <c r="H272" s="68" t="n"/>
      <c r="I272" s="70">
        <f>IF($A272="","",R271)</f>
        <v/>
      </c>
      <c r="J272" s="71">
        <f>IF($A272="","",IF(C272="",0,C272))</f>
        <v/>
      </c>
      <c r="K272" s="71">
        <f>IF($A272="","",IF(E272="",0,E272))</f>
        <v/>
      </c>
      <c r="L272" s="70">
        <f>IF($A272="","",B272-D272)</f>
        <v/>
      </c>
      <c r="M272" s="71">
        <f>IF($A272="","",J272-K272)</f>
        <v/>
      </c>
      <c r="N272" s="71">
        <f>IF($A272="","",IF(G272="",0,G272))</f>
        <v/>
      </c>
      <c r="O272" s="70">
        <f>IF($A272="","",D272+F272)</f>
        <v/>
      </c>
      <c r="P272" s="71">
        <f>IF($A272="","",K272+N272)</f>
        <v/>
      </c>
      <c r="Q272" s="70">
        <f>IF($A272="","",I272+L272-F272)</f>
        <v/>
      </c>
      <c r="R272" s="72">
        <f>IF($A272="","",IF(H272="",Q272,H272))</f>
        <v/>
      </c>
      <c r="S272" s="73">
        <f>IF($A272="","",R272-Q272)</f>
        <v/>
      </c>
      <c r="T272" s="70">
        <f>IF($A272="","",SUMIFS($B$5:$B$800,$A$5:$A$800,"&gt;="&amp;DATE(YEAR($A272),MONTH($A272),1),$A$5:$A$800,"&lt;="&amp;$A272)+IF(AND(YEAR($A272)=YEAR(Settings!$B$3),MONTH($A272)=MONTH(Settings!$B$3)),Settings!$B$6,0))</f>
        <v/>
      </c>
      <c r="U272" s="71">
        <f>IF($A272="","",SUMIFS($J$5:$J$800,$A$5:$A$800,"&gt;="&amp;DATE(YEAR($A272),MONTH($A272),1),$A$5:$A$800,"&lt;="&amp;$A272)+IF(AND(YEAR($A272)=YEAR(Settings!$B$3),MONTH($A272)=MONTH(Settings!$B$3)),Settings!$B$7,0))</f>
        <v/>
      </c>
      <c r="V272" s="70">
        <f>IF($A272="","",Settings!$B$8+SUM($B$5:B272))</f>
        <v/>
      </c>
      <c r="W272" s="71">
        <f>IF($A272="","",Settings!$B$9+SUM($J$5:J272))</f>
        <v/>
      </c>
      <c r="X272" s="71">
        <f>IF($A272="","",IF(AND(N272&gt;0,F272&gt;0),ROUND(F272/N272,0),X271))</f>
        <v/>
      </c>
      <c r="Y272" s="74">
        <f>IF($A272="","",IF(AND(M272&gt;0,L272&gt;0),ROUND(L272/M272,0),IF(AND(J272&gt;0,B272&gt;0),ROUND(B272/J272,0),Y271)))</f>
        <v/>
      </c>
    </row>
    <row r="273">
      <c r="A273" s="67" t="n"/>
      <c r="B273" s="68" t="n"/>
      <c r="C273" s="69" t="n"/>
      <c r="D273" s="68" t="n"/>
      <c r="E273" s="69" t="n"/>
      <c r="F273" s="68" t="n"/>
      <c r="G273" s="69" t="n"/>
      <c r="H273" s="68" t="n"/>
      <c r="I273" s="70">
        <f>IF($A273="","",R272)</f>
        <v/>
      </c>
      <c r="J273" s="71">
        <f>IF($A273="","",IF(C273="",0,C273))</f>
        <v/>
      </c>
      <c r="K273" s="71">
        <f>IF($A273="","",IF(E273="",0,E273))</f>
        <v/>
      </c>
      <c r="L273" s="70">
        <f>IF($A273="","",B273-D273)</f>
        <v/>
      </c>
      <c r="M273" s="71">
        <f>IF($A273="","",J273-K273)</f>
        <v/>
      </c>
      <c r="N273" s="71">
        <f>IF($A273="","",IF(G273="",0,G273))</f>
        <v/>
      </c>
      <c r="O273" s="70">
        <f>IF($A273="","",D273+F273)</f>
        <v/>
      </c>
      <c r="P273" s="71">
        <f>IF($A273="","",K273+N273)</f>
        <v/>
      </c>
      <c r="Q273" s="70">
        <f>IF($A273="","",I273+L273-F273)</f>
        <v/>
      </c>
      <c r="R273" s="72">
        <f>IF($A273="","",IF(H273="",Q273,H273))</f>
        <v/>
      </c>
      <c r="S273" s="73">
        <f>IF($A273="","",R273-Q273)</f>
        <v/>
      </c>
      <c r="T273" s="70">
        <f>IF($A273="","",SUMIFS($B$5:$B$800,$A$5:$A$800,"&gt;="&amp;DATE(YEAR($A273),MONTH($A273),1),$A$5:$A$800,"&lt;="&amp;$A273)+IF(AND(YEAR($A273)=YEAR(Settings!$B$3),MONTH($A273)=MONTH(Settings!$B$3)),Settings!$B$6,0))</f>
        <v/>
      </c>
      <c r="U273" s="71">
        <f>IF($A273="","",SUMIFS($J$5:$J$800,$A$5:$A$800,"&gt;="&amp;DATE(YEAR($A273),MONTH($A273),1),$A$5:$A$800,"&lt;="&amp;$A273)+IF(AND(YEAR($A273)=YEAR(Settings!$B$3),MONTH($A273)=MONTH(Settings!$B$3)),Settings!$B$7,0))</f>
        <v/>
      </c>
      <c r="V273" s="70">
        <f>IF($A273="","",Settings!$B$8+SUM($B$5:B273))</f>
        <v/>
      </c>
      <c r="W273" s="71">
        <f>IF($A273="","",Settings!$B$9+SUM($J$5:J273))</f>
        <v/>
      </c>
      <c r="X273" s="71">
        <f>IF($A273="","",IF(AND(N273&gt;0,F273&gt;0),ROUND(F273/N273,0),X272))</f>
        <v/>
      </c>
      <c r="Y273" s="74">
        <f>IF($A273="","",IF(AND(M273&gt;0,L273&gt;0),ROUND(L273/M273,0),IF(AND(J273&gt;0,B273&gt;0),ROUND(B273/J273,0),Y272)))</f>
        <v/>
      </c>
    </row>
    <row r="274">
      <c r="A274" s="67" t="n"/>
      <c r="B274" s="68" t="n"/>
      <c r="C274" s="69" t="n"/>
      <c r="D274" s="68" t="n"/>
      <c r="E274" s="69" t="n"/>
      <c r="F274" s="68" t="n"/>
      <c r="G274" s="69" t="n"/>
      <c r="H274" s="68" t="n"/>
      <c r="I274" s="70">
        <f>IF($A274="","",R273)</f>
        <v/>
      </c>
      <c r="J274" s="71">
        <f>IF($A274="","",IF(C274="",0,C274))</f>
        <v/>
      </c>
      <c r="K274" s="71">
        <f>IF($A274="","",IF(E274="",0,E274))</f>
        <v/>
      </c>
      <c r="L274" s="70">
        <f>IF($A274="","",B274-D274)</f>
        <v/>
      </c>
      <c r="M274" s="71">
        <f>IF($A274="","",J274-K274)</f>
        <v/>
      </c>
      <c r="N274" s="71">
        <f>IF($A274="","",IF(G274="",0,G274))</f>
        <v/>
      </c>
      <c r="O274" s="70">
        <f>IF($A274="","",D274+F274)</f>
        <v/>
      </c>
      <c r="P274" s="71">
        <f>IF($A274="","",K274+N274)</f>
        <v/>
      </c>
      <c r="Q274" s="70">
        <f>IF($A274="","",I274+L274-F274)</f>
        <v/>
      </c>
      <c r="R274" s="72">
        <f>IF($A274="","",IF(H274="",Q274,H274))</f>
        <v/>
      </c>
      <c r="S274" s="73">
        <f>IF($A274="","",R274-Q274)</f>
        <v/>
      </c>
      <c r="T274" s="70">
        <f>IF($A274="","",SUMIFS($B$5:$B$800,$A$5:$A$800,"&gt;="&amp;DATE(YEAR($A274),MONTH($A274),1),$A$5:$A$800,"&lt;="&amp;$A274)+IF(AND(YEAR($A274)=YEAR(Settings!$B$3),MONTH($A274)=MONTH(Settings!$B$3)),Settings!$B$6,0))</f>
        <v/>
      </c>
      <c r="U274" s="71">
        <f>IF($A274="","",SUMIFS($J$5:$J$800,$A$5:$A$800,"&gt;="&amp;DATE(YEAR($A274),MONTH($A274),1),$A$5:$A$800,"&lt;="&amp;$A274)+IF(AND(YEAR($A274)=YEAR(Settings!$B$3),MONTH($A274)=MONTH(Settings!$B$3)),Settings!$B$7,0))</f>
        <v/>
      </c>
      <c r="V274" s="70">
        <f>IF($A274="","",Settings!$B$8+SUM($B$5:B274))</f>
        <v/>
      </c>
      <c r="W274" s="71">
        <f>IF($A274="","",Settings!$B$9+SUM($J$5:J274))</f>
        <v/>
      </c>
      <c r="X274" s="71">
        <f>IF($A274="","",IF(AND(N274&gt;0,F274&gt;0),ROUND(F274/N274,0),X273))</f>
        <v/>
      </c>
      <c r="Y274" s="74">
        <f>IF($A274="","",IF(AND(M274&gt;0,L274&gt;0),ROUND(L274/M274,0),IF(AND(J274&gt;0,B274&gt;0),ROUND(B274/J274,0),Y273)))</f>
        <v/>
      </c>
    </row>
    <row r="275">
      <c r="A275" s="67" t="n"/>
      <c r="B275" s="68" t="n"/>
      <c r="C275" s="69" t="n"/>
      <c r="D275" s="68" t="n"/>
      <c r="E275" s="69" t="n"/>
      <c r="F275" s="68" t="n"/>
      <c r="G275" s="69" t="n"/>
      <c r="H275" s="68" t="n"/>
      <c r="I275" s="70">
        <f>IF($A275="","",R274)</f>
        <v/>
      </c>
      <c r="J275" s="71">
        <f>IF($A275="","",IF(C275="",0,C275))</f>
        <v/>
      </c>
      <c r="K275" s="71">
        <f>IF($A275="","",IF(E275="",0,E275))</f>
        <v/>
      </c>
      <c r="L275" s="70">
        <f>IF($A275="","",B275-D275)</f>
        <v/>
      </c>
      <c r="M275" s="71">
        <f>IF($A275="","",J275-K275)</f>
        <v/>
      </c>
      <c r="N275" s="71">
        <f>IF($A275="","",IF(G275="",0,G275))</f>
        <v/>
      </c>
      <c r="O275" s="70">
        <f>IF($A275="","",D275+F275)</f>
        <v/>
      </c>
      <c r="P275" s="71">
        <f>IF($A275="","",K275+N275)</f>
        <v/>
      </c>
      <c r="Q275" s="70">
        <f>IF($A275="","",I275+L275-F275)</f>
        <v/>
      </c>
      <c r="R275" s="72">
        <f>IF($A275="","",IF(H275="",Q275,H275))</f>
        <v/>
      </c>
      <c r="S275" s="73">
        <f>IF($A275="","",R275-Q275)</f>
        <v/>
      </c>
      <c r="T275" s="70">
        <f>IF($A275="","",SUMIFS($B$5:$B$800,$A$5:$A$800,"&gt;="&amp;DATE(YEAR($A275),MONTH($A275),1),$A$5:$A$800,"&lt;="&amp;$A275)+IF(AND(YEAR($A275)=YEAR(Settings!$B$3),MONTH($A275)=MONTH(Settings!$B$3)),Settings!$B$6,0))</f>
        <v/>
      </c>
      <c r="U275" s="71">
        <f>IF($A275="","",SUMIFS($J$5:$J$800,$A$5:$A$800,"&gt;="&amp;DATE(YEAR($A275),MONTH($A275),1),$A$5:$A$800,"&lt;="&amp;$A275)+IF(AND(YEAR($A275)=YEAR(Settings!$B$3),MONTH($A275)=MONTH(Settings!$B$3)),Settings!$B$7,0))</f>
        <v/>
      </c>
      <c r="V275" s="70">
        <f>IF($A275="","",Settings!$B$8+SUM($B$5:B275))</f>
        <v/>
      </c>
      <c r="W275" s="71">
        <f>IF($A275="","",Settings!$B$9+SUM($J$5:J275))</f>
        <v/>
      </c>
      <c r="X275" s="71">
        <f>IF($A275="","",IF(AND(N275&gt;0,F275&gt;0),ROUND(F275/N275,0),X274))</f>
        <v/>
      </c>
      <c r="Y275" s="74">
        <f>IF($A275="","",IF(AND(M275&gt;0,L275&gt;0),ROUND(L275/M275,0),IF(AND(J275&gt;0,B275&gt;0),ROUND(B275/J275,0),Y274)))</f>
        <v/>
      </c>
    </row>
    <row r="276">
      <c r="A276" s="67" t="n"/>
      <c r="B276" s="68" t="n"/>
      <c r="C276" s="69" t="n"/>
      <c r="D276" s="68" t="n"/>
      <c r="E276" s="69" t="n"/>
      <c r="F276" s="68" t="n"/>
      <c r="G276" s="69" t="n"/>
      <c r="H276" s="68" t="n"/>
      <c r="I276" s="70">
        <f>IF($A276="","",R275)</f>
        <v/>
      </c>
      <c r="J276" s="71">
        <f>IF($A276="","",IF(C276="",0,C276))</f>
        <v/>
      </c>
      <c r="K276" s="71">
        <f>IF($A276="","",IF(E276="",0,E276))</f>
        <v/>
      </c>
      <c r="L276" s="70">
        <f>IF($A276="","",B276-D276)</f>
        <v/>
      </c>
      <c r="M276" s="71">
        <f>IF($A276="","",J276-K276)</f>
        <v/>
      </c>
      <c r="N276" s="71">
        <f>IF($A276="","",IF(G276="",0,G276))</f>
        <v/>
      </c>
      <c r="O276" s="70">
        <f>IF($A276="","",D276+F276)</f>
        <v/>
      </c>
      <c r="P276" s="71">
        <f>IF($A276="","",K276+N276)</f>
        <v/>
      </c>
      <c r="Q276" s="70">
        <f>IF($A276="","",I276+L276-F276)</f>
        <v/>
      </c>
      <c r="R276" s="72">
        <f>IF($A276="","",IF(H276="",Q276,H276))</f>
        <v/>
      </c>
      <c r="S276" s="73">
        <f>IF($A276="","",R276-Q276)</f>
        <v/>
      </c>
      <c r="T276" s="70">
        <f>IF($A276="","",SUMIFS($B$5:$B$800,$A$5:$A$800,"&gt;="&amp;DATE(YEAR($A276),MONTH($A276),1),$A$5:$A$800,"&lt;="&amp;$A276)+IF(AND(YEAR($A276)=YEAR(Settings!$B$3),MONTH($A276)=MONTH(Settings!$B$3)),Settings!$B$6,0))</f>
        <v/>
      </c>
      <c r="U276" s="71">
        <f>IF($A276="","",SUMIFS($J$5:$J$800,$A$5:$A$800,"&gt;="&amp;DATE(YEAR($A276),MONTH($A276),1),$A$5:$A$800,"&lt;="&amp;$A276)+IF(AND(YEAR($A276)=YEAR(Settings!$B$3),MONTH($A276)=MONTH(Settings!$B$3)),Settings!$B$7,0))</f>
        <v/>
      </c>
      <c r="V276" s="70">
        <f>IF($A276="","",Settings!$B$8+SUM($B$5:B276))</f>
        <v/>
      </c>
      <c r="W276" s="71">
        <f>IF($A276="","",Settings!$B$9+SUM($J$5:J276))</f>
        <v/>
      </c>
      <c r="X276" s="71">
        <f>IF($A276="","",IF(AND(N276&gt;0,F276&gt;0),ROUND(F276/N276,0),X275))</f>
        <v/>
      </c>
      <c r="Y276" s="74">
        <f>IF($A276="","",IF(AND(M276&gt;0,L276&gt;0),ROUND(L276/M276,0),IF(AND(J276&gt;0,B276&gt;0),ROUND(B276/J276,0),Y275)))</f>
        <v/>
      </c>
    </row>
    <row r="277">
      <c r="A277" s="67" t="n"/>
      <c r="B277" s="68" t="n"/>
      <c r="C277" s="69" t="n"/>
      <c r="D277" s="68" t="n"/>
      <c r="E277" s="69" t="n"/>
      <c r="F277" s="68" t="n"/>
      <c r="G277" s="69" t="n"/>
      <c r="H277" s="68" t="n"/>
      <c r="I277" s="70">
        <f>IF($A277="","",R276)</f>
        <v/>
      </c>
      <c r="J277" s="71">
        <f>IF($A277="","",IF(C277="",0,C277))</f>
        <v/>
      </c>
      <c r="K277" s="71">
        <f>IF($A277="","",IF(E277="",0,E277))</f>
        <v/>
      </c>
      <c r="L277" s="70">
        <f>IF($A277="","",B277-D277)</f>
        <v/>
      </c>
      <c r="M277" s="71">
        <f>IF($A277="","",J277-K277)</f>
        <v/>
      </c>
      <c r="N277" s="71">
        <f>IF($A277="","",IF(G277="",0,G277))</f>
        <v/>
      </c>
      <c r="O277" s="70">
        <f>IF($A277="","",D277+F277)</f>
        <v/>
      </c>
      <c r="P277" s="71">
        <f>IF($A277="","",K277+N277)</f>
        <v/>
      </c>
      <c r="Q277" s="70">
        <f>IF($A277="","",I277+L277-F277)</f>
        <v/>
      </c>
      <c r="R277" s="72">
        <f>IF($A277="","",IF(H277="",Q277,H277))</f>
        <v/>
      </c>
      <c r="S277" s="73">
        <f>IF($A277="","",R277-Q277)</f>
        <v/>
      </c>
      <c r="T277" s="70">
        <f>IF($A277="","",SUMIFS($B$5:$B$800,$A$5:$A$800,"&gt;="&amp;DATE(YEAR($A277),MONTH($A277),1),$A$5:$A$800,"&lt;="&amp;$A277)+IF(AND(YEAR($A277)=YEAR(Settings!$B$3),MONTH($A277)=MONTH(Settings!$B$3)),Settings!$B$6,0))</f>
        <v/>
      </c>
      <c r="U277" s="71">
        <f>IF($A277="","",SUMIFS($J$5:$J$800,$A$5:$A$800,"&gt;="&amp;DATE(YEAR($A277),MONTH($A277),1),$A$5:$A$800,"&lt;="&amp;$A277)+IF(AND(YEAR($A277)=YEAR(Settings!$B$3),MONTH($A277)=MONTH(Settings!$B$3)),Settings!$B$7,0))</f>
        <v/>
      </c>
      <c r="V277" s="70">
        <f>IF($A277="","",Settings!$B$8+SUM($B$5:B277))</f>
        <v/>
      </c>
      <c r="W277" s="71">
        <f>IF($A277="","",Settings!$B$9+SUM($J$5:J277))</f>
        <v/>
      </c>
      <c r="X277" s="71">
        <f>IF($A277="","",IF(AND(N277&gt;0,F277&gt;0),ROUND(F277/N277,0),X276))</f>
        <v/>
      </c>
      <c r="Y277" s="74">
        <f>IF($A277="","",IF(AND(M277&gt;0,L277&gt;0),ROUND(L277/M277,0),IF(AND(J277&gt;0,B277&gt;0),ROUND(B277/J277,0),Y276)))</f>
        <v/>
      </c>
    </row>
    <row r="278">
      <c r="A278" s="67" t="n"/>
      <c r="B278" s="68" t="n"/>
      <c r="C278" s="69" t="n"/>
      <c r="D278" s="68" t="n"/>
      <c r="E278" s="69" t="n"/>
      <c r="F278" s="68" t="n"/>
      <c r="G278" s="69" t="n"/>
      <c r="H278" s="68" t="n"/>
      <c r="I278" s="70">
        <f>IF($A278="","",R277)</f>
        <v/>
      </c>
      <c r="J278" s="71">
        <f>IF($A278="","",IF(C278="",0,C278))</f>
        <v/>
      </c>
      <c r="K278" s="71">
        <f>IF($A278="","",IF(E278="",0,E278))</f>
        <v/>
      </c>
      <c r="L278" s="70">
        <f>IF($A278="","",B278-D278)</f>
        <v/>
      </c>
      <c r="M278" s="71">
        <f>IF($A278="","",J278-K278)</f>
        <v/>
      </c>
      <c r="N278" s="71">
        <f>IF($A278="","",IF(G278="",0,G278))</f>
        <v/>
      </c>
      <c r="O278" s="70">
        <f>IF($A278="","",D278+F278)</f>
        <v/>
      </c>
      <c r="P278" s="71">
        <f>IF($A278="","",K278+N278)</f>
        <v/>
      </c>
      <c r="Q278" s="70">
        <f>IF($A278="","",I278+L278-F278)</f>
        <v/>
      </c>
      <c r="R278" s="72">
        <f>IF($A278="","",IF(H278="",Q278,H278))</f>
        <v/>
      </c>
      <c r="S278" s="73">
        <f>IF($A278="","",R278-Q278)</f>
        <v/>
      </c>
      <c r="T278" s="70">
        <f>IF($A278="","",SUMIFS($B$5:$B$800,$A$5:$A$800,"&gt;="&amp;DATE(YEAR($A278),MONTH($A278),1),$A$5:$A$800,"&lt;="&amp;$A278)+IF(AND(YEAR($A278)=YEAR(Settings!$B$3),MONTH($A278)=MONTH(Settings!$B$3)),Settings!$B$6,0))</f>
        <v/>
      </c>
      <c r="U278" s="71">
        <f>IF($A278="","",SUMIFS($J$5:$J$800,$A$5:$A$800,"&gt;="&amp;DATE(YEAR($A278),MONTH($A278),1),$A$5:$A$800,"&lt;="&amp;$A278)+IF(AND(YEAR($A278)=YEAR(Settings!$B$3),MONTH($A278)=MONTH(Settings!$B$3)),Settings!$B$7,0))</f>
        <v/>
      </c>
      <c r="V278" s="70">
        <f>IF($A278="","",Settings!$B$8+SUM($B$5:B278))</f>
        <v/>
      </c>
      <c r="W278" s="71">
        <f>IF($A278="","",Settings!$B$9+SUM($J$5:J278))</f>
        <v/>
      </c>
      <c r="X278" s="71">
        <f>IF($A278="","",IF(AND(N278&gt;0,F278&gt;0),ROUND(F278/N278,0),X277))</f>
        <v/>
      </c>
      <c r="Y278" s="74">
        <f>IF($A278="","",IF(AND(M278&gt;0,L278&gt;0),ROUND(L278/M278,0),IF(AND(J278&gt;0,B278&gt;0),ROUND(B278/J278,0),Y277)))</f>
        <v/>
      </c>
    </row>
    <row r="279">
      <c r="A279" s="67" t="n"/>
      <c r="B279" s="68" t="n"/>
      <c r="C279" s="69" t="n"/>
      <c r="D279" s="68" t="n"/>
      <c r="E279" s="69" t="n"/>
      <c r="F279" s="68" t="n"/>
      <c r="G279" s="69" t="n"/>
      <c r="H279" s="68" t="n"/>
      <c r="I279" s="70">
        <f>IF($A279="","",R278)</f>
        <v/>
      </c>
      <c r="J279" s="71">
        <f>IF($A279="","",IF(C279="",0,C279))</f>
        <v/>
      </c>
      <c r="K279" s="71">
        <f>IF($A279="","",IF(E279="",0,E279))</f>
        <v/>
      </c>
      <c r="L279" s="70">
        <f>IF($A279="","",B279-D279)</f>
        <v/>
      </c>
      <c r="M279" s="71">
        <f>IF($A279="","",J279-K279)</f>
        <v/>
      </c>
      <c r="N279" s="71">
        <f>IF($A279="","",IF(G279="",0,G279))</f>
        <v/>
      </c>
      <c r="O279" s="70">
        <f>IF($A279="","",D279+F279)</f>
        <v/>
      </c>
      <c r="P279" s="71">
        <f>IF($A279="","",K279+N279)</f>
        <v/>
      </c>
      <c r="Q279" s="70">
        <f>IF($A279="","",I279+L279-F279)</f>
        <v/>
      </c>
      <c r="R279" s="72">
        <f>IF($A279="","",IF(H279="",Q279,H279))</f>
        <v/>
      </c>
      <c r="S279" s="73">
        <f>IF($A279="","",R279-Q279)</f>
        <v/>
      </c>
      <c r="T279" s="70">
        <f>IF($A279="","",SUMIFS($B$5:$B$800,$A$5:$A$800,"&gt;="&amp;DATE(YEAR($A279),MONTH($A279),1),$A$5:$A$800,"&lt;="&amp;$A279)+IF(AND(YEAR($A279)=YEAR(Settings!$B$3),MONTH($A279)=MONTH(Settings!$B$3)),Settings!$B$6,0))</f>
        <v/>
      </c>
      <c r="U279" s="71">
        <f>IF($A279="","",SUMIFS($J$5:$J$800,$A$5:$A$800,"&gt;="&amp;DATE(YEAR($A279),MONTH($A279),1),$A$5:$A$800,"&lt;="&amp;$A279)+IF(AND(YEAR($A279)=YEAR(Settings!$B$3),MONTH($A279)=MONTH(Settings!$B$3)),Settings!$B$7,0))</f>
        <v/>
      </c>
      <c r="V279" s="70">
        <f>IF($A279="","",Settings!$B$8+SUM($B$5:B279))</f>
        <v/>
      </c>
      <c r="W279" s="71">
        <f>IF($A279="","",Settings!$B$9+SUM($J$5:J279))</f>
        <v/>
      </c>
      <c r="X279" s="71">
        <f>IF($A279="","",IF(AND(N279&gt;0,F279&gt;0),ROUND(F279/N279,0),X278))</f>
        <v/>
      </c>
      <c r="Y279" s="74">
        <f>IF($A279="","",IF(AND(M279&gt;0,L279&gt;0),ROUND(L279/M279,0),IF(AND(J279&gt;0,B279&gt;0),ROUND(B279/J279,0),Y278)))</f>
        <v/>
      </c>
    </row>
    <row r="280">
      <c r="A280" s="67" t="n"/>
      <c r="B280" s="68" t="n"/>
      <c r="C280" s="69" t="n"/>
      <c r="D280" s="68" t="n"/>
      <c r="E280" s="69" t="n"/>
      <c r="F280" s="68" t="n"/>
      <c r="G280" s="69" t="n"/>
      <c r="H280" s="68" t="n"/>
      <c r="I280" s="70">
        <f>IF($A280="","",R279)</f>
        <v/>
      </c>
      <c r="J280" s="71">
        <f>IF($A280="","",IF(C280="",0,C280))</f>
        <v/>
      </c>
      <c r="K280" s="71">
        <f>IF($A280="","",IF(E280="",0,E280))</f>
        <v/>
      </c>
      <c r="L280" s="70">
        <f>IF($A280="","",B280-D280)</f>
        <v/>
      </c>
      <c r="M280" s="71">
        <f>IF($A280="","",J280-K280)</f>
        <v/>
      </c>
      <c r="N280" s="71">
        <f>IF($A280="","",IF(G280="",0,G280))</f>
        <v/>
      </c>
      <c r="O280" s="70">
        <f>IF($A280="","",D280+F280)</f>
        <v/>
      </c>
      <c r="P280" s="71">
        <f>IF($A280="","",K280+N280)</f>
        <v/>
      </c>
      <c r="Q280" s="70">
        <f>IF($A280="","",I280+L280-F280)</f>
        <v/>
      </c>
      <c r="R280" s="72">
        <f>IF($A280="","",IF(H280="",Q280,H280))</f>
        <v/>
      </c>
      <c r="S280" s="73">
        <f>IF($A280="","",R280-Q280)</f>
        <v/>
      </c>
      <c r="T280" s="70">
        <f>IF($A280="","",SUMIFS($B$5:$B$800,$A$5:$A$800,"&gt;="&amp;DATE(YEAR($A280),MONTH($A280),1),$A$5:$A$800,"&lt;="&amp;$A280)+IF(AND(YEAR($A280)=YEAR(Settings!$B$3),MONTH($A280)=MONTH(Settings!$B$3)),Settings!$B$6,0))</f>
        <v/>
      </c>
      <c r="U280" s="71">
        <f>IF($A280="","",SUMIFS($J$5:$J$800,$A$5:$A$800,"&gt;="&amp;DATE(YEAR($A280),MONTH($A280),1),$A$5:$A$800,"&lt;="&amp;$A280)+IF(AND(YEAR($A280)=YEAR(Settings!$B$3),MONTH($A280)=MONTH(Settings!$B$3)),Settings!$B$7,0))</f>
        <v/>
      </c>
      <c r="V280" s="70">
        <f>IF($A280="","",Settings!$B$8+SUM($B$5:B280))</f>
        <v/>
      </c>
      <c r="W280" s="71">
        <f>IF($A280="","",Settings!$B$9+SUM($J$5:J280))</f>
        <v/>
      </c>
      <c r="X280" s="71">
        <f>IF($A280="","",IF(AND(N280&gt;0,F280&gt;0),ROUND(F280/N280,0),X279))</f>
        <v/>
      </c>
      <c r="Y280" s="74">
        <f>IF($A280="","",IF(AND(M280&gt;0,L280&gt;0),ROUND(L280/M280,0),IF(AND(J280&gt;0,B280&gt;0),ROUND(B280/J280,0),Y279)))</f>
        <v/>
      </c>
    </row>
    <row r="281">
      <c r="A281" s="67" t="n"/>
      <c r="B281" s="68" t="n"/>
      <c r="C281" s="69" t="n"/>
      <c r="D281" s="68" t="n"/>
      <c r="E281" s="69" t="n"/>
      <c r="F281" s="68" t="n"/>
      <c r="G281" s="69" t="n"/>
      <c r="H281" s="68" t="n"/>
      <c r="I281" s="70">
        <f>IF($A281="","",R280)</f>
        <v/>
      </c>
      <c r="J281" s="71">
        <f>IF($A281="","",IF(C281="",0,C281))</f>
        <v/>
      </c>
      <c r="K281" s="71">
        <f>IF($A281="","",IF(E281="",0,E281))</f>
        <v/>
      </c>
      <c r="L281" s="70">
        <f>IF($A281="","",B281-D281)</f>
        <v/>
      </c>
      <c r="M281" s="71">
        <f>IF($A281="","",J281-K281)</f>
        <v/>
      </c>
      <c r="N281" s="71">
        <f>IF($A281="","",IF(G281="",0,G281))</f>
        <v/>
      </c>
      <c r="O281" s="70">
        <f>IF($A281="","",D281+F281)</f>
        <v/>
      </c>
      <c r="P281" s="71">
        <f>IF($A281="","",K281+N281)</f>
        <v/>
      </c>
      <c r="Q281" s="70">
        <f>IF($A281="","",I281+L281-F281)</f>
        <v/>
      </c>
      <c r="R281" s="72">
        <f>IF($A281="","",IF(H281="",Q281,H281))</f>
        <v/>
      </c>
      <c r="S281" s="73">
        <f>IF($A281="","",R281-Q281)</f>
        <v/>
      </c>
      <c r="T281" s="70">
        <f>IF($A281="","",SUMIFS($B$5:$B$800,$A$5:$A$800,"&gt;="&amp;DATE(YEAR($A281),MONTH($A281),1),$A$5:$A$800,"&lt;="&amp;$A281)+IF(AND(YEAR($A281)=YEAR(Settings!$B$3),MONTH($A281)=MONTH(Settings!$B$3)),Settings!$B$6,0))</f>
        <v/>
      </c>
      <c r="U281" s="71">
        <f>IF($A281="","",SUMIFS($J$5:$J$800,$A$5:$A$800,"&gt;="&amp;DATE(YEAR($A281),MONTH($A281),1),$A$5:$A$800,"&lt;="&amp;$A281)+IF(AND(YEAR($A281)=YEAR(Settings!$B$3),MONTH($A281)=MONTH(Settings!$B$3)),Settings!$B$7,0))</f>
        <v/>
      </c>
      <c r="V281" s="70">
        <f>IF($A281="","",Settings!$B$8+SUM($B$5:B281))</f>
        <v/>
      </c>
      <c r="W281" s="71">
        <f>IF($A281="","",Settings!$B$9+SUM($J$5:J281))</f>
        <v/>
      </c>
      <c r="X281" s="71">
        <f>IF($A281="","",IF(AND(N281&gt;0,F281&gt;0),ROUND(F281/N281,0),X280))</f>
        <v/>
      </c>
      <c r="Y281" s="74">
        <f>IF($A281="","",IF(AND(M281&gt;0,L281&gt;0),ROUND(L281/M281,0),IF(AND(J281&gt;0,B281&gt;0),ROUND(B281/J281,0),Y280)))</f>
        <v/>
      </c>
    </row>
    <row r="282">
      <c r="A282" s="67" t="n"/>
      <c r="B282" s="68" t="n"/>
      <c r="C282" s="69" t="n"/>
      <c r="D282" s="68" t="n"/>
      <c r="E282" s="69" t="n"/>
      <c r="F282" s="68" t="n"/>
      <c r="G282" s="69" t="n"/>
      <c r="H282" s="68" t="n"/>
      <c r="I282" s="70">
        <f>IF($A282="","",R281)</f>
        <v/>
      </c>
      <c r="J282" s="71">
        <f>IF($A282="","",IF(C282="",0,C282))</f>
        <v/>
      </c>
      <c r="K282" s="71">
        <f>IF($A282="","",IF(E282="",0,E282))</f>
        <v/>
      </c>
      <c r="L282" s="70">
        <f>IF($A282="","",B282-D282)</f>
        <v/>
      </c>
      <c r="M282" s="71">
        <f>IF($A282="","",J282-K282)</f>
        <v/>
      </c>
      <c r="N282" s="71">
        <f>IF($A282="","",IF(G282="",0,G282))</f>
        <v/>
      </c>
      <c r="O282" s="70">
        <f>IF($A282="","",D282+F282)</f>
        <v/>
      </c>
      <c r="P282" s="71">
        <f>IF($A282="","",K282+N282)</f>
        <v/>
      </c>
      <c r="Q282" s="70">
        <f>IF($A282="","",I282+L282-F282)</f>
        <v/>
      </c>
      <c r="R282" s="72">
        <f>IF($A282="","",IF(H282="",Q282,H282))</f>
        <v/>
      </c>
      <c r="S282" s="73">
        <f>IF($A282="","",R282-Q282)</f>
        <v/>
      </c>
      <c r="T282" s="70">
        <f>IF($A282="","",SUMIFS($B$5:$B$800,$A$5:$A$800,"&gt;="&amp;DATE(YEAR($A282),MONTH($A282),1),$A$5:$A$800,"&lt;="&amp;$A282)+IF(AND(YEAR($A282)=YEAR(Settings!$B$3),MONTH($A282)=MONTH(Settings!$B$3)),Settings!$B$6,0))</f>
        <v/>
      </c>
      <c r="U282" s="71">
        <f>IF($A282="","",SUMIFS($J$5:$J$800,$A$5:$A$800,"&gt;="&amp;DATE(YEAR($A282),MONTH($A282),1),$A$5:$A$800,"&lt;="&amp;$A282)+IF(AND(YEAR($A282)=YEAR(Settings!$B$3),MONTH($A282)=MONTH(Settings!$B$3)),Settings!$B$7,0))</f>
        <v/>
      </c>
      <c r="V282" s="70">
        <f>IF($A282="","",Settings!$B$8+SUM($B$5:B282))</f>
        <v/>
      </c>
      <c r="W282" s="71">
        <f>IF($A282="","",Settings!$B$9+SUM($J$5:J282))</f>
        <v/>
      </c>
      <c r="X282" s="71">
        <f>IF($A282="","",IF(AND(N282&gt;0,F282&gt;0),ROUND(F282/N282,0),X281))</f>
        <v/>
      </c>
      <c r="Y282" s="74">
        <f>IF($A282="","",IF(AND(M282&gt;0,L282&gt;0),ROUND(L282/M282,0),IF(AND(J282&gt;0,B282&gt;0),ROUND(B282/J282,0),Y281)))</f>
        <v/>
      </c>
    </row>
    <row r="283">
      <c r="A283" s="67" t="n"/>
      <c r="B283" s="68" t="n"/>
      <c r="C283" s="69" t="n"/>
      <c r="D283" s="68" t="n"/>
      <c r="E283" s="69" t="n"/>
      <c r="F283" s="68" t="n"/>
      <c r="G283" s="69" t="n"/>
      <c r="H283" s="68" t="n"/>
      <c r="I283" s="70">
        <f>IF($A283="","",R282)</f>
        <v/>
      </c>
      <c r="J283" s="71">
        <f>IF($A283="","",IF(C283="",0,C283))</f>
        <v/>
      </c>
      <c r="K283" s="71">
        <f>IF($A283="","",IF(E283="",0,E283))</f>
        <v/>
      </c>
      <c r="L283" s="70">
        <f>IF($A283="","",B283-D283)</f>
        <v/>
      </c>
      <c r="M283" s="71">
        <f>IF($A283="","",J283-K283)</f>
        <v/>
      </c>
      <c r="N283" s="71">
        <f>IF($A283="","",IF(G283="",0,G283))</f>
        <v/>
      </c>
      <c r="O283" s="70">
        <f>IF($A283="","",D283+F283)</f>
        <v/>
      </c>
      <c r="P283" s="71">
        <f>IF($A283="","",K283+N283)</f>
        <v/>
      </c>
      <c r="Q283" s="70">
        <f>IF($A283="","",I283+L283-F283)</f>
        <v/>
      </c>
      <c r="R283" s="72">
        <f>IF($A283="","",IF(H283="",Q283,H283))</f>
        <v/>
      </c>
      <c r="S283" s="73">
        <f>IF($A283="","",R283-Q283)</f>
        <v/>
      </c>
      <c r="T283" s="70">
        <f>IF($A283="","",SUMIFS($B$5:$B$800,$A$5:$A$800,"&gt;="&amp;DATE(YEAR($A283),MONTH($A283),1),$A$5:$A$800,"&lt;="&amp;$A283)+IF(AND(YEAR($A283)=YEAR(Settings!$B$3),MONTH($A283)=MONTH(Settings!$B$3)),Settings!$B$6,0))</f>
        <v/>
      </c>
      <c r="U283" s="71">
        <f>IF($A283="","",SUMIFS($J$5:$J$800,$A$5:$A$800,"&gt;="&amp;DATE(YEAR($A283),MONTH($A283),1),$A$5:$A$800,"&lt;="&amp;$A283)+IF(AND(YEAR($A283)=YEAR(Settings!$B$3),MONTH($A283)=MONTH(Settings!$B$3)),Settings!$B$7,0))</f>
        <v/>
      </c>
      <c r="V283" s="70">
        <f>IF($A283="","",Settings!$B$8+SUM($B$5:B283))</f>
        <v/>
      </c>
      <c r="W283" s="71">
        <f>IF($A283="","",Settings!$B$9+SUM($J$5:J283))</f>
        <v/>
      </c>
      <c r="X283" s="71">
        <f>IF($A283="","",IF(AND(N283&gt;0,F283&gt;0),ROUND(F283/N283,0),X282))</f>
        <v/>
      </c>
      <c r="Y283" s="74">
        <f>IF($A283="","",IF(AND(M283&gt;0,L283&gt;0),ROUND(L283/M283,0),IF(AND(J283&gt;0,B283&gt;0),ROUND(B283/J283,0),Y282)))</f>
        <v/>
      </c>
    </row>
    <row r="284">
      <c r="A284" s="67" t="n"/>
      <c r="B284" s="68" t="n"/>
      <c r="C284" s="69" t="n"/>
      <c r="D284" s="68" t="n"/>
      <c r="E284" s="69" t="n"/>
      <c r="F284" s="68" t="n"/>
      <c r="G284" s="69" t="n"/>
      <c r="H284" s="68" t="n"/>
      <c r="I284" s="70">
        <f>IF($A284="","",R283)</f>
        <v/>
      </c>
      <c r="J284" s="71">
        <f>IF($A284="","",IF(C284="",0,C284))</f>
        <v/>
      </c>
      <c r="K284" s="71">
        <f>IF($A284="","",IF(E284="",0,E284))</f>
        <v/>
      </c>
      <c r="L284" s="70">
        <f>IF($A284="","",B284-D284)</f>
        <v/>
      </c>
      <c r="M284" s="71">
        <f>IF($A284="","",J284-K284)</f>
        <v/>
      </c>
      <c r="N284" s="71">
        <f>IF($A284="","",IF(G284="",0,G284))</f>
        <v/>
      </c>
      <c r="O284" s="70">
        <f>IF($A284="","",D284+F284)</f>
        <v/>
      </c>
      <c r="P284" s="71">
        <f>IF($A284="","",K284+N284)</f>
        <v/>
      </c>
      <c r="Q284" s="70">
        <f>IF($A284="","",I284+L284-F284)</f>
        <v/>
      </c>
      <c r="R284" s="72">
        <f>IF($A284="","",IF(H284="",Q284,H284))</f>
        <v/>
      </c>
      <c r="S284" s="73">
        <f>IF($A284="","",R284-Q284)</f>
        <v/>
      </c>
      <c r="T284" s="70">
        <f>IF($A284="","",SUMIFS($B$5:$B$800,$A$5:$A$800,"&gt;="&amp;DATE(YEAR($A284),MONTH($A284),1),$A$5:$A$800,"&lt;="&amp;$A284)+IF(AND(YEAR($A284)=YEAR(Settings!$B$3),MONTH($A284)=MONTH(Settings!$B$3)),Settings!$B$6,0))</f>
        <v/>
      </c>
      <c r="U284" s="71">
        <f>IF($A284="","",SUMIFS($J$5:$J$800,$A$5:$A$800,"&gt;="&amp;DATE(YEAR($A284),MONTH($A284),1),$A$5:$A$800,"&lt;="&amp;$A284)+IF(AND(YEAR($A284)=YEAR(Settings!$B$3),MONTH($A284)=MONTH(Settings!$B$3)),Settings!$B$7,0))</f>
        <v/>
      </c>
      <c r="V284" s="70">
        <f>IF($A284="","",Settings!$B$8+SUM($B$5:B284))</f>
        <v/>
      </c>
      <c r="W284" s="71">
        <f>IF($A284="","",Settings!$B$9+SUM($J$5:J284))</f>
        <v/>
      </c>
      <c r="X284" s="71">
        <f>IF($A284="","",IF(AND(N284&gt;0,F284&gt;0),ROUND(F284/N284,0),X283))</f>
        <v/>
      </c>
      <c r="Y284" s="74">
        <f>IF($A284="","",IF(AND(M284&gt;0,L284&gt;0),ROUND(L284/M284,0),IF(AND(J284&gt;0,B284&gt;0),ROUND(B284/J284,0),Y283)))</f>
        <v/>
      </c>
    </row>
    <row r="285">
      <c r="A285" s="67" t="n"/>
      <c r="B285" s="68" t="n"/>
      <c r="C285" s="69" t="n"/>
      <c r="D285" s="68" t="n"/>
      <c r="E285" s="69" t="n"/>
      <c r="F285" s="68" t="n"/>
      <c r="G285" s="69" t="n"/>
      <c r="H285" s="68" t="n"/>
      <c r="I285" s="70">
        <f>IF($A285="","",R284)</f>
        <v/>
      </c>
      <c r="J285" s="71">
        <f>IF($A285="","",IF(C285="",0,C285))</f>
        <v/>
      </c>
      <c r="K285" s="71">
        <f>IF($A285="","",IF(E285="",0,E285))</f>
        <v/>
      </c>
      <c r="L285" s="70">
        <f>IF($A285="","",B285-D285)</f>
        <v/>
      </c>
      <c r="M285" s="71">
        <f>IF($A285="","",J285-K285)</f>
        <v/>
      </c>
      <c r="N285" s="71">
        <f>IF($A285="","",IF(G285="",0,G285))</f>
        <v/>
      </c>
      <c r="O285" s="70">
        <f>IF($A285="","",D285+F285)</f>
        <v/>
      </c>
      <c r="P285" s="71">
        <f>IF($A285="","",K285+N285)</f>
        <v/>
      </c>
      <c r="Q285" s="70">
        <f>IF($A285="","",I285+L285-F285)</f>
        <v/>
      </c>
      <c r="R285" s="72">
        <f>IF($A285="","",IF(H285="",Q285,H285))</f>
        <v/>
      </c>
      <c r="S285" s="73">
        <f>IF($A285="","",R285-Q285)</f>
        <v/>
      </c>
      <c r="T285" s="70">
        <f>IF($A285="","",SUMIFS($B$5:$B$800,$A$5:$A$800,"&gt;="&amp;DATE(YEAR($A285),MONTH($A285),1),$A$5:$A$800,"&lt;="&amp;$A285)+IF(AND(YEAR($A285)=YEAR(Settings!$B$3),MONTH($A285)=MONTH(Settings!$B$3)),Settings!$B$6,0))</f>
        <v/>
      </c>
      <c r="U285" s="71">
        <f>IF($A285="","",SUMIFS($J$5:$J$800,$A$5:$A$800,"&gt;="&amp;DATE(YEAR($A285),MONTH($A285),1),$A$5:$A$800,"&lt;="&amp;$A285)+IF(AND(YEAR($A285)=YEAR(Settings!$B$3),MONTH($A285)=MONTH(Settings!$B$3)),Settings!$B$7,0))</f>
        <v/>
      </c>
      <c r="V285" s="70">
        <f>IF($A285="","",Settings!$B$8+SUM($B$5:B285))</f>
        <v/>
      </c>
      <c r="W285" s="71">
        <f>IF($A285="","",Settings!$B$9+SUM($J$5:J285))</f>
        <v/>
      </c>
      <c r="X285" s="71">
        <f>IF($A285="","",IF(AND(N285&gt;0,F285&gt;0),ROUND(F285/N285,0),X284))</f>
        <v/>
      </c>
      <c r="Y285" s="74">
        <f>IF($A285="","",IF(AND(M285&gt;0,L285&gt;0),ROUND(L285/M285,0),IF(AND(J285&gt;0,B285&gt;0),ROUND(B285/J285,0),Y284)))</f>
        <v/>
      </c>
    </row>
    <row r="286">
      <c r="A286" s="67" t="n"/>
      <c r="B286" s="68" t="n"/>
      <c r="C286" s="69" t="n"/>
      <c r="D286" s="68" t="n"/>
      <c r="E286" s="69" t="n"/>
      <c r="F286" s="68" t="n"/>
      <c r="G286" s="69" t="n"/>
      <c r="H286" s="68" t="n"/>
      <c r="I286" s="70">
        <f>IF($A286="","",R285)</f>
        <v/>
      </c>
      <c r="J286" s="71">
        <f>IF($A286="","",IF(C286="",0,C286))</f>
        <v/>
      </c>
      <c r="K286" s="71">
        <f>IF($A286="","",IF(E286="",0,E286))</f>
        <v/>
      </c>
      <c r="L286" s="70">
        <f>IF($A286="","",B286-D286)</f>
        <v/>
      </c>
      <c r="M286" s="71">
        <f>IF($A286="","",J286-K286)</f>
        <v/>
      </c>
      <c r="N286" s="71">
        <f>IF($A286="","",IF(G286="",0,G286))</f>
        <v/>
      </c>
      <c r="O286" s="70">
        <f>IF($A286="","",D286+F286)</f>
        <v/>
      </c>
      <c r="P286" s="71">
        <f>IF($A286="","",K286+N286)</f>
        <v/>
      </c>
      <c r="Q286" s="70">
        <f>IF($A286="","",I286+L286-F286)</f>
        <v/>
      </c>
      <c r="R286" s="72">
        <f>IF($A286="","",IF(H286="",Q286,H286))</f>
        <v/>
      </c>
      <c r="S286" s="73">
        <f>IF($A286="","",R286-Q286)</f>
        <v/>
      </c>
      <c r="T286" s="70">
        <f>IF($A286="","",SUMIFS($B$5:$B$800,$A$5:$A$800,"&gt;="&amp;DATE(YEAR($A286),MONTH($A286),1),$A$5:$A$800,"&lt;="&amp;$A286)+IF(AND(YEAR($A286)=YEAR(Settings!$B$3),MONTH($A286)=MONTH(Settings!$B$3)),Settings!$B$6,0))</f>
        <v/>
      </c>
      <c r="U286" s="71">
        <f>IF($A286="","",SUMIFS($J$5:$J$800,$A$5:$A$800,"&gt;="&amp;DATE(YEAR($A286),MONTH($A286),1),$A$5:$A$800,"&lt;="&amp;$A286)+IF(AND(YEAR($A286)=YEAR(Settings!$B$3),MONTH($A286)=MONTH(Settings!$B$3)),Settings!$B$7,0))</f>
        <v/>
      </c>
      <c r="V286" s="70">
        <f>IF($A286="","",Settings!$B$8+SUM($B$5:B286))</f>
        <v/>
      </c>
      <c r="W286" s="71">
        <f>IF($A286="","",Settings!$B$9+SUM($J$5:J286))</f>
        <v/>
      </c>
      <c r="X286" s="71">
        <f>IF($A286="","",IF(AND(N286&gt;0,F286&gt;0),ROUND(F286/N286,0),X285))</f>
        <v/>
      </c>
      <c r="Y286" s="74">
        <f>IF($A286="","",IF(AND(M286&gt;0,L286&gt;0),ROUND(L286/M286,0),IF(AND(J286&gt;0,B286&gt;0),ROUND(B286/J286,0),Y285)))</f>
        <v/>
      </c>
    </row>
    <row r="287">
      <c r="A287" s="67" t="n"/>
      <c r="B287" s="68" t="n"/>
      <c r="C287" s="69" t="n"/>
      <c r="D287" s="68" t="n"/>
      <c r="E287" s="69" t="n"/>
      <c r="F287" s="68" t="n"/>
      <c r="G287" s="69" t="n"/>
      <c r="H287" s="68" t="n"/>
      <c r="I287" s="70">
        <f>IF($A287="","",R286)</f>
        <v/>
      </c>
      <c r="J287" s="71">
        <f>IF($A287="","",IF(C287="",0,C287))</f>
        <v/>
      </c>
      <c r="K287" s="71">
        <f>IF($A287="","",IF(E287="",0,E287))</f>
        <v/>
      </c>
      <c r="L287" s="70">
        <f>IF($A287="","",B287-D287)</f>
        <v/>
      </c>
      <c r="M287" s="71">
        <f>IF($A287="","",J287-K287)</f>
        <v/>
      </c>
      <c r="N287" s="71">
        <f>IF($A287="","",IF(G287="",0,G287))</f>
        <v/>
      </c>
      <c r="O287" s="70">
        <f>IF($A287="","",D287+F287)</f>
        <v/>
      </c>
      <c r="P287" s="71">
        <f>IF($A287="","",K287+N287)</f>
        <v/>
      </c>
      <c r="Q287" s="70">
        <f>IF($A287="","",I287+L287-F287)</f>
        <v/>
      </c>
      <c r="R287" s="72">
        <f>IF($A287="","",IF(H287="",Q287,H287))</f>
        <v/>
      </c>
      <c r="S287" s="73">
        <f>IF($A287="","",R287-Q287)</f>
        <v/>
      </c>
      <c r="T287" s="70">
        <f>IF($A287="","",SUMIFS($B$5:$B$800,$A$5:$A$800,"&gt;="&amp;DATE(YEAR($A287),MONTH($A287),1),$A$5:$A$800,"&lt;="&amp;$A287)+IF(AND(YEAR($A287)=YEAR(Settings!$B$3),MONTH($A287)=MONTH(Settings!$B$3)),Settings!$B$6,0))</f>
        <v/>
      </c>
      <c r="U287" s="71">
        <f>IF($A287="","",SUMIFS($J$5:$J$800,$A$5:$A$800,"&gt;="&amp;DATE(YEAR($A287),MONTH($A287),1),$A$5:$A$800,"&lt;="&amp;$A287)+IF(AND(YEAR($A287)=YEAR(Settings!$B$3),MONTH($A287)=MONTH(Settings!$B$3)),Settings!$B$7,0))</f>
        <v/>
      </c>
      <c r="V287" s="70">
        <f>IF($A287="","",Settings!$B$8+SUM($B$5:B287))</f>
        <v/>
      </c>
      <c r="W287" s="71">
        <f>IF($A287="","",Settings!$B$9+SUM($J$5:J287))</f>
        <v/>
      </c>
      <c r="X287" s="71">
        <f>IF($A287="","",IF(AND(N287&gt;0,F287&gt;0),ROUND(F287/N287,0),X286))</f>
        <v/>
      </c>
      <c r="Y287" s="74">
        <f>IF($A287="","",IF(AND(M287&gt;0,L287&gt;0),ROUND(L287/M287,0),IF(AND(J287&gt;0,B287&gt;0),ROUND(B287/J287,0),Y286)))</f>
        <v/>
      </c>
    </row>
    <row r="288">
      <c r="A288" s="67" t="n"/>
      <c r="B288" s="68" t="n"/>
      <c r="C288" s="69" t="n"/>
      <c r="D288" s="68" t="n"/>
      <c r="E288" s="69" t="n"/>
      <c r="F288" s="68" t="n"/>
      <c r="G288" s="69" t="n"/>
      <c r="H288" s="68" t="n"/>
      <c r="I288" s="70">
        <f>IF($A288="","",R287)</f>
        <v/>
      </c>
      <c r="J288" s="71">
        <f>IF($A288="","",IF(C288="",0,C288))</f>
        <v/>
      </c>
      <c r="K288" s="71">
        <f>IF($A288="","",IF(E288="",0,E288))</f>
        <v/>
      </c>
      <c r="L288" s="70">
        <f>IF($A288="","",B288-D288)</f>
        <v/>
      </c>
      <c r="M288" s="71">
        <f>IF($A288="","",J288-K288)</f>
        <v/>
      </c>
      <c r="N288" s="71">
        <f>IF($A288="","",IF(G288="",0,G288))</f>
        <v/>
      </c>
      <c r="O288" s="70">
        <f>IF($A288="","",D288+F288)</f>
        <v/>
      </c>
      <c r="P288" s="71">
        <f>IF($A288="","",K288+N288)</f>
        <v/>
      </c>
      <c r="Q288" s="70">
        <f>IF($A288="","",I288+L288-F288)</f>
        <v/>
      </c>
      <c r="R288" s="72">
        <f>IF($A288="","",IF(H288="",Q288,H288))</f>
        <v/>
      </c>
      <c r="S288" s="73">
        <f>IF($A288="","",R288-Q288)</f>
        <v/>
      </c>
      <c r="T288" s="70">
        <f>IF($A288="","",SUMIFS($B$5:$B$800,$A$5:$A$800,"&gt;="&amp;DATE(YEAR($A288),MONTH($A288),1),$A$5:$A$800,"&lt;="&amp;$A288)+IF(AND(YEAR($A288)=YEAR(Settings!$B$3),MONTH($A288)=MONTH(Settings!$B$3)),Settings!$B$6,0))</f>
        <v/>
      </c>
      <c r="U288" s="71">
        <f>IF($A288="","",SUMIFS($J$5:$J$800,$A$5:$A$800,"&gt;="&amp;DATE(YEAR($A288),MONTH($A288),1),$A$5:$A$800,"&lt;="&amp;$A288)+IF(AND(YEAR($A288)=YEAR(Settings!$B$3),MONTH($A288)=MONTH(Settings!$B$3)),Settings!$B$7,0))</f>
        <v/>
      </c>
      <c r="V288" s="70">
        <f>IF($A288="","",Settings!$B$8+SUM($B$5:B288))</f>
        <v/>
      </c>
      <c r="W288" s="71">
        <f>IF($A288="","",Settings!$B$9+SUM($J$5:J288))</f>
        <v/>
      </c>
      <c r="X288" s="71">
        <f>IF($A288="","",IF(AND(N288&gt;0,F288&gt;0),ROUND(F288/N288,0),X287))</f>
        <v/>
      </c>
      <c r="Y288" s="74">
        <f>IF($A288="","",IF(AND(M288&gt;0,L288&gt;0),ROUND(L288/M288,0),IF(AND(J288&gt;0,B288&gt;0),ROUND(B288/J288,0),Y287)))</f>
        <v/>
      </c>
    </row>
    <row r="289">
      <c r="A289" s="67" t="n"/>
      <c r="B289" s="68" t="n"/>
      <c r="C289" s="69" t="n"/>
      <c r="D289" s="68" t="n"/>
      <c r="E289" s="69" t="n"/>
      <c r="F289" s="68" t="n"/>
      <c r="G289" s="69" t="n"/>
      <c r="H289" s="68" t="n"/>
      <c r="I289" s="70">
        <f>IF($A289="","",R288)</f>
        <v/>
      </c>
      <c r="J289" s="71">
        <f>IF($A289="","",IF(C289="",0,C289))</f>
        <v/>
      </c>
      <c r="K289" s="71">
        <f>IF($A289="","",IF(E289="",0,E289))</f>
        <v/>
      </c>
      <c r="L289" s="70">
        <f>IF($A289="","",B289-D289)</f>
        <v/>
      </c>
      <c r="M289" s="71">
        <f>IF($A289="","",J289-K289)</f>
        <v/>
      </c>
      <c r="N289" s="71">
        <f>IF($A289="","",IF(G289="",0,G289))</f>
        <v/>
      </c>
      <c r="O289" s="70">
        <f>IF($A289="","",D289+F289)</f>
        <v/>
      </c>
      <c r="P289" s="71">
        <f>IF($A289="","",K289+N289)</f>
        <v/>
      </c>
      <c r="Q289" s="70">
        <f>IF($A289="","",I289+L289-F289)</f>
        <v/>
      </c>
      <c r="R289" s="72">
        <f>IF($A289="","",IF(H289="",Q289,H289))</f>
        <v/>
      </c>
      <c r="S289" s="73">
        <f>IF($A289="","",R289-Q289)</f>
        <v/>
      </c>
      <c r="T289" s="70">
        <f>IF($A289="","",SUMIFS($B$5:$B$800,$A$5:$A$800,"&gt;="&amp;DATE(YEAR($A289),MONTH($A289),1),$A$5:$A$800,"&lt;="&amp;$A289)+IF(AND(YEAR($A289)=YEAR(Settings!$B$3),MONTH($A289)=MONTH(Settings!$B$3)),Settings!$B$6,0))</f>
        <v/>
      </c>
      <c r="U289" s="71">
        <f>IF($A289="","",SUMIFS($J$5:$J$800,$A$5:$A$800,"&gt;="&amp;DATE(YEAR($A289),MONTH($A289),1),$A$5:$A$800,"&lt;="&amp;$A289)+IF(AND(YEAR($A289)=YEAR(Settings!$B$3),MONTH($A289)=MONTH(Settings!$B$3)),Settings!$B$7,0))</f>
        <v/>
      </c>
      <c r="V289" s="70">
        <f>IF($A289="","",Settings!$B$8+SUM($B$5:B289))</f>
        <v/>
      </c>
      <c r="W289" s="71">
        <f>IF($A289="","",Settings!$B$9+SUM($J$5:J289))</f>
        <v/>
      </c>
      <c r="X289" s="71">
        <f>IF($A289="","",IF(AND(N289&gt;0,F289&gt;0),ROUND(F289/N289,0),X288))</f>
        <v/>
      </c>
      <c r="Y289" s="74">
        <f>IF($A289="","",IF(AND(M289&gt;0,L289&gt;0),ROUND(L289/M289,0),IF(AND(J289&gt;0,B289&gt;0),ROUND(B289/J289,0),Y288)))</f>
        <v/>
      </c>
    </row>
    <row r="290">
      <c r="A290" s="67" t="n"/>
      <c r="B290" s="68" t="n"/>
      <c r="C290" s="69" t="n"/>
      <c r="D290" s="68" t="n"/>
      <c r="E290" s="69" t="n"/>
      <c r="F290" s="68" t="n"/>
      <c r="G290" s="69" t="n"/>
      <c r="H290" s="68" t="n"/>
      <c r="I290" s="70">
        <f>IF($A290="","",R289)</f>
        <v/>
      </c>
      <c r="J290" s="71">
        <f>IF($A290="","",IF(C290="",0,C290))</f>
        <v/>
      </c>
      <c r="K290" s="71">
        <f>IF($A290="","",IF(E290="",0,E290))</f>
        <v/>
      </c>
      <c r="L290" s="70">
        <f>IF($A290="","",B290-D290)</f>
        <v/>
      </c>
      <c r="M290" s="71">
        <f>IF($A290="","",J290-K290)</f>
        <v/>
      </c>
      <c r="N290" s="71">
        <f>IF($A290="","",IF(G290="",0,G290))</f>
        <v/>
      </c>
      <c r="O290" s="70">
        <f>IF($A290="","",D290+F290)</f>
        <v/>
      </c>
      <c r="P290" s="71">
        <f>IF($A290="","",K290+N290)</f>
        <v/>
      </c>
      <c r="Q290" s="70">
        <f>IF($A290="","",I290+L290-F290)</f>
        <v/>
      </c>
      <c r="R290" s="72">
        <f>IF($A290="","",IF(H290="",Q290,H290))</f>
        <v/>
      </c>
      <c r="S290" s="73">
        <f>IF($A290="","",R290-Q290)</f>
        <v/>
      </c>
      <c r="T290" s="70">
        <f>IF($A290="","",SUMIFS($B$5:$B$800,$A$5:$A$800,"&gt;="&amp;DATE(YEAR($A290),MONTH($A290),1),$A$5:$A$800,"&lt;="&amp;$A290)+IF(AND(YEAR($A290)=YEAR(Settings!$B$3),MONTH($A290)=MONTH(Settings!$B$3)),Settings!$B$6,0))</f>
        <v/>
      </c>
      <c r="U290" s="71">
        <f>IF($A290="","",SUMIFS($J$5:$J$800,$A$5:$A$800,"&gt;="&amp;DATE(YEAR($A290),MONTH($A290),1),$A$5:$A$800,"&lt;="&amp;$A290)+IF(AND(YEAR($A290)=YEAR(Settings!$B$3),MONTH($A290)=MONTH(Settings!$B$3)),Settings!$B$7,0))</f>
        <v/>
      </c>
      <c r="V290" s="70">
        <f>IF($A290="","",Settings!$B$8+SUM($B$5:B290))</f>
        <v/>
      </c>
      <c r="W290" s="71">
        <f>IF($A290="","",Settings!$B$9+SUM($J$5:J290))</f>
        <v/>
      </c>
      <c r="X290" s="71">
        <f>IF($A290="","",IF(AND(N290&gt;0,F290&gt;0),ROUND(F290/N290,0),X289))</f>
        <v/>
      </c>
      <c r="Y290" s="74">
        <f>IF($A290="","",IF(AND(M290&gt;0,L290&gt;0),ROUND(L290/M290,0),IF(AND(J290&gt;0,B290&gt;0),ROUND(B290/J290,0),Y289)))</f>
        <v/>
      </c>
    </row>
    <row r="291">
      <c r="A291" s="67" t="n"/>
      <c r="B291" s="68" t="n"/>
      <c r="C291" s="69" t="n"/>
      <c r="D291" s="68" t="n"/>
      <c r="E291" s="69" t="n"/>
      <c r="F291" s="68" t="n"/>
      <c r="G291" s="69" t="n"/>
      <c r="H291" s="68" t="n"/>
      <c r="I291" s="70">
        <f>IF($A291="","",R290)</f>
        <v/>
      </c>
      <c r="J291" s="71">
        <f>IF($A291="","",IF(C291="",0,C291))</f>
        <v/>
      </c>
      <c r="K291" s="71">
        <f>IF($A291="","",IF(E291="",0,E291))</f>
        <v/>
      </c>
      <c r="L291" s="70">
        <f>IF($A291="","",B291-D291)</f>
        <v/>
      </c>
      <c r="M291" s="71">
        <f>IF($A291="","",J291-K291)</f>
        <v/>
      </c>
      <c r="N291" s="71">
        <f>IF($A291="","",IF(G291="",0,G291))</f>
        <v/>
      </c>
      <c r="O291" s="70">
        <f>IF($A291="","",D291+F291)</f>
        <v/>
      </c>
      <c r="P291" s="71">
        <f>IF($A291="","",K291+N291)</f>
        <v/>
      </c>
      <c r="Q291" s="70">
        <f>IF($A291="","",I291+L291-F291)</f>
        <v/>
      </c>
      <c r="R291" s="72">
        <f>IF($A291="","",IF(H291="",Q291,H291))</f>
        <v/>
      </c>
      <c r="S291" s="73">
        <f>IF($A291="","",R291-Q291)</f>
        <v/>
      </c>
      <c r="T291" s="70">
        <f>IF($A291="","",SUMIFS($B$5:$B$800,$A$5:$A$800,"&gt;="&amp;DATE(YEAR($A291),MONTH($A291),1),$A$5:$A$800,"&lt;="&amp;$A291)+IF(AND(YEAR($A291)=YEAR(Settings!$B$3),MONTH($A291)=MONTH(Settings!$B$3)),Settings!$B$6,0))</f>
        <v/>
      </c>
      <c r="U291" s="71">
        <f>IF($A291="","",SUMIFS($J$5:$J$800,$A$5:$A$800,"&gt;="&amp;DATE(YEAR($A291),MONTH($A291),1),$A$5:$A$800,"&lt;="&amp;$A291)+IF(AND(YEAR($A291)=YEAR(Settings!$B$3),MONTH($A291)=MONTH(Settings!$B$3)),Settings!$B$7,0))</f>
        <v/>
      </c>
      <c r="V291" s="70">
        <f>IF($A291="","",Settings!$B$8+SUM($B$5:B291))</f>
        <v/>
      </c>
      <c r="W291" s="71">
        <f>IF($A291="","",Settings!$B$9+SUM($J$5:J291))</f>
        <v/>
      </c>
      <c r="X291" s="71">
        <f>IF($A291="","",IF(AND(N291&gt;0,F291&gt;0),ROUND(F291/N291,0),X290))</f>
        <v/>
      </c>
      <c r="Y291" s="74">
        <f>IF($A291="","",IF(AND(M291&gt;0,L291&gt;0),ROUND(L291/M291,0),IF(AND(J291&gt;0,B291&gt;0),ROUND(B291/J291,0),Y290)))</f>
        <v/>
      </c>
    </row>
    <row r="292">
      <c r="A292" s="67" t="n"/>
      <c r="B292" s="68" t="n"/>
      <c r="C292" s="69" t="n"/>
      <c r="D292" s="68" t="n"/>
      <c r="E292" s="69" t="n"/>
      <c r="F292" s="68" t="n"/>
      <c r="G292" s="69" t="n"/>
      <c r="H292" s="68" t="n"/>
      <c r="I292" s="70">
        <f>IF($A292="","",R291)</f>
        <v/>
      </c>
      <c r="J292" s="71">
        <f>IF($A292="","",IF(C292="",0,C292))</f>
        <v/>
      </c>
      <c r="K292" s="71">
        <f>IF($A292="","",IF(E292="",0,E292))</f>
        <v/>
      </c>
      <c r="L292" s="70">
        <f>IF($A292="","",B292-D292)</f>
        <v/>
      </c>
      <c r="M292" s="71">
        <f>IF($A292="","",J292-K292)</f>
        <v/>
      </c>
      <c r="N292" s="71">
        <f>IF($A292="","",IF(G292="",0,G292))</f>
        <v/>
      </c>
      <c r="O292" s="70">
        <f>IF($A292="","",D292+F292)</f>
        <v/>
      </c>
      <c r="P292" s="71">
        <f>IF($A292="","",K292+N292)</f>
        <v/>
      </c>
      <c r="Q292" s="70">
        <f>IF($A292="","",I292+L292-F292)</f>
        <v/>
      </c>
      <c r="R292" s="72">
        <f>IF($A292="","",IF(H292="",Q292,H292))</f>
        <v/>
      </c>
      <c r="S292" s="73">
        <f>IF($A292="","",R292-Q292)</f>
        <v/>
      </c>
      <c r="T292" s="70">
        <f>IF($A292="","",SUMIFS($B$5:$B$800,$A$5:$A$800,"&gt;="&amp;DATE(YEAR($A292),MONTH($A292),1),$A$5:$A$800,"&lt;="&amp;$A292)+IF(AND(YEAR($A292)=YEAR(Settings!$B$3),MONTH($A292)=MONTH(Settings!$B$3)),Settings!$B$6,0))</f>
        <v/>
      </c>
      <c r="U292" s="71">
        <f>IF($A292="","",SUMIFS($J$5:$J$800,$A$5:$A$800,"&gt;="&amp;DATE(YEAR($A292),MONTH($A292),1),$A$5:$A$800,"&lt;="&amp;$A292)+IF(AND(YEAR($A292)=YEAR(Settings!$B$3),MONTH($A292)=MONTH(Settings!$B$3)),Settings!$B$7,0))</f>
        <v/>
      </c>
      <c r="V292" s="70">
        <f>IF($A292="","",Settings!$B$8+SUM($B$5:B292))</f>
        <v/>
      </c>
      <c r="W292" s="71">
        <f>IF($A292="","",Settings!$B$9+SUM($J$5:J292))</f>
        <v/>
      </c>
      <c r="X292" s="71">
        <f>IF($A292="","",IF(AND(N292&gt;0,F292&gt;0),ROUND(F292/N292,0),X291))</f>
        <v/>
      </c>
      <c r="Y292" s="74">
        <f>IF($A292="","",IF(AND(M292&gt;0,L292&gt;0),ROUND(L292/M292,0),IF(AND(J292&gt;0,B292&gt;0),ROUND(B292/J292,0),Y291)))</f>
        <v/>
      </c>
    </row>
    <row r="293">
      <c r="A293" s="67" t="n"/>
      <c r="B293" s="68" t="n"/>
      <c r="C293" s="69" t="n"/>
      <c r="D293" s="68" t="n"/>
      <c r="E293" s="69" t="n"/>
      <c r="F293" s="68" t="n"/>
      <c r="G293" s="69" t="n"/>
      <c r="H293" s="68" t="n"/>
      <c r="I293" s="70">
        <f>IF($A293="","",R292)</f>
        <v/>
      </c>
      <c r="J293" s="71">
        <f>IF($A293="","",IF(C293="",0,C293))</f>
        <v/>
      </c>
      <c r="K293" s="71">
        <f>IF($A293="","",IF(E293="",0,E293))</f>
        <v/>
      </c>
      <c r="L293" s="70">
        <f>IF($A293="","",B293-D293)</f>
        <v/>
      </c>
      <c r="M293" s="71">
        <f>IF($A293="","",J293-K293)</f>
        <v/>
      </c>
      <c r="N293" s="71">
        <f>IF($A293="","",IF(G293="",0,G293))</f>
        <v/>
      </c>
      <c r="O293" s="70">
        <f>IF($A293="","",D293+F293)</f>
        <v/>
      </c>
      <c r="P293" s="71">
        <f>IF($A293="","",K293+N293)</f>
        <v/>
      </c>
      <c r="Q293" s="70">
        <f>IF($A293="","",I293+L293-F293)</f>
        <v/>
      </c>
      <c r="R293" s="72">
        <f>IF($A293="","",IF(H293="",Q293,H293))</f>
        <v/>
      </c>
      <c r="S293" s="73">
        <f>IF($A293="","",R293-Q293)</f>
        <v/>
      </c>
      <c r="T293" s="70">
        <f>IF($A293="","",SUMIFS($B$5:$B$800,$A$5:$A$800,"&gt;="&amp;DATE(YEAR($A293),MONTH($A293),1),$A$5:$A$800,"&lt;="&amp;$A293)+IF(AND(YEAR($A293)=YEAR(Settings!$B$3),MONTH($A293)=MONTH(Settings!$B$3)),Settings!$B$6,0))</f>
        <v/>
      </c>
      <c r="U293" s="71">
        <f>IF($A293="","",SUMIFS($J$5:$J$800,$A$5:$A$800,"&gt;="&amp;DATE(YEAR($A293),MONTH($A293),1),$A$5:$A$800,"&lt;="&amp;$A293)+IF(AND(YEAR($A293)=YEAR(Settings!$B$3),MONTH($A293)=MONTH(Settings!$B$3)),Settings!$B$7,0))</f>
        <v/>
      </c>
      <c r="V293" s="70">
        <f>IF($A293="","",Settings!$B$8+SUM($B$5:B293))</f>
        <v/>
      </c>
      <c r="W293" s="71">
        <f>IF($A293="","",Settings!$B$9+SUM($J$5:J293))</f>
        <v/>
      </c>
      <c r="X293" s="71">
        <f>IF($A293="","",IF(AND(N293&gt;0,F293&gt;0),ROUND(F293/N293,0),X292))</f>
        <v/>
      </c>
      <c r="Y293" s="74">
        <f>IF($A293="","",IF(AND(M293&gt;0,L293&gt;0),ROUND(L293/M293,0),IF(AND(J293&gt;0,B293&gt;0),ROUND(B293/J293,0),Y292)))</f>
        <v/>
      </c>
    </row>
    <row r="294">
      <c r="A294" s="67" t="n"/>
      <c r="B294" s="68" t="n"/>
      <c r="C294" s="69" t="n"/>
      <c r="D294" s="68" t="n"/>
      <c r="E294" s="69" t="n"/>
      <c r="F294" s="68" t="n"/>
      <c r="G294" s="69" t="n"/>
      <c r="H294" s="68" t="n"/>
      <c r="I294" s="70">
        <f>IF($A294="","",R293)</f>
        <v/>
      </c>
      <c r="J294" s="71">
        <f>IF($A294="","",IF(C294="",0,C294))</f>
        <v/>
      </c>
      <c r="K294" s="71">
        <f>IF($A294="","",IF(E294="",0,E294))</f>
        <v/>
      </c>
      <c r="L294" s="70">
        <f>IF($A294="","",B294-D294)</f>
        <v/>
      </c>
      <c r="M294" s="71">
        <f>IF($A294="","",J294-K294)</f>
        <v/>
      </c>
      <c r="N294" s="71">
        <f>IF($A294="","",IF(G294="",0,G294))</f>
        <v/>
      </c>
      <c r="O294" s="70">
        <f>IF($A294="","",D294+F294)</f>
        <v/>
      </c>
      <c r="P294" s="71">
        <f>IF($A294="","",K294+N294)</f>
        <v/>
      </c>
      <c r="Q294" s="70">
        <f>IF($A294="","",I294+L294-F294)</f>
        <v/>
      </c>
      <c r="R294" s="72">
        <f>IF($A294="","",IF(H294="",Q294,H294))</f>
        <v/>
      </c>
      <c r="S294" s="73">
        <f>IF($A294="","",R294-Q294)</f>
        <v/>
      </c>
      <c r="T294" s="70">
        <f>IF($A294="","",SUMIFS($B$5:$B$800,$A$5:$A$800,"&gt;="&amp;DATE(YEAR($A294),MONTH($A294),1),$A$5:$A$800,"&lt;="&amp;$A294)+IF(AND(YEAR($A294)=YEAR(Settings!$B$3),MONTH($A294)=MONTH(Settings!$B$3)),Settings!$B$6,0))</f>
        <v/>
      </c>
      <c r="U294" s="71">
        <f>IF($A294="","",SUMIFS($J$5:$J$800,$A$5:$A$800,"&gt;="&amp;DATE(YEAR($A294),MONTH($A294),1),$A$5:$A$800,"&lt;="&amp;$A294)+IF(AND(YEAR($A294)=YEAR(Settings!$B$3),MONTH($A294)=MONTH(Settings!$B$3)),Settings!$B$7,0))</f>
        <v/>
      </c>
      <c r="V294" s="70">
        <f>IF($A294="","",Settings!$B$8+SUM($B$5:B294))</f>
        <v/>
      </c>
      <c r="W294" s="71">
        <f>IF($A294="","",Settings!$B$9+SUM($J$5:J294))</f>
        <v/>
      </c>
      <c r="X294" s="71">
        <f>IF($A294="","",IF(AND(N294&gt;0,F294&gt;0),ROUND(F294/N294,0),X293))</f>
        <v/>
      </c>
      <c r="Y294" s="74">
        <f>IF($A294="","",IF(AND(M294&gt;0,L294&gt;0),ROUND(L294/M294,0),IF(AND(J294&gt;0,B294&gt;0),ROUND(B294/J294,0),Y293)))</f>
        <v/>
      </c>
    </row>
    <row r="295">
      <c r="A295" s="67" t="n"/>
      <c r="B295" s="68" t="n"/>
      <c r="C295" s="69" t="n"/>
      <c r="D295" s="68" t="n"/>
      <c r="E295" s="69" t="n"/>
      <c r="F295" s="68" t="n"/>
      <c r="G295" s="69" t="n"/>
      <c r="H295" s="68" t="n"/>
      <c r="I295" s="70">
        <f>IF($A295="","",R294)</f>
        <v/>
      </c>
      <c r="J295" s="71">
        <f>IF($A295="","",IF(C295="",0,C295))</f>
        <v/>
      </c>
      <c r="K295" s="71">
        <f>IF($A295="","",IF(E295="",0,E295))</f>
        <v/>
      </c>
      <c r="L295" s="70">
        <f>IF($A295="","",B295-D295)</f>
        <v/>
      </c>
      <c r="M295" s="71">
        <f>IF($A295="","",J295-K295)</f>
        <v/>
      </c>
      <c r="N295" s="71">
        <f>IF($A295="","",IF(G295="",0,G295))</f>
        <v/>
      </c>
      <c r="O295" s="70">
        <f>IF($A295="","",D295+F295)</f>
        <v/>
      </c>
      <c r="P295" s="71">
        <f>IF($A295="","",K295+N295)</f>
        <v/>
      </c>
      <c r="Q295" s="70">
        <f>IF($A295="","",I295+L295-F295)</f>
        <v/>
      </c>
      <c r="R295" s="72">
        <f>IF($A295="","",IF(H295="",Q295,H295))</f>
        <v/>
      </c>
      <c r="S295" s="73">
        <f>IF($A295="","",R295-Q295)</f>
        <v/>
      </c>
      <c r="T295" s="70">
        <f>IF($A295="","",SUMIFS($B$5:$B$800,$A$5:$A$800,"&gt;="&amp;DATE(YEAR($A295),MONTH($A295),1),$A$5:$A$800,"&lt;="&amp;$A295)+IF(AND(YEAR($A295)=YEAR(Settings!$B$3),MONTH($A295)=MONTH(Settings!$B$3)),Settings!$B$6,0))</f>
        <v/>
      </c>
      <c r="U295" s="71">
        <f>IF($A295="","",SUMIFS($J$5:$J$800,$A$5:$A$800,"&gt;="&amp;DATE(YEAR($A295),MONTH($A295),1),$A$5:$A$800,"&lt;="&amp;$A295)+IF(AND(YEAR($A295)=YEAR(Settings!$B$3),MONTH($A295)=MONTH(Settings!$B$3)),Settings!$B$7,0))</f>
        <v/>
      </c>
      <c r="V295" s="70">
        <f>IF($A295="","",Settings!$B$8+SUM($B$5:B295))</f>
        <v/>
      </c>
      <c r="W295" s="71">
        <f>IF($A295="","",Settings!$B$9+SUM($J$5:J295))</f>
        <v/>
      </c>
      <c r="X295" s="71">
        <f>IF($A295="","",IF(AND(N295&gt;0,F295&gt;0),ROUND(F295/N295,0),X294))</f>
        <v/>
      </c>
      <c r="Y295" s="74">
        <f>IF($A295="","",IF(AND(M295&gt;0,L295&gt;0),ROUND(L295/M295,0),IF(AND(J295&gt;0,B295&gt;0),ROUND(B295/J295,0),Y294)))</f>
        <v/>
      </c>
    </row>
    <row r="296">
      <c r="A296" s="67" t="n"/>
      <c r="B296" s="68" t="n"/>
      <c r="C296" s="69" t="n"/>
      <c r="D296" s="68" t="n"/>
      <c r="E296" s="69" t="n"/>
      <c r="F296" s="68" t="n"/>
      <c r="G296" s="69" t="n"/>
      <c r="H296" s="68" t="n"/>
      <c r="I296" s="70">
        <f>IF($A296="","",R295)</f>
        <v/>
      </c>
      <c r="J296" s="71">
        <f>IF($A296="","",IF(C296="",0,C296))</f>
        <v/>
      </c>
      <c r="K296" s="71">
        <f>IF($A296="","",IF(E296="",0,E296))</f>
        <v/>
      </c>
      <c r="L296" s="70">
        <f>IF($A296="","",B296-D296)</f>
        <v/>
      </c>
      <c r="M296" s="71">
        <f>IF($A296="","",J296-K296)</f>
        <v/>
      </c>
      <c r="N296" s="71">
        <f>IF($A296="","",IF(G296="",0,G296))</f>
        <v/>
      </c>
      <c r="O296" s="70">
        <f>IF($A296="","",D296+F296)</f>
        <v/>
      </c>
      <c r="P296" s="71">
        <f>IF($A296="","",K296+N296)</f>
        <v/>
      </c>
      <c r="Q296" s="70">
        <f>IF($A296="","",I296+L296-F296)</f>
        <v/>
      </c>
      <c r="R296" s="72">
        <f>IF($A296="","",IF(H296="",Q296,H296))</f>
        <v/>
      </c>
      <c r="S296" s="73">
        <f>IF($A296="","",R296-Q296)</f>
        <v/>
      </c>
      <c r="T296" s="70">
        <f>IF($A296="","",SUMIFS($B$5:$B$800,$A$5:$A$800,"&gt;="&amp;DATE(YEAR($A296),MONTH($A296),1),$A$5:$A$800,"&lt;="&amp;$A296)+IF(AND(YEAR($A296)=YEAR(Settings!$B$3),MONTH($A296)=MONTH(Settings!$B$3)),Settings!$B$6,0))</f>
        <v/>
      </c>
      <c r="U296" s="71">
        <f>IF($A296="","",SUMIFS($J$5:$J$800,$A$5:$A$800,"&gt;="&amp;DATE(YEAR($A296),MONTH($A296),1),$A$5:$A$800,"&lt;="&amp;$A296)+IF(AND(YEAR($A296)=YEAR(Settings!$B$3),MONTH($A296)=MONTH(Settings!$B$3)),Settings!$B$7,0))</f>
        <v/>
      </c>
      <c r="V296" s="70">
        <f>IF($A296="","",Settings!$B$8+SUM($B$5:B296))</f>
        <v/>
      </c>
      <c r="W296" s="71">
        <f>IF($A296="","",Settings!$B$9+SUM($J$5:J296))</f>
        <v/>
      </c>
      <c r="X296" s="71">
        <f>IF($A296="","",IF(AND(N296&gt;0,F296&gt;0),ROUND(F296/N296,0),X295))</f>
        <v/>
      </c>
      <c r="Y296" s="74">
        <f>IF($A296="","",IF(AND(M296&gt;0,L296&gt;0),ROUND(L296/M296,0),IF(AND(J296&gt;0,B296&gt;0),ROUND(B296/J296,0),Y295)))</f>
        <v/>
      </c>
    </row>
    <row r="297">
      <c r="A297" s="67" t="n"/>
      <c r="B297" s="68" t="n"/>
      <c r="C297" s="69" t="n"/>
      <c r="D297" s="68" t="n"/>
      <c r="E297" s="69" t="n"/>
      <c r="F297" s="68" t="n"/>
      <c r="G297" s="69" t="n"/>
      <c r="H297" s="68" t="n"/>
      <c r="I297" s="70">
        <f>IF($A297="","",R296)</f>
        <v/>
      </c>
      <c r="J297" s="71">
        <f>IF($A297="","",IF(C297="",0,C297))</f>
        <v/>
      </c>
      <c r="K297" s="71">
        <f>IF($A297="","",IF(E297="",0,E297))</f>
        <v/>
      </c>
      <c r="L297" s="70">
        <f>IF($A297="","",B297-D297)</f>
        <v/>
      </c>
      <c r="M297" s="71">
        <f>IF($A297="","",J297-K297)</f>
        <v/>
      </c>
      <c r="N297" s="71">
        <f>IF($A297="","",IF(G297="",0,G297))</f>
        <v/>
      </c>
      <c r="O297" s="70">
        <f>IF($A297="","",D297+F297)</f>
        <v/>
      </c>
      <c r="P297" s="71">
        <f>IF($A297="","",K297+N297)</f>
        <v/>
      </c>
      <c r="Q297" s="70">
        <f>IF($A297="","",I297+L297-F297)</f>
        <v/>
      </c>
      <c r="R297" s="72">
        <f>IF($A297="","",IF(H297="",Q297,H297))</f>
        <v/>
      </c>
      <c r="S297" s="73">
        <f>IF($A297="","",R297-Q297)</f>
        <v/>
      </c>
      <c r="T297" s="70">
        <f>IF($A297="","",SUMIFS($B$5:$B$800,$A$5:$A$800,"&gt;="&amp;DATE(YEAR($A297),MONTH($A297),1),$A$5:$A$800,"&lt;="&amp;$A297)+IF(AND(YEAR($A297)=YEAR(Settings!$B$3),MONTH($A297)=MONTH(Settings!$B$3)),Settings!$B$6,0))</f>
        <v/>
      </c>
      <c r="U297" s="71">
        <f>IF($A297="","",SUMIFS($J$5:$J$800,$A$5:$A$800,"&gt;="&amp;DATE(YEAR($A297),MONTH($A297),1),$A$5:$A$800,"&lt;="&amp;$A297)+IF(AND(YEAR($A297)=YEAR(Settings!$B$3),MONTH($A297)=MONTH(Settings!$B$3)),Settings!$B$7,0))</f>
        <v/>
      </c>
      <c r="V297" s="70">
        <f>IF($A297="","",Settings!$B$8+SUM($B$5:B297))</f>
        <v/>
      </c>
      <c r="W297" s="71">
        <f>IF($A297="","",Settings!$B$9+SUM($J$5:J297))</f>
        <v/>
      </c>
      <c r="X297" s="71">
        <f>IF($A297="","",IF(AND(N297&gt;0,F297&gt;0),ROUND(F297/N297,0),X296))</f>
        <v/>
      </c>
      <c r="Y297" s="74">
        <f>IF($A297="","",IF(AND(M297&gt;0,L297&gt;0),ROUND(L297/M297,0),IF(AND(J297&gt;0,B297&gt;0),ROUND(B297/J297,0),Y296)))</f>
        <v/>
      </c>
    </row>
    <row r="298">
      <c r="A298" s="67" t="n"/>
      <c r="B298" s="68" t="n"/>
      <c r="C298" s="69" t="n"/>
      <c r="D298" s="68" t="n"/>
      <c r="E298" s="69" t="n"/>
      <c r="F298" s="68" t="n"/>
      <c r="G298" s="69" t="n"/>
      <c r="H298" s="68" t="n"/>
      <c r="I298" s="70">
        <f>IF($A298="","",R297)</f>
        <v/>
      </c>
      <c r="J298" s="71">
        <f>IF($A298="","",IF(C298="",0,C298))</f>
        <v/>
      </c>
      <c r="K298" s="71">
        <f>IF($A298="","",IF(E298="",0,E298))</f>
        <v/>
      </c>
      <c r="L298" s="70">
        <f>IF($A298="","",B298-D298)</f>
        <v/>
      </c>
      <c r="M298" s="71">
        <f>IF($A298="","",J298-K298)</f>
        <v/>
      </c>
      <c r="N298" s="71">
        <f>IF($A298="","",IF(G298="",0,G298))</f>
        <v/>
      </c>
      <c r="O298" s="70">
        <f>IF($A298="","",D298+F298)</f>
        <v/>
      </c>
      <c r="P298" s="71">
        <f>IF($A298="","",K298+N298)</f>
        <v/>
      </c>
      <c r="Q298" s="70">
        <f>IF($A298="","",I298+L298-F298)</f>
        <v/>
      </c>
      <c r="R298" s="72">
        <f>IF($A298="","",IF(H298="",Q298,H298))</f>
        <v/>
      </c>
      <c r="S298" s="73">
        <f>IF($A298="","",R298-Q298)</f>
        <v/>
      </c>
      <c r="T298" s="70">
        <f>IF($A298="","",SUMIFS($B$5:$B$800,$A$5:$A$800,"&gt;="&amp;DATE(YEAR($A298),MONTH($A298),1),$A$5:$A$800,"&lt;="&amp;$A298)+IF(AND(YEAR($A298)=YEAR(Settings!$B$3),MONTH($A298)=MONTH(Settings!$B$3)),Settings!$B$6,0))</f>
        <v/>
      </c>
      <c r="U298" s="71">
        <f>IF($A298="","",SUMIFS($J$5:$J$800,$A$5:$A$800,"&gt;="&amp;DATE(YEAR($A298),MONTH($A298),1),$A$5:$A$800,"&lt;="&amp;$A298)+IF(AND(YEAR($A298)=YEAR(Settings!$B$3),MONTH($A298)=MONTH(Settings!$B$3)),Settings!$B$7,0))</f>
        <v/>
      </c>
      <c r="V298" s="70">
        <f>IF($A298="","",Settings!$B$8+SUM($B$5:B298))</f>
        <v/>
      </c>
      <c r="W298" s="71">
        <f>IF($A298="","",Settings!$B$9+SUM($J$5:J298))</f>
        <v/>
      </c>
      <c r="X298" s="71">
        <f>IF($A298="","",IF(AND(N298&gt;0,F298&gt;0),ROUND(F298/N298,0),X297))</f>
        <v/>
      </c>
      <c r="Y298" s="74">
        <f>IF($A298="","",IF(AND(M298&gt;0,L298&gt;0),ROUND(L298/M298,0),IF(AND(J298&gt;0,B298&gt;0),ROUND(B298/J298,0),Y297)))</f>
        <v/>
      </c>
    </row>
    <row r="299">
      <c r="A299" s="67" t="n"/>
      <c r="B299" s="68" t="n"/>
      <c r="C299" s="69" t="n"/>
      <c r="D299" s="68" t="n"/>
      <c r="E299" s="69" t="n"/>
      <c r="F299" s="68" t="n"/>
      <c r="G299" s="69" t="n"/>
      <c r="H299" s="68" t="n"/>
      <c r="I299" s="70">
        <f>IF($A299="","",R298)</f>
        <v/>
      </c>
      <c r="J299" s="71">
        <f>IF($A299="","",IF(C299="",0,C299))</f>
        <v/>
      </c>
      <c r="K299" s="71">
        <f>IF($A299="","",IF(E299="",0,E299))</f>
        <v/>
      </c>
      <c r="L299" s="70">
        <f>IF($A299="","",B299-D299)</f>
        <v/>
      </c>
      <c r="M299" s="71">
        <f>IF($A299="","",J299-K299)</f>
        <v/>
      </c>
      <c r="N299" s="71">
        <f>IF($A299="","",IF(G299="",0,G299))</f>
        <v/>
      </c>
      <c r="O299" s="70">
        <f>IF($A299="","",D299+F299)</f>
        <v/>
      </c>
      <c r="P299" s="71">
        <f>IF($A299="","",K299+N299)</f>
        <v/>
      </c>
      <c r="Q299" s="70">
        <f>IF($A299="","",I299+L299-F299)</f>
        <v/>
      </c>
      <c r="R299" s="72">
        <f>IF($A299="","",IF(H299="",Q299,H299))</f>
        <v/>
      </c>
      <c r="S299" s="73">
        <f>IF($A299="","",R299-Q299)</f>
        <v/>
      </c>
      <c r="T299" s="70">
        <f>IF($A299="","",SUMIFS($B$5:$B$800,$A$5:$A$800,"&gt;="&amp;DATE(YEAR($A299),MONTH($A299),1),$A$5:$A$800,"&lt;="&amp;$A299)+IF(AND(YEAR($A299)=YEAR(Settings!$B$3),MONTH($A299)=MONTH(Settings!$B$3)),Settings!$B$6,0))</f>
        <v/>
      </c>
      <c r="U299" s="71">
        <f>IF($A299="","",SUMIFS($J$5:$J$800,$A$5:$A$800,"&gt;="&amp;DATE(YEAR($A299),MONTH($A299),1),$A$5:$A$800,"&lt;="&amp;$A299)+IF(AND(YEAR($A299)=YEAR(Settings!$B$3),MONTH($A299)=MONTH(Settings!$B$3)),Settings!$B$7,0))</f>
        <v/>
      </c>
      <c r="V299" s="70">
        <f>IF($A299="","",Settings!$B$8+SUM($B$5:B299))</f>
        <v/>
      </c>
      <c r="W299" s="71">
        <f>IF($A299="","",Settings!$B$9+SUM($J$5:J299))</f>
        <v/>
      </c>
      <c r="X299" s="71">
        <f>IF($A299="","",IF(AND(N299&gt;0,F299&gt;0),ROUND(F299/N299,0),X298))</f>
        <v/>
      </c>
      <c r="Y299" s="74">
        <f>IF($A299="","",IF(AND(M299&gt;0,L299&gt;0),ROUND(L299/M299,0),IF(AND(J299&gt;0,B299&gt;0),ROUND(B299/J299,0),Y298)))</f>
        <v/>
      </c>
    </row>
    <row r="300">
      <c r="A300" s="67" t="n"/>
      <c r="B300" s="68" t="n"/>
      <c r="C300" s="69" t="n"/>
      <c r="D300" s="68" t="n"/>
      <c r="E300" s="69" t="n"/>
      <c r="F300" s="68" t="n"/>
      <c r="G300" s="69" t="n"/>
      <c r="H300" s="68" t="n"/>
      <c r="I300" s="70">
        <f>IF($A300="","",R299)</f>
        <v/>
      </c>
      <c r="J300" s="71">
        <f>IF($A300="","",IF(C300="",0,C300))</f>
        <v/>
      </c>
      <c r="K300" s="71">
        <f>IF($A300="","",IF(E300="",0,E300))</f>
        <v/>
      </c>
      <c r="L300" s="70">
        <f>IF($A300="","",B300-D300)</f>
        <v/>
      </c>
      <c r="M300" s="71">
        <f>IF($A300="","",J300-K300)</f>
        <v/>
      </c>
      <c r="N300" s="71">
        <f>IF($A300="","",IF(G300="",0,G300))</f>
        <v/>
      </c>
      <c r="O300" s="70">
        <f>IF($A300="","",D300+F300)</f>
        <v/>
      </c>
      <c r="P300" s="71">
        <f>IF($A300="","",K300+N300)</f>
        <v/>
      </c>
      <c r="Q300" s="70">
        <f>IF($A300="","",I300+L300-F300)</f>
        <v/>
      </c>
      <c r="R300" s="72">
        <f>IF($A300="","",IF(H300="",Q300,H300))</f>
        <v/>
      </c>
      <c r="S300" s="73">
        <f>IF($A300="","",R300-Q300)</f>
        <v/>
      </c>
      <c r="T300" s="70">
        <f>IF($A300="","",SUMIFS($B$5:$B$800,$A$5:$A$800,"&gt;="&amp;DATE(YEAR($A300),MONTH($A300),1),$A$5:$A$800,"&lt;="&amp;$A300)+IF(AND(YEAR($A300)=YEAR(Settings!$B$3),MONTH($A300)=MONTH(Settings!$B$3)),Settings!$B$6,0))</f>
        <v/>
      </c>
      <c r="U300" s="71">
        <f>IF($A300="","",SUMIFS($J$5:$J$800,$A$5:$A$800,"&gt;="&amp;DATE(YEAR($A300),MONTH($A300),1),$A$5:$A$800,"&lt;="&amp;$A300)+IF(AND(YEAR($A300)=YEAR(Settings!$B$3),MONTH($A300)=MONTH(Settings!$B$3)),Settings!$B$7,0))</f>
        <v/>
      </c>
      <c r="V300" s="70">
        <f>IF($A300="","",Settings!$B$8+SUM($B$5:B300))</f>
        <v/>
      </c>
      <c r="W300" s="71">
        <f>IF($A300="","",Settings!$B$9+SUM($J$5:J300))</f>
        <v/>
      </c>
      <c r="X300" s="71">
        <f>IF($A300="","",IF(AND(N300&gt;0,F300&gt;0),ROUND(F300/N300,0),X299))</f>
        <v/>
      </c>
      <c r="Y300" s="74">
        <f>IF($A300="","",IF(AND(M300&gt;0,L300&gt;0),ROUND(L300/M300,0),IF(AND(J300&gt;0,B300&gt;0),ROUND(B300/J300,0),Y299)))</f>
        <v/>
      </c>
    </row>
    <row r="301">
      <c r="A301" s="67" t="n"/>
      <c r="B301" s="68" t="n"/>
      <c r="C301" s="69" t="n"/>
      <c r="D301" s="68" t="n"/>
      <c r="E301" s="69" t="n"/>
      <c r="F301" s="68" t="n"/>
      <c r="G301" s="69" t="n"/>
      <c r="H301" s="68" t="n"/>
      <c r="I301" s="70">
        <f>IF($A301="","",R300)</f>
        <v/>
      </c>
      <c r="J301" s="71">
        <f>IF($A301="","",IF(C301="",0,C301))</f>
        <v/>
      </c>
      <c r="K301" s="71">
        <f>IF($A301="","",IF(E301="",0,E301))</f>
        <v/>
      </c>
      <c r="L301" s="70">
        <f>IF($A301="","",B301-D301)</f>
        <v/>
      </c>
      <c r="M301" s="71">
        <f>IF($A301="","",J301-K301)</f>
        <v/>
      </c>
      <c r="N301" s="71">
        <f>IF($A301="","",IF(G301="",0,G301))</f>
        <v/>
      </c>
      <c r="O301" s="70">
        <f>IF($A301="","",D301+F301)</f>
        <v/>
      </c>
      <c r="P301" s="71">
        <f>IF($A301="","",K301+N301)</f>
        <v/>
      </c>
      <c r="Q301" s="70">
        <f>IF($A301="","",I301+L301-F301)</f>
        <v/>
      </c>
      <c r="R301" s="72">
        <f>IF($A301="","",IF(H301="",Q301,H301))</f>
        <v/>
      </c>
      <c r="S301" s="73">
        <f>IF($A301="","",R301-Q301)</f>
        <v/>
      </c>
      <c r="T301" s="70">
        <f>IF($A301="","",SUMIFS($B$5:$B$800,$A$5:$A$800,"&gt;="&amp;DATE(YEAR($A301),MONTH($A301),1),$A$5:$A$800,"&lt;="&amp;$A301)+IF(AND(YEAR($A301)=YEAR(Settings!$B$3),MONTH($A301)=MONTH(Settings!$B$3)),Settings!$B$6,0))</f>
        <v/>
      </c>
      <c r="U301" s="71">
        <f>IF($A301="","",SUMIFS($J$5:$J$800,$A$5:$A$800,"&gt;="&amp;DATE(YEAR($A301),MONTH($A301),1),$A$5:$A$800,"&lt;="&amp;$A301)+IF(AND(YEAR($A301)=YEAR(Settings!$B$3),MONTH($A301)=MONTH(Settings!$B$3)),Settings!$B$7,0))</f>
        <v/>
      </c>
      <c r="V301" s="70">
        <f>IF($A301="","",Settings!$B$8+SUM($B$5:B301))</f>
        <v/>
      </c>
      <c r="W301" s="71">
        <f>IF($A301="","",Settings!$B$9+SUM($J$5:J301))</f>
        <v/>
      </c>
      <c r="X301" s="71">
        <f>IF($A301="","",IF(AND(N301&gt;0,F301&gt;0),ROUND(F301/N301,0),X300))</f>
        <v/>
      </c>
      <c r="Y301" s="74">
        <f>IF($A301="","",IF(AND(M301&gt;0,L301&gt;0),ROUND(L301/M301,0),IF(AND(J301&gt;0,B301&gt;0),ROUND(B301/J301,0),Y300)))</f>
        <v/>
      </c>
    </row>
    <row r="302">
      <c r="A302" s="67" t="n"/>
      <c r="B302" s="68" t="n"/>
      <c r="C302" s="69" t="n"/>
      <c r="D302" s="68" t="n"/>
      <c r="E302" s="69" t="n"/>
      <c r="F302" s="68" t="n"/>
      <c r="G302" s="69" t="n"/>
      <c r="H302" s="68" t="n"/>
      <c r="I302" s="70">
        <f>IF($A302="","",R301)</f>
        <v/>
      </c>
      <c r="J302" s="71">
        <f>IF($A302="","",IF(C302="",0,C302))</f>
        <v/>
      </c>
      <c r="K302" s="71">
        <f>IF($A302="","",IF(E302="",0,E302))</f>
        <v/>
      </c>
      <c r="L302" s="70">
        <f>IF($A302="","",B302-D302)</f>
        <v/>
      </c>
      <c r="M302" s="71">
        <f>IF($A302="","",J302-K302)</f>
        <v/>
      </c>
      <c r="N302" s="71">
        <f>IF($A302="","",IF(G302="",0,G302))</f>
        <v/>
      </c>
      <c r="O302" s="70">
        <f>IF($A302="","",D302+F302)</f>
        <v/>
      </c>
      <c r="P302" s="71">
        <f>IF($A302="","",K302+N302)</f>
        <v/>
      </c>
      <c r="Q302" s="70">
        <f>IF($A302="","",I302+L302-F302)</f>
        <v/>
      </c>
      <c r="R302" s="72">
        <f>IF($A302="","",IF(H302="",Q302,H302))</f>
        <v/>
      </c>
      <c r="S302" s="73">
        <f>IF($A302="","",R302-Q302)</f>
        <v/>
      </c>
      <c r="T302" s="70">
        <f>IF($A302="","",SUMIFS($B$5:$B$800,$A$5:$A$800,"&gt;="&amp;DATE(YEAR($A302),MONTH($A302),1),$A$5:$A$800,"&lt;="&amp;$A302)+IF(AND(YEAR($A302)=YEAR(Settings!$B$3),MONTH($A302)=MONTH(Settings!$B$3)),Settings!$B$6,0))</f>
        <v/>
      </c>
      <c r="U302" s="71">
        <f>IF($A302="","",SUMIFS($J$5:$J$800,$A$5:$A$800,"&gt;="&amp;DATE(YEAR($A302),MONTH($A302),1),$A$5:$A$800,"&lt;="&amp;$A302)+IF(AND(YEAR($A302)=YEAR(Settings!$B$3),MONTH($A302)=MONTH(Settings!$B$3)),Settings!$B$7,0))</f>
        <v/>
      </c>
      <c r="V302" s="70">
        <f>IF($A302="","",Settings!$B$8+SUM($B$5:B302))</f>
        <v/>
      </c>
      <c r="W302" s="71">
        <f>IF($A302="","",Settings!$B$9+SUM($J$5:J302))</f>
        <v/>
      </c>
      <c r="X302" s="71">
        <f>IF($A302="","",IF(AND(N302&gt;0,F302&gt;0),ROUND(F302/N302,0),X301))</f>
        <v/>
      </c>
      <c r="Y302" s="74">
        <f>IF($A302="","",IF(AND(M302&gt;0,L302&gt;0),ROUND(L302/M302,0),IF(AND(J302&gt;0,B302&gt;0),ROUND(B302/J302,0),Y301)))</f>
        <v/>
      </c>
    </row>
    <row r="303">
      <c r="A303" s="67" t="n"/>
      <c r="B303" s="68" t="n"/>
      <c r="C303" s="69" t="n"/>
      <c r="D303" s="68" t="n"/>
      <c r="E303" s="69" t="n"/>
      <c r="F303" s="68" t="n"/>
      <c r="G303" s="69" t="n"/>
      <c r="H303" s="68" t="n"/>
      <c r="I303" s="70">
        <f>IF($A303="","",R302)</f>
        <v/>
      </c>
      <c r="J303" s="71">
        <f>IF($A303="","",IF(C303="",0,C303))</f>
        <v/>
      </c>
      <c r="K303" s="71">
        <f>IF($A303="","",IF(E303="",0,E303))</f>
        <v/>
      </c>
      <c r="L303" s="70">
        <f>IF($A303="","",B303-D303)</f>
        <v/>
      </c>
      <c r="M303" s="71">
        <f>IF($A303="","",J303-K303)</f>
        <v/>
      </c>
      <c r="N303" s="71">
        <f>IF($A303="","",IF(G303="",0,G303))</f>
        <v/>
      </c>
      <c r="O303" s="70">
        <f>IF($A303="","",D303+F303)</f>
        <v/>
      </c>
      <c r="P303" s="71">
        <f>IF($A303="","",K303+N303)</f>
        <v/>
      </c>
      <c r="Q303" s="70">
        <f>IF($A303="","",I303+L303-F303)</f>
        <v/>
      </c>
      <c r="R303" s="72">
        <f>IF($A303="","",IF(H303="",Q303,H303))</f>
        <v/>
      </c>
      <c r="S303" s="73">
        <f>IF($A303="","",R303-Q303)</f>
        <v/>
      </c>
      <c r="T303" s="70">
        <f>IF($A303="","",SUMIFS($B$5:$B$800,$A$5:$A$800,"&gt;="&amp;DATE(YEAR($A303),MONTH($A303),1),$A$5:$A$800,"&lt;="&amp;$A303)+IF(AND(YEAR($A303)=YEAR(Settings!$B$3),MONTH($A303)=MONTH(Settings!$B$3)),Settings!$B$6,0))</f>
        <v/>
      </c>
      <c r="U303" s="71">
        <f>IF($A303="","",SUMIFS($J$5:$J$800,$A$5:$A$800,"&gt;="&amp;DATE(YEAR($A303),MONTH($A303),1),$A$5:$A$800,"&lt;="&amp;$A303)+IF(AND(YEAR($A303)=YEAR(Settings!$B$3),MONTH($A303)=MONTH(Settings!$B$3)),Settings!$B$7,0))</f>
        <v/>
      </c>
      <c r="V303" s="70">
        <f>IF($A303="","",Settings!$B$8+SUM($B$5:B303))</f>
        <v/>
      </c>
      <c r="W303" s="71">
        <f>IF($A303="","",Settings!$B$9+SUM($J$5:J303))</f>
        <v/>
      </c>
      <c r="X303" s="71">
        <f>IF($A303="","",IF(AND(N303&gt;0,F303&gt;0),ROUND(F303/N303,0),X302))</f>
        <v/>
      </c>
      <c r="Y303" s="74">
        <f>IF($A303="","",IF(AND(M303&gt;0,L303&gt;0),ROUND(L303/M303,0),IF(AND(J303&gt;0,B303&gt;0),ROUND(B303/J303,0),Y302)))</f>
        <v/>
      </c>
    </row>
    <row r="304">
      <c r="A304" s="67" t="n"/>
      <c r="B304" s="68" t="n"/>
      <c r="C304" s="69" t="n"/>
      <c r="D304" s="68" t="n"/>
      <c r="E304" s="69" t="n"/>
      <c r="F304" s="68" t="n"/>
      <c r="G304" s="69" t="n"/>
      <c r="H304" s="68" t="n"/>
      <c r="I304" s="70">
        <f>IF($A304="","",R303)</f>
        <v/>
      </c>
      <c r="J304" s="71">
        <f>IF($A304="","",IF(C304="",0,C304))</f>
        <v/>
      </c>
      <c r="K304" s="71">
        <f>IF($A304="","",IF(E304="",0,E304))</f>
        <v/>
      </c>
      <c r="L304" s="70">
        <f>IF($A304="","",B304-D304)</f>
        <v/>
      </c>
      <c r="M304" s="71">
        <f>IF($A304="","",J304-K304)</f>
        <v/>
      </c>
      <c r="N304" s="71">
        <f>IF($A304="","",IF(G304="",0,G304))</f>
        <v/>
      </c>
      <c r="O304" s="70">
        <f>IF($A304="","",D304+F304)</f>
        <v/>
      </c>
      <c r="P304" s="71">
        <f>IF($A304="","",K304+N304)</f>
        <v/>
      </c>
      <c r="Q304" s="70">
        <f>IF($A304="","",I304+L304-F304)</f>
        <v/>
      </c>
      <c r="R304" s="72">
        <f>IF($A304="","",IF(H304="",Q304,H304))</f>
        <v/>
      </c>
      <c r="S304" s="73">
        <f>IF($A304="","",R304-Q304)</f>
        <v/>
      </c>
      <c r="T304" s="70">
        <f>IF($A304="","",SUMIFS($B$5:$B$800,$A$5:$A$800,"&gt;="&amp;DATE(YEAR($A304),MONTH($A304),1),$A$5:$A$800,"&lt;="&amp;$A304)+IF(AND(YEAR($A304)=YEAR(Settings!$B$3),MONTH($A304)=MONTH(Settings!$B$3)),Settings!$B$6,0))</f>
        <v/>
      </c>
      <c r="U304" s="71">
        <f>IF($A304="","",SUMIFS($J$5:$J$800,$A$5:$A$800,"&gt;="&amp;DATE(YEAR($A304),MONTH($A304),1),$A$5:$A$800,"&lt;="&amp;$A304)+IF(AND(YEAR($A304)=YEAR(Settings!$B$3),MONTH($A304)=MONTH(Settings!$B$3)),Settings!$B$7,0))</f>
        <v/>
      </c>
      <c r="V304" s="70">
        <f>IF($A304="","",Settings!$B$8+SUM($B$5:B304))</f>
        <v/>
      </c>
      <c r="W304" s="71">
        <f>IF($A304="","",Settings!$B$9+SUM($J$5:J304))</f>
        <v/>
      </c>
      <c r="X304" s="71">
        <f>IF($A304="","",IF(AND(N304&gt;0,F304&gt;0),ROUND(F304/N304,0),X303))</f>
        <v/>
      </c>
      <c r="Y304" s="74">
        <f>IF($A304="","",IF(AND(M304&gt;0,L304&gt;0),ROUND(L304/M304,0),IF(AND(J304&gt;0,B304&gt;0),ROUND(B304/J304,0),Y303)))</f>
        <v/>
      </c>
    </row>
    <row r="305">
      <c r="A305" s="67" t="n"/>
      <c r="B305" s="68" t="n"/>
      <c r="C305" s="69" t="n"/>
      <c r="D305" s="68" t="n"/>
      <c r="E305" s="69" t="n"/>
      <c r="F305" s="68" t="n"/>
      <c r="G305" s="69" t="n"/>
      <c r="H305" s="68" t="n"/>
      <c r="I305" s="70">
        <f>IF($A305="","",R304)</f>
        <v/>
      </c>
      <c r="J305" s="71">
        <f>IF($A305="","",IF(C305="",0,C305))</f>
        <v/>
      </c>
      <c r="K305" s="71">
        <f>IF($A305="","",IF(E305="",0,E305))</f>
        <v/>
      </c>
      <c r="L305" s="70">
        <f>IF($A305="","",B305-D305)</f>
        <v/>
      </c>
      <c r="M305" s="71">
        <f>IF($A305="","",J305-K305)</f>
        <v/>
      </c>
      <c r="N305" s="71">
        <f>IF($A305="","",IF(G305="",0,G305))</f>
        <v/>
      </c>
      <c r="O305" s="70">
        <f>IF($A305="","",D305+F305)</f>
        <v/>
      </c>
      <c r="P305" s="71">
        <f>IF($A305="","",K305+N305)</f>
        <v/>
      </c>
      <c r="Q305" s="70">
        <f>IF($A305="","",I305+L305-F305)</f>
        <v/>
      </c>
      <c r="R305" s="72">
        <f>IF($A305="","",IF(H305="",Q305,H305))</f>
        <v/>
      </c>
      <c r="S305" s="73">
        <f>IF($A305="","",R305-Q305)</f>
        <v/>
      </c>
      <c r="T305" s="70">
        <f>IF($A305="","",SUMIFS($B$5:$B$800,$A$5:$A$800,"&gt;="&amp;DATE(YEAR($A305),MONTH($A305),1),$A$5:$A$800,"&lt;="&amp;$A305)+IF(AND(YEAR($A305)=YEAR(Settings!$B$3),MONTH($A305)=MONTH(Settings!$B$3)),Settings!$B$6,0))</f>
        <v/>
      </c>
      <c r="U305" s="71">
        <f>IF($A305="","",SUMIFS($J$5:$J$800,$A$5:$A$800,"&gt;="&amp;DATE(YEAR($A305),MONTH($A305),1),$A$5:$A$800,"&lt;="&amp;$A305)+IF(AND(YEAR($A305)=YEAR(Settings!$B$3),MONTH($A305)=MONTH(Settings!$B$3)),Settings!$B$7,0))</f>
        <v/>
      </c>
      <c r="V305" s="70">
        <f>IF($A305="","",Settings!$B$8+SUM($B$5:B305))</f>
        <v/>
      </c>
      <c r="W305" s="71">
        <f>IF($A305="","",Settings!$B$9+SUM($J$5:J305))</f>
        <v/>
      </c>
      <c r="X305" s="71">
        <f>IF($A305="","",IF(AND(N305&gt;0,F305&gt;0),ROUND(F305/N305,0),X304))</f>
        <v/>
      </c>
      <c r="Y305" s="74">
        <f>IF($A305="","",IF(AND(M305&gt;0,L305&gt;0),ROUND(L305/M305,0),IF(AND(J305&gt;0,B305&gt;0),ROUND(B305/J305,0),Y304)))</f>
        <v/>
      </c>
    </row>
    <row r="306">
      <c r="A306" s="67" t="n"/>
      <c r="B306" s="68" t="n"/>
      <c r="C306" s="69" t="n"/>
      <c r="D306" s="68" t="n"/>
      <c r="E306" s="69" t="n"/>
      <c r="F306" s="68" t="n"/>
      <c r="G306" s="69" t="n"/>
      <c r="H306" s="68" t="n"/>
      <c r="I306" s="70">
        <f>IF($A306="","",R305)</f>
        <v/>
      </c>
      <c r="J306" s="71">
        <f>IF($A306="","",IF(C306="",0,C306))</f>
        <v/>
      </c>
      <c r="K306" s="71">
        <f>IF($A306="","",IF(E306="",0,E306))</f>
        <v/>
      </c>
      <c r="L306" s="70">
        <f>IF($A306="","",B306-D306)</f>
        <v/>
      </c>
      <c r="M306" s="71">
        <f>IF($A306="","",J306-K306)</f>
        <v/>
      </c>
      <c r="N306" s="71">
        <f>IF($A306="","",IF(G306="",0,G306))</f>
        <v/>
      </c>
      <c r="O306" s="70">
        <f>IF($A306="","",D306+F306)</f>
        <v/>
      </c>
      <c r="P306" s="71">
        <f>IF($A306="","",K306+N306)</f>
        <v/>
      </c>
      <c r="Q306" s="70">
        <f>IF($A306="","",I306+L306-F306)</f>
        <v/>
      </c>
      <c r="R306" s="72">
        <f>IF($A306="","",IF(H306="",Q306,H306))</f>
        <v/>
      </c>
      <c r="S306" s="73">
        <f>IF($A306="","",R306-Q306)</f>
        <v/>
      </c>
      <c r="T306" s="70">
        <f>IF($A306="","",SUMIFS($B$5:$B$800,$A$5:$A$800,"&gt;="&amp;DATE(YEAR($A306),MONTH($A306),1),$A$5:$A$800,"&lt;="&amp;$A306)+IF(AND(YEAR($A306)=YEAR(Settings!$B$3),MONTH($A306)=MONTH(Settings!$B$3)),Settings!$B$6,0))</f>
        <v/>
      </c>
      <c r="U306" s="71">
        <f>IF($A306="","",SUMIFS($J$5:$J$800,$A$5:$A$800,"&gt;="&amp;DATE(YEAR($A306),MONTH($A306),1),$A$5:$A$800,"&lt;="&amp;$A306)+IF(AND(YEAR($A306)=YEAR(Settings!$B$3),MONTH($A306)=MONTH(Settings!$B$3)),Settings!$B$7,0))</f>
        <v/>
      </c>
      <c r="V306" s="70">
        <f>IF($A306="","",Settings!$B$8+SUM($B$5:B306))</f>
        <v/>
      </c>
      <c r="W306" s="71">
        <f>IF($A306="","",Settings!$B$9+SUM($J$5:J306))</f>
        <v/>
      </c>
      <c r="X306" s="71">
        <f>IF($A306="","",IF(AND(N306&gt;0,F306&gt;0),ROUND(F306/N306,0),X305))</f>
        <v/>
      </c>
      <c r="Y306" s="74">
        <f>IF($A306="","",IF(AND(M306&gt;0,L306&gt;0),ROUND(L306/M306,0),IF(AND(J306&gt;0,B306&gt;0),ROUND(B306/J306,0),Y305)))</f>
        <v/>
      </c>
    </row>
    <row r="307">
      <c r="A307" s="67" t="n"/>
      <c r="B307" s="68" t="n"/>
      <c r="C307" s="69" t="n"/>
      <c r="D307" s="68" t="n"/>
      <c r="E307" s="69" t="n"/>
      <c r="F307" s="68" t="n"/>
      <c r="G307" s="69" t="n"/>
      <c r="H307" s="68" t="n"/>
      <c r="I307" s="70">
        <f>IF($A307="","",R306)</f>
        <v/>
      </c>
      <c r="J307" s="71">
        <f>IF($A307="","",IF(C307="",0,C307))</f>
        <v/>
      </c>
      <c r="K307" s="71">
        <f>IF($A307="","",IF(E307="",0,E307))</f>
        <v/>
      </c>
      <c r="L307" s="70">
        <f>IF($A307="","",B307-D307)</f>
        <v/>
      </c>
      <c r="M307" s="71">
        <f>IF($A307="","",J307-K307)</f>
        <v/>
      </c>
      <c r="N307" s="71">
        <f>IF($A307="","",IF(G307="",0,G307))</f>
        <v/>
      </c>
      <c r="O307" s="70">
        <f>IF($A307="","",D307+F307)</f>
        <v/>
      </c>
      <c r="P307" s="71">
        <f>IF($A307="","",K307+N307)</f>
        <v/>
      </c>
      <c r="Q307" s="70">
        <f>IF($A307="","",I307+L307-F307)</f>
        <v/>
      </c>
      <c r="R307" s="72">
        <f>IF($A307="","",IF(H307="",Q307,H307))</f>
        <v/>
      </c>
      <c r="S307" s="73">
        <f>IF($A307="","",R307-Q307)</f>
        <v/>
      </c>
      <c r="T307" s="70">
        <f>IF($A307="","",SUMIFS($B$5:$B$800,$A$5:$A$800,"&gt;="&amp;DATE(YEAR($A307),MONTH($A307),1),$A$5:$A$800,"&lt;="&amp;$A307)+IF(AND(YEAR($A307)=YEAR(Settings!$B$3),MONTH($A307)=MONTH(Settings!$B$3)),Settings!$B$6,0))</f>
        <v/>
      </c>
      <c r="U307" s="71">
        <f>IF($A307="","",SUMIFS($J$5:$J$800,$A$5:$A$800,"&gt;="&amp;DATE(YEAR($A307),MONTH($A307),1),$A$5:$A$800,"&lt;="&amp;$A307)+IF(AND(YEAR($A307)=YEAR(Settings!$B$3),MONTH($A307)=MONTH(Settings!$B$3)),Settings!$B$7,0))</f>
        <v/>
      </c>
      <c r="V307" s="70">
        <f>IF($A307="","",Settings!$B$8+SUM($B$5:B307))</f>
        <v/>
      </c>
      <c r="W307" s="71">
        <f>IF($A307="","",Settings!$B$9+SUM($J$5:J307))</f>
        <v/>
      </c>
      <c r="X307" s="71">
        <f>IF($A307="","",IF(AND(N307&gt;0,F307&gt;0),ROUND(F307/N307,0),X306))</f>
        <v/>
      </c>
      <c r="Y307" s="74">
        <f>IF($A307="","",IF(AND(M307&gt;0,L307&gt;0),ROUND(L307/M307,0),IF(AND(J307&gt;0,B307&gt;0),ROUND(B307/J307,0),Y306)))</f>
        <v/>
      </c>
    </row>
    <row r="308">
      <c r="A308" s="67" t="n"/>
      <c r="B308" s="68" t="n"/>
      <c r="C308" s="69" t="n"/>
      <c r="D308" s="68" t="n"/>
      <c r="E308" s="69" t="n"/>
      <c r="F308" s="68" t="n"/>
      <c r="G308" s="69" t="n"/>
      <c r="H308" s="68" t="n"/>
      <c r="I308" s="70">
        <f>IF($A308="","",R307)</f>
        <v/>
      </c>
      <c r="J308" s="71">
        <f>IF($A308="","",IF(C308="",0,C308))</f>
        <v/>
      </c>
      <c r="K308" s="71">
        <f>IF($A308="","",IF(E308="",0,E308))</f>
        <v/>
      </c>
      <c r="L308" s="70">
        <f>IF($A308="","",B308-D308)</f>
        <v/>
      </c>
      <c r="M308" s="71">
        <f>IF($A308="","",J308-K308)</f>
        <v/>
      </c>
      <c r="N308" s="71">
        <f>IF($A308="","",IF(G308="",0,G308))</f>
        <v/>
      </c>
      <c r="O308" s="70">
        <f>IF($A308="","",D308+F308)</f>
        <v/>
      </c>
      <c r="P308" s="71">
        <f>IF($A308="","",K308+N308)</f>
        <v/>
      </c>
      <c r="Q308" s="70">
        <f>IF($A308="","",I308+L308-F308)</f>
        <v/>
      </c>
      <c r="R308" s="72">
        <f>IF($A308="","",IF(H308="",Q308,H308))</f>
        <v/>
      </c>
      <c r="S308" s="73">
        <f>IF($A308="","",R308-Q308)</f>
        <v/>
      </c>
      <c r="T308" s="70">
        <f>IF($A308="","",SUMIFS($B$5:$B$800,$A$5:$A$800,"&gt;="&amp;DATE(YEAR($A308),MONTH($A308),1),$A$5:$A$800,"&lt;="&amp;$A308)+IF(AND(YEAR($A308)=YEAR(Settings!$B$3),MONTH($A308)=MONTH(Settings!$B$3)),Settings!$B$6,0))</f>
        <v/>
      </c>
      <c r="U308" s="71">
        <f>IF($A308="","",SUMIFS($J$5:$J$800,$A$5:$A$800,"&gt;="&amp;DATE(YEAR($A308),MONTH($A308),1),$A$5:$A$800,"&lt;="&amp;$A308)+IF(AND(YEAR($A308)=YEAR(Settings!$B$3),MONTH($A308)=MONTH(Settings!$B$3)),Settings!$B$7,0))</f>
        <v/>
      </c>
      <c r="V308" s="70">
        <f>IF($A308="","",Settings!$B$8+SUM($B$5:B308))</f>
        <v/>
      </c>
      <c r="W308" s="71">
        <f>IF($A308="","",Settings!$B$9+SUM($J$5:J308))</f>
        <v/>
      </c>
      <c r="X308" s="71">
        <f>IF($A308="","",IF(AND(N308&gt;0,F308&gt;0),ROUND(F308/N308,0),X307))</f>
        <v/>
      </c>
      <c r="Y308" s="74">
        <f>IF($A308="","",IF(AND(M308&gt;0,L308&gt;0),ROUND(L308/M308,0),IF(AND(J308&gt;0,B308&gt;0),ROUND(B308/J308,0),Y307)))</f>
        <v/>
      </c>
    </row>
    <row r="309">
      <c r="A309" s="67" t="n"/>
      <c r="B309" s="68" t="n"/>
      <c r="C309" s="69" t="n"/>
      <c r="D309" s="68" t="n"/>
      <c r="E309" s="69" t="n"/>
      <c r="F309" s="68" t="n"/>
      <c r="G309" s="69" t="n"/>
      <c r="H309" s="68" t="n"/>
      <c r="I309" s="70">
        <f>IF($A309="","",R308)</f>
        <v/>
      </c>
      <c r="J309" s="71">
        <f>IF($A309="","",IF(C309="",0,C309))</f>
        <v/>
      </c>
      <c r="K309" s="71">
        <f>IF($A309="","",IF(E309="",0,E309))</f>
        <v/>
      </c>
      <c r="L309" s="70">
        <f>IF($A309="","",B309-D309)</f>
        <v/>
      </c>
      <c r="M309" s="71">
        <f>IF($A309="","",J309-K309)</f>
        <v/>
      </c>
      <c r="N309" s="71">
        <f>IF($A309="","",IF(G309="",0,G309))</f>
        <v/>
      </c>
      <c r="O309" s="70">
        <f>IF($A309="","",D309+F309)</f>
        <v/>
      </c>
      <c r="P309" s="71">
        <f>IF($A309="","",K309+N309)</f>
        <v/>
      </c>
      <c r="Q309" s="70">
        <f>IF($A309="","",I309+L309-F309)</f>
        <v/>
      </c>
      <c r="R309" s="72">
        <f>IF($A309="","",IF(H309="",Q309,H309))</f>
        <v/>
      </c>
      <c r="S309" s="73">
        <f>IF($A309="","",R309-Q309)</f>
        <v/>
      </c>
      <c r="T309" s="70">
        <f>IF($A309="","",SUMIFS($B$5:$B$800,$A$5:$A$800,"&gt;="&amp;DATE(YEAR($A309),MONTH($A309),1),$A$5:$A$800,"&lt;="&amp;$A309)+IF(AND(YEAR($A309)=YEAR(Settings!$B$3),MONTH($A309)=MONTH(Settings!$B$3)),Settings!$B$6,0))</f>
        <v/>
      </c>
      <c r="U309" s="71">
        <f>IF($A309="","",SUMIFS($J$5:$J$800,$A$5:$A$800,"&gt;="&amp;DATE(YEAR($A309),MONTH($A309),1),$A$5:$A$800,"&lt;="&amp;$A309)+IF(AND(YEAR($A309)=YEAR(Settings!$B$3),MONTH($A309)=MONTH(Settings!$B$3)),Settings!$B$7,0))</f>
        <v/>
      </c>
      <c r="V309" s="70">
        <f>IF($A309="","",Settings!$B$8+SUM($B$5:B309))</f>
        <v/>
      </c>
      <c r="W309" s="71">
        <f>IF($A309="","",Settings!$B$9+SUM($J$5:J309))</f>
        <v/>
      </c>
      <c r="X309" s="71">
        <f>IF($A309="","",IF(AND(N309&gt;0,F309&gt;0),ROUND(F309/N309,0),X308))</f>
        <v/>
      </c>
      <c r="Y309" s="74">
        <f>IF($A309="","",IF(AND(M309&gt;0,L309&gt;0),ROUND(L309/M309,0),IF(AND(J309&gt;0,B309&gt;0),ROUND(B309/J309,0),Y308)))</f>
        <v/>
      </c>
    </row>
    <row r="310">
      <c r="A310" s="67" t="n"/>
      <c r="B310" s="68" t="n"/>
      <c r="C310" s="69" t="n"/>
      <c r="D310" s="68" t="n"/>
      <c r="E310" s="69" t="n"/>
      <c r="F310" s="68" t="n"/>
      <c r="G310" s="69" t="n"/>
      <c r="H310" s="68" t="n"/>
      <c r="I310" s="70">
        <f>IF($A310="","",R309)</f>
        <v/>
      </c>
      <c r="J310" s="71">
        <f>IF($A310="","",IF(C310="",0,C310))</f>
        <v/>
      </c>
      <c r="K310" s="71">
        <f>IF($A310="","",IF(E310="",0,E310))</f>
        <v/>
      </c>
      <c r="L310" s="70">
        <f>IF($A310="","",B310-D310)</f>
        <v/>
      </c>
      <c r="M310" s="71">
        <f>IF($A310="","",J310-K310)</f>
        <v/>
      </c>
      <c r="N310" s="71">
        <f>IF($A310="","",IF(G310="",0,G310))</f>
        <v/>
      </c>
      <c r="O310" s="70">
        <f>IF($A310="","",D310+F310)</f>
        <v/>
      </c>
      <c r="P310" s="71">
        <f>IF($A310="","",K310+N310)</f>
        <v/>
      </c>
      <c r="Q310" s="70">
        <f>IF($A310="","",I310+L310-F310)</f>
        <v/>
      </c>
      <c r="R310" s="72">
        <f>IF($A310="","",IF(H310="",Q310,H310))</f>
        <v/>
      </c>
      <c r="S310" s="73">
        <f>IF($A310="","",R310-Q310)</f>
        <v/>
      </c>
      <c r="T310" s="70">
        <f>IF($A310="","",SUMIFS($B$5:$B$800,$A$5:$A$800,"&gt;="&amp;DATE(YEAR($A310),MONTH($A310),1),$A$5:$A$800,"&lt;="&amp;$A310)+IF(AND(YEAR($A310)=YEAR(Settings!$B$3),MONTH($A310)=MONTH(Settings!$B$3)),Settings!$B$6,0))</f>
        <v/>
      </c>
      <c r="U310" s="71">
        <f>IF($A310="","",SUMIFS($J$5:$J$800,$A$5:$A$800,"&gt;="&amp;DATE(YEAR($A310),MONTH($A310),1),$A$5:$A$800,"&lt;="&amp;$A310)+IF(AND(YEAR($A310)=YEAR(Settings!$B$3),MONTH($A310)=MONTH(Settings!$B$3)),Settings!$B$7,0))</f>
        <v/>
      </c>
      <c r="V310" s="70">
        <f>IF($A310="","",Settings!$B$8+SUM($B$5:B310))</f>
        <v/>
      </c>
      <c r="W310" s="71">
        <f>IF($A310="","",Settings!$B$9+SUM($J$5:J310))</f>
        <v/>
      </c>
      <c r="X310" s="71">
        <f>IF($A310="","",IF(AND(N310&gt;0,F310&gt;0),ROUND(F310/N310,0),X309))</f>
        <v/>
      </c>
      <c r="Y310" s="74">
        <f>IF($A310="","",IF(AND(M310&gt;0,L310&gt;0),ROUND(L310/M310,0),IF(AND(J310&gt;0,B310&gt;0),ROUND(B310/J310,0),Y309)))</f>
        <v/>
      </c>
    </row>
    <row r="311">
      <c r="A311" s="67" t="n"/>
      <c r="B311" s="68" t="n"/>
      <c r="C311" s="69" t="n"/>
      <c r="D311" s="68" t="n"/>
      <c r="E311" s="69" t="n"/>
      <c r="F311" s="68" t="n"/>
      <c r="G311" s="69" t="n"/>
      <c r="H311" s="68" t="n"/>
      <c r="I311" s="70">
        <f>IF($A311="","",R310)</f>
        <v/>
      </c>
      <c r="J311" s="71">
        <f>IF($A311="","",IF(C311="",0,C311))</f>
        <v/>
      </c>
      <c r="K311" s="71">
        <f>IF($A311="","",IF(E311="",0,E311))</f>
        <v/>
      </c>
      <c r="L311" s="70">
        <f>IF($A311="","",B311-D311)</f>
        <v/>
      </c>
      <c r="M311" s="71">
        <f>IF($A311="","",J311-K311)</f>
        <v/>
      </c>
      <c r="N311" s="71">
        <f>IF($A311="","",IF(G311="",0,G311))</f>
        <v/>
      </c>
      <c r="O311" s="70">
        <f>IF($A311="","",D311+F311)</f>
        <v/>
      </c>
      <c r="P311" s="71">
        <f>IF($A311="","",K311+N311)</f>
        <v/>
      </c>
      <c r="Q311" s="70">
        <f>IF($A311="","",I311+L311-F311)</f>
        <v/>
      </c>
      <c r="R311" s="72">
        <f>IF($A311="","",IF(H311="",Q311,H311))</f>
        <v/>
      </c>
      <c r="S311" s="73">
        <f>IF($A311="","",R311-Q311)</f>
        <v/>
      </c>
      <c r="T311" s="70">
        <f>IF($A311="","",SUMIFS($B$5:$B$800,$A$5:$A$800,"&gt;="&amp;DATE(YEAR($A311),MONTH($A311),1),$A$5:$A$800,"&lt;="&amp;$A311)+IF(AND(YEAR($A311)=YEAR(Settings!$B$3),MONTH($A311)=MONTH(Settings!$B$3)),Settings!$B$6,0))</f>
        <v/>
      </c>
      <c r="U311" s="71">
        <f>IF($A311="","",SUMIFS($J$5:$J$800,$A$5:$A$800,"&gt;="&amp;DATE(YEAR($A311),MONTH($A311),1),$A$5:$A$800,"&lt;="&amp;$A311)+IF(AND(YEAR($A311)=YEAR(Settings!$B$3),MONTH($A311)=MONTH(Settings!$B$3)),Settings!$B$7,0))</f>
        <v/>
      </c>
      <c r="V311" s="70">
        <f>IF($A311="","",Settings!$B$8+SUM($B$5:B311))</f>
        <v/>
      </c>
      <c r="W311" s="71">
        <f>IF($A311="","",Settings!$B$9+SUM($J$5:J311))</f>
        <v/>
      </c>
      <c r="X311" s="71">
        <f>IF($A311="","",IF(AND(N311&gt;0,F311&gt;0),ROUND(F311/N311,0),X310))</f>
        <v/>
      </c>
      <c r="Y311" s="74">
        <f>IF($A311="","",IF(AND(M311&gt;0,L311&gt;0),ROUND(L311/M311,0),IF(AND(J311&gt;0,B311&gt;0),ROUND(B311/J311,0),Y310)))</f>
        <v/>
      </c>
    </row>
    <row r="312">
      <c r="A312" s="67" t="n"/>
      <c r="B312" s="68" t="n"/>
      <c r="C312" s="69" t="n"/>
      <c r="D312" s="68" t="n"/>
      <c r="E312" s="69" t="n"/>
      <c r="F312" s="68" t="n"/>
      <c r="G312" s="69" t="n"/>
      <c r="H312" s="68" t="n"/>
      <c r="I312" s="70">
        <f>IF($A312="","",R311)</f>
        <v/>
      </c>
      <c r="J312" s="71">
        <f>IF($A312="","",IF(C312="",0,C312))</f>
        <v/>
      </c>
      <c r="K312" s="71">
        <f>IF($A312="","",IF(E312="",0,E312))</f>
        <v/>
      </c>
      <c r="L312" s="70">
        <f>IF($A312="","",B312-D312)</f>
        <v/>
      </c>
      <c r="M312" s="71">
        <f>IF($A312="","",J312-K312)</f>
        <v/>
      </c>
      <c r="N312" s="71">
        <f>IF($A312="","",IF(G312="",0,G312))</f>
        <v/>
      </c>
      <c r="O312" s="70">
        <f>IF($A312="","",D312+F312)</f>
        <v/>
      </c>
      <c r="P312" s="71">
        <f>IF($A312="","",K312+N312)</f>
        <v/>
      </c>
      <c r="Q312" s="70">
        <f>IF($A312="","",I312+L312-F312)</f>
        <v/>
      </c>
      <c r="R312" s="72">
        <f>IF($A312="","",IF(H312="",Q312,H312))</f>
        <v/>
      </c>
      <c r="S312" s="73">
        <f>IF($A312="","",R312-Q312)</f>
        <v/>
      </c>
      <c r="T312" s="70">
        <f>IF($A312="","",SUMIFS($B$5:$B$800,$A$5:$A$800,"&gt;="&amp;DATE(YEAR($A312),MONTH($A312),1),$A$5:$A$800,"&lt;="&amp;$A312)+IF(AND(YEAR($A312)=YEAR(Settings!$B$3),MONTH($A312)=MONTH(Settings!$B$3)),Settings!$B$6,0))</f>
        <v/>
      </c>
      <c r="U312" s="71">
        <f>IF($A312="","",SUMIFS($J$5:$J$800,$A$5:$A$800,"&gt;="&amp;DATE(YEAR($A312),MONTH($A312),1),$A$5:$A$800,"&lt;="&amp;$A312)+IF(AND(YEAR($A312)=YEAR(Settings!$B$3),MONTH($A312)=MONTH(Settings!$B$3)),Settings!$B$7,0))</f>
        <v/>
      </c>
      <c r="V312" s="70">
        <f>IF($A312="","",Settings!$B$8+SUM($B$5:B312))</f>
        <v/>
      </c>
      <c r="W312" s="71">
        <f>IF($A312="","",Settings!$B$9+SUM($J$5:J312))</f>
        <v/>
      </c>
      <c r="X312" s="71">
        <f>IF($A312="","",IF(AND(N312&gt;0,F312&gt;0),ROUND(F312/N312,0),X311))</f>
        <v/>
      </c>
      <c r="Y312" s="74">
        <f>IF($A312="","",IF(AND(M312&gt;0,L312&gt;0),ROUND(L312/M312,0),IF(AND(J312&gt;0,B312&gt;0),ROUND(B312/J312,0),Y311)))</f>
        <v/>
      </c>
    </row>
    <row r="313">
      <c r="A313" s="67" t="n"/>
      <c r="B313" s="68" t="n"/>
      <c r="C313" s="69" t="n"/>
      <c r="D313" s="68" t="n"/>
      <c r="E313" s="69" t="n"/>
      <c r="F313" s="68" t="n"/>
      <c r="G313" s="69" t="n"/>
      <c r="H313" s="68" t="n"/>
      <c r="I313" s="70">
        <f>IF($A313="","",R312)</f>
        <v/>
      </c>
      <c r="J313" s="71">
        <f>IF($A313="","",IF(C313="",0,C313))</f>
        <v/>
      </c>
      <c r="K313" s="71">
        <f>IF($A313="","",IF(E313="",0,E313))</f>
        <v/>
      </c>
      <c r="L313" s="70">
        <f>IF($A313="","",B313-D313)</f>
        <v/>
      </c>
      <c r="M313" s="71">
        <f>IF($A313="","",J313-K313)</f>
        <v/>
      </c>
      <c r="N313" s="71">
        <f>IF($A313="","",IF(G313="",0,G313))</f>
        <v/>
      </c>
      <c r="O313" s="70">
        <f>IF($A313="","",D313+F313)</f>
        <v/>
      </c>
      <c r="P313" s="71">
        <f>IF($A313="","",K313+N313)</f>
        <v/>
      </c>
      <c r="Q313" s="70">
        <f>IF($A313="","",I313+L313-F313)</f>
        <v/>
      </c>
      <c r="R313" s="72">
        <f>IF($A313="","",IF(H313="",Q313,H313))</f>
        <v/>
      </c>
      <c r="S313" s="73">
        <f>IF($A313="","",R313-Q313)</f>
        <v/>
      </c>
      <c r="T313" s="70">
        <f>IF($A313="","",SUMIFS($B$5:$B$800,$A$5:$A$800,"&gt;="&amp;DATE(YEAR($A313),MONTH($A313),1),$A$5:$A$800,"&lt;="&amp;$A313)+IF(AND(YEAR($A313)=YEAR(Settings!$B$3),MONTH($A313)=MONTH(Settings!$B$3)),Settings!$B$6,0))</f>
        <v/>
      </c>
      <c r="U313" s="71">
        <f>IF($A313="","",SUMIFS($J$5:$J$800,$A$5:$A$800,"&gt;="&amp;DATE(YEAR($A313),MONTH($A313),1),$A$5:$A$800,"&lt;="&amp;$A313)+IF(AND(YEAR($A313)=YEAR(Settings!$B$3),MONTH($A313)=MONTH(Settings!$B$3)),Settings!$B$7,0))</f>
        <v/>
      </c>
      <c r="V313" s="70">
        <f>IF($A313="","",Settings!$B$8+SUM($B$5:B313))</f>
        <v/>
      </c>
      <c r="W313" s="71">
        <f>IF($A313="","",Settings!$B$9+SUM($J$5:J313))</f>
        <v/>
      </c>
      <c r="X313" s="71">
        <f>IF($A313="","",IF(AND(N313&gt;0,F313&gt;0),ROUND(F313/N313,0),X312))</f>
        <v/>
      </c>
      <c r="Y313" s="74">
        <f>IF($A313="","",IF(AND(M313&gt;0,L313&gt;0),ROUND(L313/M313,0),IF(AND(J313&gt;0,B313&gt;0),ROUND(B313/J313,0),Y312)))</f>
        <v/>
      </c>
    </row>
    <row r="314">
      <c r="A314" s="67" t="n"/>
      <c r="B314" s="68" t="n"/>
      <c r="C314" s="69" t="n"/>
      <c r="D314" s="68" t="n"/>
      <c r="E314" s="69" t="n"/>
      <c r="F314" s="68" t="n"/>
      <c r="G314" s="69" t="n"/>
      <c r="H314" s="68" t="n"/>
      <c r="I314" s="70">
        <f>IF($A314="","",R313)</f>
        <v/>
      </c>
      <c r="J314" s="71">
        <f>IF($A314="","",IF(C314="",0,C314))</f>
        <v/>
      </c>
      <c r="K314" s="71">
        <f>IF($A314="","",IF(E314="",0,E314))</f>
        <v/>
      </c>
      <c r="L314" s="70">
        <f>IF($A314="","",B314-D314)</f>
        <v/>
      </c>
      <c r="M314" s="71">
        <f>IF($A314="","",J314-K314)</f>
        <v/>
      </c>
      <c r="N314" s="71">
        <f>IF($A314="","",IF(G314="",0,G314))</f>
        <v/>
      </c>
      <c r="O314" s="70">
        <f>IF($A314="","",D314+F314)</f>
        <v/>
      </c>
      <c r="P314" s="71">
        <f>IF($A314="","",K314+N314)</f>
        <v/>
      </c>
      <c r="Q314" s="70">
        <f>IF($A314="","",I314+L314-F314)</f>
        <v/>
      </c>
      <c r="R314" s="72">
        <f>IF($A314="","",IF(H314="",Q314,H314))</f>
        <v/>
      </c>
      <c r="S314" s="73">
        <f>IF($A314="","",R314-Q314)</f>
        <v/>
      </c>
      <c r="T314" s="70">
        <f>IF($A314="","",SUMIFS($B$5:$B$800,$A$5:$A$800,"&gt;="&amp;DATE(YEAR($A314),MONTH($A314),1),$A$5:$A$800,"&lt;="&amp;$A314)+IF(AND(YEAR($A314)=YEAR(Settings!$B$3),MONTH($A314)=MONTH(Settings!$B$3)),Settings!$B$6,0))</f>
        <v/>
      </c>
      <c r="U314" s="71">
        <f>IF($A314="","",SUMIFS($J$5:$J$800,$A$5:$A$800,"&gt;="&amp;DATE(YEAR($A314),MONTH($A314),1),$A$5:$A$800,"&lt;="&amp;$A314)+IF(AND(YEAR($A314)=YEAR(Settings!$B$3),MONTH($A314)=MONTH(Settings!$B$3)),Settings!$B$7,0))</f>
        <v/>
      </c>
      <c r="V314" s="70">
        <f>IF($A314="","",Settings!$B$8+SUM($B$5:B314))</f>
        <v/>
      </c>
      <c r="W314" s="71">
        <f>IF($A314="","",Settings!$B$9+SUM($J$5:J314))</f>
        <v/>
      </c>
      <c r="X314" s="71">
        <f>IF($A314="","",IF(AND(N314&gt;0,F314&gt;0),ROUND(F314/N314,0),X313))</f>
        <v/>
      </c>
      <c r="Y314" s="74">
        <f>IF($A314="","",IF(AND(M314&gt;0,L314&gt;0),ROUND(L314/M314,0),IF(AND(J314&gt;0,B314&gt;0),ROUND(B314/J314,0),Y313)))</f>
        <v/>
      </c>
    </row>
    <row r="315">
      <c r="A315" s="67" t="n"/>
      <c r="B315" s="68" t="n"/>
      <c r="C315" s="69" t="n"/>
      <c r="D315" s="68" t="n"/>
      <c r="E315" s="69" t="n"/>
      <c r="F315" s="68" t="n"/>
      <c r="G315" s="69" t="n"/>
      <c r="H315" s="68" t="n"/>
      <c r="I315" s="70">
        <f>IF($A315="","",R314)</f>
        <v/>
      </c>
      <c r="J315" s="71">
        <f>IF($A315="","",IF(C315="",0,C315))</f>
        <v/>
      </c>
      <c r="K315" s="71">
        <f>IF($A315="","",IF(E315="",0,E315))</f>
        <v/>
      </c>
      <c r="L315" s="70">
        <f>IF($A315="","",B315-D315)</f>
        <v/>
      </c>
      <c r="M315" s="71">
        <f>IF($A315="","",J315-K315)</f>
        <v/>
      </c>
      <c r="N315" s="71">
        <f>IF($A315="","",IF(G315="",0,G315))</f>
        <v/>
      </c>
      <c r="O315" s="70">
        <f>IF($A315="","",D315+F315)</f>
        <v/>
      </c>
      <c r="P315" s="71">
        <f>IF($A315="","",K315+N315)</f>
        <v/>
      </c>
      <c r="Q315" s="70">
        <f>IF($A315="","",I315+L315-F315)</f>
        <v/>
      </c>
      <c r="R315" s="72">
        <f>IF($A315="","",IF(H315="",Q315,H315))</f>
        <v/>
      </c>
      <c r="S315" s="73">
        <f>IF($A315="","",R315-Q315)</f>
        <v/>
      </c>
      <c r="T315" s="70">
        <f>IF($A315="","",SUMIFS($B$5:$B$800,$A$5:$A$800,"&gt;="&amp;DATE(YEAR($A315),MONTH($A315),1),$A$5:$A$800,"&lt;="&amp;$A315)+IF(AND(YEAR($A315)=YEAR(Settings!$B$3),MONTH($A315)=MONTH(Settings!$B$3)),Settings!$B$6,0))</f>
        <v/>
      </c>
      <c r="U315" s="71">
        <f>IF($A315="","",SUMIFS($J$5:$J$800,$A$5:$A$800,"&gt;="&amp;DATE(YEAR($A315),MONTH($A315),1),$A$5:$A$800,"&lt;="&amp;$A315)+IF(AND(YEAR($A315)=YEAR(Settings!$B$3),MONTH($A315)=MONTH(Settings!$B$3)),Settings!$B$7,0))</f>
        <v/>
      </c>
      <c r="V315" s="70">
        <f>IF($A315="","",Settings!$B$8+SUM($B$5:B315))</f>
        <v/>
      </c>
      <c r="W315" s="71">
        <f>IF($A315="","",Settings!$B$9+SUM($J$5:J315))</f>
        <v/>
      </c>
      <c r="X315" s="71">
        <f>IF($A315="","",IF(AND(N315&gt;0,F315&gt;0),ROUND(F315/N315,0),X314))</f>
        <v/>
      </c>
      <c r="Y315" s="74">
        <f>IF($A315="","",IF(AND(M315&gt;0,L315&gt;0),ROUND(L315/M315,0),IF(AND(J315&gt;0,B315&gt;0),ROUND(B315/J315,0),Y314)))</f>
        <v/>
      </c>
    </row>
    <row r="316">
      <c r="A316" s="67" t="n"/>
      <c r="B316" s="68" t="n"/>
      <c r="C316" s="69" t="n"/>
      <c r="D316" s="68" t="n"/>
      <c r="E316" s="69" t="n"/>
      <c r="F316" s="68" t="n"/>
      <c r="G316" s="69" t="n"/>
      <c r="H316" s="68" t="n"/>
      <c r="I316" s="70">
        <f>IF($A316="","",R315)</f>
        <v/>
      </c>
      <c r="J316" s="71">
        <f>IF($A316="","",IF(C316="",0,C316))</f>
        <v/>
      </c>
      <c r="K316" s="71">
        <f>IF($A316="","",IF(E316="",0,E316))</f>
        <v/>
      </c>
      <c r="L316" s="70">
        <f>IF($A316="","",B316-D316)</f>
        <v/>
      </c>
      <c r="M316" s="71">
        <f>IF($A316="","",J316-K316)</f>
        <v/>
      </c>
      <c r="N316" s="71">
        <f>IF($A316="","",IF(G316="",0,G316))</f>
        <v/>
      </c>
      <c r="O316" s="70">
        <f>IF($A316="","",D316+F316)</f>
        <v/>
      </c>
      <c r="P316" s="71">
        <f>IF($A316="","",K316+N316)</f>
        <v/>
      </c>
      <c r="Q316" s="70">
        <f>IF($A316="","",I316+L316-F316)</f>
        <v/>
      </c>
      <c r="R316" s="72">
        <f>IF($A316="","",IF(H316="",Q316,H316))</f>
        <v/>
      </c>
      <c r="S316" s="73">
        <f>IF($A316="","",R316-Q316)</f>
        <v/>
      </c>
      <c r="T316" s="70">
        <f>IF($A316="","",SUMIFS($B$5:$B$800,$A$5:$A$800,"&gt;="&amp;DATE(YEAR($A316),MONTH($A316),1),$A$5:$A$800,"&lt;="&amp;$A316)+IF(AND(YEAR($A316)=YEAR(Settings!$B$3),MONTH($A316)=MONTH(Settings!$B$3)),Settings!$B$6,0))</f>
        <v/>
      </c>
      <c r="U316" s="71">
        <f>IF($A316="","",SUMIFS($J$5:$J$800,$A$5:$A$800,"&gt;="&amp;DATE(YEAR($A316),MONTH($A316),1),$A$5:$A$800,"&lt;="&amp;$A316)+IF(AND(YEAR($A316)=YEAR(Settings!$B$3),MONTH($A316)=MONTH(Settings!$B$3)),Settings!$B$7,0))</f>
        <v/>
      </c>
      <c r="V316" s="70">
        <f>IF($A316="","",Settings!$B$8+SUM($B$5:B316))</f>
        <v/>
      </c>
      <c r="W316" s="71">
        <f>IF($A316="","",Settings!$B$9+SUM($J$5:J316))</f>
        <v/>
      </c>
      <c r="X316" s="71">
        <f>IF($A316="","",IF(AND(N316&gt;0,F316&gt;0),ROUND(F316/N316,0),X315))</f>
        <v/>
      </c>
      <c r="Y316" s="74">
        <f>IF($A316="","",IF(AND(M316&gt;0,L316&gt;0),ROUND(L316/M316,0),IF(AND(J316&gt;0,B316&gt;0),ROUND(B316/J316,0),Y315)))</f>
        <v/>
      </c>
    </row>
    <row r="317">
      <c r="A317" s="67" t="n"/>
      <c r="B317" s="68" t="n"/>
      <c r="C317" s="69" t="n"/>
      <c r="D317" s="68" t="n"/>
      <c r="E317" s="69" t="n"/>
      <c r="F317" s="68" t="n"/>
      <c r="G317" s="69" t="n"/>
      <c r="H317" s="68" t="n"/>
      <c r="I317" s="70">
        <f>IF($A317="","",R316)</f>
        <v/>
      </c>
      <c r="J317" s="71">
        <f>IF($A317="","",IF(C317="",0,C317))</f>
        <v/>
      </c>
      <c r="K317" s="71">
        <f>IF($A317="","",IF(E317="",0,E317))</f>
        <v/>
      </c>
      <c r="L317" s="70">
        <f>IF($A317="","",B317-D317)</f>
        <v/>
      </c>
      <c r="M317" s="71">
        <f>IF($A317="","",J317-K317)</f>
        <v/>
      </c>
      <c r="N317" s="71">
        <f>IF($A317="","",IF(G317="",0,G317))</f>
        <v/>
      </c>
      <c r="O317" s="70">
        <f>IF($A317="","",D317+F317)</f>
        <v/>
      </c>
      <c r="P317" s="71">
        <f>IF($A317="","",K317+N317)</f>
        <v/>
      </c>
      <c r="Q317" s="70">
        <f>IF($A317="","",I317+L317-F317)</f>
        <v/>
      </c>
      <c r="R317" s="72">
        <f>IF($A317="","",IF(H317="",Q317,H317))</f>
        <v/>
      </c>
      <c r="S317" s="73">
        <f>IF($A317="","",R317-Q317)</f>
        <v/>
      </c>
      <c r="T317" s="70">
        <f>IF($A317="","",SUMIFS($B$5:$B$800,$A$5:$A$800,"&gt;="&amp;DATE(YEAR($A317),MONTH($A317),1),$A$5:$A$800,"&lt;="&amp;$A317)+IF(AND(YEAR($A317)=YEAR(Settings!$B$3),MONTH($A317)=MONTH(Settings!$B$3)),Settings!$B$6,0))</f>
        <v/>
      </c>
      <c r="U317" s="71">
        <f>IF($A317="","",SUMIFS($J$5:$J$800,$A$5:$A$800,"&gt;="&amp;DATE(YEAR($A317),MONTH($A317),1),$A$5:$A$800,"&lt;="&amp;$A317)+IF(AND(YEAR($A317)=YEAR(Settings!$B$3),MONTH($A317)=MONTH(Settings!$B$3)),Settings!$B$7,0))</f>
        <v/>
      </c>
      <c r="V317" s="70">
        <f>IF($A317="","",Settings!$B$8+SUM($B$5:B317))</f>
        <v/>
      </c>
      <c r="W317" s="71">
        <f>IF($A317="","",Settings!$B$9+SUM($J$5:J317))</f>
        <v/>
      </c>
      <c r="X317" s="71">
        <f>IF($A317="","",IF(AND(N317&gt;0,F317&gt;0),ROUND(F317/N317,0),X316))</f>
        <v/>
      </c>
      <c r="Y317" s="74">
        <f>IF($A317="","",IF(AND(M317&gt;0,L317&gt;0),ROUND(L317/M317,0),IF(AND(J317&gt;0,B317&gt;0),ROUND(B317/J317,0),Y316)))</f>
        <v/>
      </c>
    </row>
    <row r="318">
      <c r="A318" s="67" t="n"/>
      <c r="B318" s="68" t="n"/>
      <c r="C318" s="69" t="n"/>
      <c r="D318" s="68" t="n"/>
      <c r="E318" s="69" t="n"/>
      <c r="F318" s="68" t="n"/>
      <c r="G318" s="69" t="n"/>
      <c r="H318" s="68" t="n"/>
      <c r="I318" s="70">
        <f>IF($A318="","",R317)</f>
        <v/>
      </c>
      <c r="J318" s="71">
        <f>IF($A318="","",IF(C318="",0,C318))</f>
        <v/>
      </c>
      <c r="K318" s="71">
        <f>IF($A318="","",IF(E318="",0,E318))</f>
        <v/>
      </c>
      <c r="L318" s="70">
        <f>IF($A318="","",B318-D318)</f>
        <v/>
      </c>
      <c r="M318" s="71">
        <f>IF($A318="","",J318-K318)</f>
        <v/>
      </c>
      <c r="N318" s="71">
        <f>IF($A318="","",IF(G318="",0,G318))</f>
        <v/>
      </c>
      <c r="O318" s="70">
        <f>IF($A318="","",D318+F318)</f>
        <v/>
      </c>
      <c r="P318" s="71">
        <f>IF($A318="","",K318+N318)</f>
        <v/>
      </c>
      <c r="Q318" s="70">
        <f>IF($A318="","",I318+L318-F318)</f>
        <v/>
      </c>
      <c r="R318" s="72">
        <f>IF($A318="","",IF(H318="",Q318,H318))</f>
        <v/>
      </c>
      <c r="S318" s="73">
        <f>IF($A318="","",R318-Q318)</f>
        <v/>
      </c>
      <c r="T318" s="70">
        <f>IF($A318="","",SUMIFS($B$5:$B$800,$A$5:$A$800,"&gt;="&amp;DATE(YEAR($A318),MONTH($A318),1),$A$5:$A$800,"&lt;="&amp;$A318)+IF(AND(YEAR($A318)=YEAR(Settings!$B$3),MONTH($A318)=MONTH(Settings!$B$3)),Settings!$B$6,0))</f>
        <v/>
      </c>
      <c r="U318" s="71">
        <f>IF($A318="","",SUMIFS($J$5:$J$800,$A$5:$A$800,"&gt;="&amp;DATE(YEAR($A318),MONTH($A318),1),$A$5:$A$800,"&lt;="&amp;$A318)+IF(AND(YEAR($A318)=YEAR(Settings!$B$3),MONTH($A318)=MONTH(Settings!$B$3)),Settings!$B$7,0))</f>
        <v/>
      </c>
      <c r="V318" s="70">
        <f>IF($A318="","",Settings!$B$8+SUM($B$5:B318))</f>
        <v/>
      </c>
      <c r="W318" s="71">
        <f>IF($A318="","",Settings!$B$9+SUM($J$5:J318))</f>
        <v/>
      </c>
      <c r="X318" s="71">
        <f>IF($A318="","",IF(AND(N318&gt;0,F318&gt;0),ROUND(F318/N318,0),X317))</f>
        <v/>
      </c>
      <c r="Y318" s="74">
        <f>IF($A318="","",IF(AND(M318&gt;0,L318&gt;0),ROUND(L318/M318,0),IF(AND(J318&gt;0,B318&gt;0),ROUND(B318/J318,0),Y317)))</f>
        <v/>
      </c>
    </row>
    <row r="319">
      <c r="A319" s="67" t="n"/>
      <c r="B319" s="68" t="n"/>
      <c r="C319" s="69" t="n"/>
      <c r="D319" s="68" t="n"/>
      <c r="E319" s="69" t="n"/>
      <c r="F319" s="68" t="n"/>
      <c r="G319" s="69" t="n"/>
      <c r="H319" s="68" t="n"/>
      <c r="I319" s="70">
        <f>IF($A319="","",R318)</f>
        <v/>
      </c>
      <c r="J319" s="71">
        <f>IF($A319="","",IF(C319="",0,C319))</f>
        <v/>
      </c>
      <c r="K319" s="71">
        <f>IF($A319="","",IF(E319="",0,E319))</f>
        <v/>
      </c>
      <c r="L319" s="70">
        <f>IF($A319="","",B319-D319)</f>
        <v/>
      </c>
      <c r="M319" s="71">
        <f>IF($A319="","",J319-K319)</f>
        <v/>
      </c>
      <c r="N319" s="71">
        <f>IF($A319="","",IF(G319="",0,G319))</f>
        <v/>
      </c>
      <c r="O319" s="70">
        <f>IF($A319="","",D319+F319)</f>
        <v/>
      </c>
      <c r="P319" s="71">
        <f>IF($A319="","",K319+N319)</f>
        <v/>
      </c>
      <c r="Q319" s="70">
        <f>IF($A319="","",I319+L319-F319)</f>
        <v/>
      </c>
      <c r="R319" s="72">
        <f>IF($A319="","",IF(H319="",Q319,H319))</f>
        <v/>
      </c>
      <c r="S319" s="73">
        <f>IF($A319="","",R319-Q319)</f>
        <v/>
      </c>
      <c r="T319" s="70">
        <f>IF($A319="","",SUMIFS($B$5:$B$800,$A$5:$A$800,"&gt;="&amp;DATE(YEAR($A319),MONTH($A319),1),$A$5:$A$800,"&lt;="&amp;$A319)+IF(AND(YEAR($A319)=YEAR(Settings!$B$3),MONTH($A319)=MONTH(Settings!$B$3)),Settings!$B$6,0))</f>
        <v/>
      </c>
      <c r="U319" s="71">
        <f>IF($A319="","",SUMIFS($J$5:$J$800,$A$5:$A$800,"&gt;="&amp;DATE(YEAR($A319),MONTH($A319),1),$A$5:$A$800,"&lt;="&amp;$A319)+IF(AND(YEAR($A319)=YEAR(Settings!$B$3),MONTH($A319)=MONTH(Settings!$B$3)),Settings!$B$7,0))</f>
        <v/>
      </c>
      <c r="V319" s="70">
        <f>IF($A319="","",Settings!$B$8+SUM($B$5:B319))</f>
        <v/>
      </c>
      <c r="W319" s="71">
        <f>IF($A319="","",Settings!$B$9+SUM($J$5:J319))</f>
        <v/>
      </c>
      <c r="X319" s="71">
        <f>IF($A319="","",IF(AND(N319&gt;0,F319&gt;0),ROUND(F319/N319,0),X318))</f>
        <v/>
      </c>
      <c r="Y319" s="74">
        <f>IF($A319="","",IF(AND(M319&gt;0,L319&gt;0),ROUND(L319/M319,0),IF(AND(J319&gt;0,B319&gt;0),ROUND(B319/J319,0),Y318)))</f>
        <v/>
      </c>
    </row>
    <row r="320">
      <c r="A320" s="67" t="n"/>
      <c r="B320" s="68" t="n"/>
      <c r="C320" s="69" t="n"/>
      <c r="D320" s="68" t="n"/>
      <c r="E320" s="69" t="n"/>
      <c r="F320" s="68" t="n"/>
      <c r="G320" s="69" t="n"/>
      <c r="H320" s="68" t="n"/>
      <c r="I320" s="70">
        <f>IF($A320="","",R319)</f>
        <v/>
      </c>
      <c r="J320" s="71">
        <f>IF($A320="","",IF(C320="",0,C320))</f>
        <v/>
      </c>
      <c r="K320" s="71">
        <f>IF($A320="","",IF(E320="",0,E320))</f>
        <v/>
      </c>
      <c r="L320" s="70">
        <f>IF($A320="","",B320-D320)</f>
        <v/>
      </c>
      <c r="M320" s="71">
        <f>IF($A320="","",J320-K320)</f>
        <v/>
      </c>
      <c r="N320" s="71">
        <f>IF($A320="","",IF(G320="",0,G320))</f>
        <v/>
      </c>
      <c r="O320" s="70">
        <f>IF($A320="","",D320+F320)</f>
        <v/>
      </c>
      <c r="P320" s="71">
        <f>IF($A320="","",K320+N320)</f>
        <v/>
      </c>
      <c r="Q320" s="70">
        <f>IF($A320="","",I320+L320-F320)</f>
        <v/>
      </c>
      <c r="R320" s="72">
        <f>IF($A320="","",IF(H320="",Q320,H320))</f>
        <v/>
      </c>
      <c r="S320" s="73">
        <f>IF($A320="","",R320-Q320)</f>
        <v/>
      </c>
      <c r="T320" s="70">
        <f>IF($A320="","",SUMIFS($B$5:$B$800,$A$5:$A$800,"&gt;="&amp;DATE(YEAR($A320),MONTH($A320),1),$A$5:$A$800,"&lt;="&amp;$A320)+IF(AND(YEAR($A320)=YEAR(Settings!$B$3),MONTH($A320)=MONTH(Settings!$B$3)),Settings!$B$6,0))</f>
        <v/>
      </c>
      <c r="U320" s="71">
        <f>IF($A320="","",SUMIFS($J$5:$J$800,$A$5:$A$800,"&gt;="&amp;DATE(YEAR($A320),MONTH($A320),1),$A$5:$A$800,"&lt;="&amp;$A320)+IF(AND(YEAR($A320)=YEAR(Settings!$B$3),MONTH($A320)=MONTH(Settings!$B$3)),Settings!$B$7,0))</f>
        <v/>
      </c>
      <c r="V320" s="70">
        <f>IF($A320="","",Settings!$B$8+SUM($B$5:B320))</f>
        <v/>
      </c>
      <c r="W320" s="71">
        <f>IF($A320="","",Settings!$B$9+SUM($J$5:J320))</f>
        <v/>
      </c>
      <c r="X320" s="71">
        <f>IF($A320="","",IF(AND(N320&gt;0,F320&gt;0),ROUND(F320/N320,0),X319))</f>
        <v/>
      </c>
      <c r="Y320" s="74">
        <f>IF($A320="","",IF(AND(M320&gt;0,L320&gt;0),ROUND(L320/M320,0),IF(AND(J320&gt;0,B320&gt;0),ROUND(B320/J320,0),Y319)))</f>
        <v/>
      </c>
    </row>
    <row r="321">
      <c r="A321" s="67" t="n"/>
      <c r="B321" s="68" t="n"/>
      <c r="C321" s="69" t="n"/>
      <c r="D321" s="68" t="n"/>
      <c r="E321" s="69" t="n"/>
      <c r="F321" s="68" t="n"/>
      <c r="G321" s="69" t="n"/>
      <c r="H321" s="68" t="n"/>
      <c r="I321" s="70">
        <f>IF($A321="","",R320)</f>
        <v/>
      </c>
      <c r="J321" s="71">
        <f>IF($A321="","",IF(C321="",0,C321))</f>
        <v/>
      </c>
      <c r="K321" s="71">
        <f>IF($A321="","",IF(E321="",0,E321))</f>
        <v/>
      </c>
      <c r="L321" s="70">
        <f>IF($A321="","",B321-D321)</f>
        <v/>
      </c>
      <c r="M321" s="71">
        <f>IF($A321="","",J321-K321)</f>
        <v/>
      </c>
      <c r="N321" s="71">
        <f>IF($A321="","",IF(G321="",0,G321))</f>
        <v/>
      </c>
      <c r="O321" s="70">
        <f>IF($A321="","",D321+F321)</f>
        <v/>
      </c>
      <c r="P321" s="71">
        <f>IF($A321="","",K321+N321)</f>
        <v/>
      </c>
      <c r="Q321" s="70">
        <f>IF($A321="","",I321+L321-F321)</f>
        <v/>
      </c>
      <c r="R321" s="72">
        <f>IF($A321="","",IF(H321="",Q321,H321))</f>
        <v/>
      </c>
      <c r="S321" s="73">
        <f>IF($A321="","",R321-Q321)</f>
        <v/>
      </c>
      <c r="T321" s="70">
        <f>IF($A321="","",SUMIFS($B$5:$B$800,$A$5:$A$800,"&gt;="&amp;DATE(YEAR($A321),MONTH($A321),1),$A$5:$A$800,"&lt;="&amp;$A321)+IF(AND(YEAR($A321)=YEAR(Settings!$B$3),MONTH($A321)=MONTH(Settings!$B$3)),Settings!$B$6,0))</f>
        <v/>
      </c>
      <c r="U321" s="71">
        <f>IF($A321="","",SUMIFS($J$5:$J$800,$A$5:$A$800,"&gt;="&amp;DATE(YEAR($A321),MONTH($A321),1),$A$5:$A$800,"&lt;="&amp;$A321)+IF(AND(YEAR($A321)=YEAR(Settings!$B$3),MONTH($A321)=MONTH(Settings!$B$3)),Settings!$B$7,0))</f>
        <v/>
      </c>
      <c r="V321" s="70">
        <f>IF($A321="","",Settings!$B$8+SUM($B$5:B321))</f>
        <v/>
      </c>
      <c r="W321" s="71">
        <f>IF($A321="","",Settings!$B$9+SUM($J$5:J321))</f>
        <v/>
      </c>
      <c r="X321" s="71">
        <f>IF($A321="","",IF(AND(N321&gt;0,F321&gt;0),ROUND(F321/N321,0),X320))</f>
        <v/>
      </c>
      <c r="Y321" s="74">
        <f>IF($A321="","",IF(AND(M321&gt;0,L321&gt;0),ROUND(L321/M321,0),IF(AND(J321&gt;0,B321&gt;0),ROUND(B321/J321,0),Y320)))</f>
        <v/>
      </c>
    </row>
    <row r="322">
      <c r="A322" s="67" t="n"/>
      <c r="B322" s="68" t="n"/>
      <c r="C322" s="69" t="n"/>
      <c r="D322" s="68" t="n"/>
      <c r="E322" s="69" t="n"/>
      <c r="F322" s="68" t="n"/>
      <c r="G322" s="69" t="n"/>
      <c r="H322" s="68" t="n"/>
      <c r="I322" s="70">
        <f>IF($A322="","",R321)</f>
        <v/>
      </c>
      <c r="J322" s="71">
        <f>IF($A322="","",IF(C322="",0,C322))</f>
        <v/>
      </c>
      <c r="K322" s="71">
        <f>IF($A322="","",IF(E322="",0,E322))</f>
        <v/>
      </c>
      <c r="L322" s="70">
        <f>IF($A322="","",B322-D322)</f>
        <v/>
      </c>
      <c r="M322" s="71">
        <f>IF($A322="","",J322-K322)</f>
        <v/>
      </c>
      <c r="N322" s="71">
        <f>IF($A322="","",IF(G322="",0,G322))</f>
        <v/>
      </c>
      <c r="O322" s="70">
        <f>IF($A322="","",D322+F322)</f>
        <v/>
      </c>
      <c r="P322" s="71">
        <f>IF($A322="","",K322+N322)</f>
        <v/>
      </c>
      <c r="Q322" s="70">
        <f>IF($A322="","",I322+L322-F322)</f>
        <v/>
      </c>
      <c r="R322" s="72">
        <f>IF($A322="","",IF(H322="",Q322,H322))</f>
        <v/>
      </c>
      <c r="S322" s="73">
        <f>IF($A322="","",R322-Q322)</f>
        <v/>
      </c>
      <c r="T322" s="70">
        <f>IF($A322="","",SUMIFS($B$5:$B$800,$A$5:$A$800,"&gt;="&amp;DATE(YEAR($A322),MONTH($A322),1),$A$5:$A$800,"&lt;="&amp;$A322)+IF(AND(YEAR($A322)=YEAR(Settings!$B$3),MONTH($A322)=MONTH(Settings!$B$3)),Settings!$B$6,0))</f>
        <v/>
      </c>
      <c r="U322" s="71">
        <f>IF($A322="","",SUMIFS($J$5:$J$800,$A$5:$A$800,"&gt;="&amp;DATE(YEAR($A322),MONTH($A322),1),$A$5:$A$800,"&lt;="&amp;$A322)+IF(AND(YEAR($A322)=YEAR(Settings!$B$3),MONTH($A322)=MONTH(Settings!$B$3)),Settings!$B$7,0))</f>
        <v/>
      </c>
      <c r="V322" s="70">
        <f>IF($A322="","",Settings!$B$8+SUM($B$5:B322))</f>
        <v/>
      </c>
      <c r="W322" s="71">
        <f>IF($A322="","",Settings!$B$9+SUM($J$5:J322))</f>
        <v/>
      </c>
      <c r="X322" s="71">
        <f>IF($A322="","",IF(AND(N322&gt;0,F322&gt;0),ROUND(F322/N322,0),X321))</f>
        <v/>
      </c>
      <c r="Y322" s="74">
        <f>IF($A322="","",IF(AND(M322&gt;0,L322&gt;0),ROUND(L322/M322,0),IF(AND(J322&gt;0,B322&gt;0),ROUND(B322/J322,0),Y321)))</f>
        <v/>
      </c>
    </row>
    <row r="323">
      <c r="A323" s="67" t="n"/>
      <c r="B323" s="68" t="n"/>
      <c r="C323" s="69" t="n"/>
      <c r="D323" s="68" t="n"/>
      <c r="E323" s="69" t="n"/>
      <c r="F323" s="68" t="n"/>
      <c r="G323" s="69" t="n"/>
      <c r="H323" s="68" t="n"/>
      <c r="I323" s="70">
        <f>IF($A323="","",R322)</f>
        <v/>
      </c>
      <c r="J323" s="71">
        <f>IF($A323="","",IF(C323="",0,C323))</f>
        <v/>
      </c>
      <c r="K323" s="71">
        <f>IF($A323="","",IF(E323="",0,E323))</f>
        <v/>
      </c>
      <c r="L323" s="70">
        <f>IF($A323="","",B323-D323)</f>
        <v/>
      </c>
      <c r="M323" s="71">
        <f>IF($A323="","",J323-K323)</f>
        <v/>
      </c>
      <c r="N323" s="71">
        <f>IF($A323="","",IF(G323="",0,G323))</f>
        <v/>
      </c>
      <c r="O323" s="70">
        <f>IF($A323="","",D323+F323)</f>
        <v/>
      </c>
      <c r="P323" s="71">
        <f>IF($A323="","",K323+N323)</f>
        <v/>
      </c>
      <c r="Q323" s="70">
        <f>IF($A323="","",I323+L323-F323)</f>
        <v/>
      </c>
      <c r="R323" s="72">
        <f>IF($A323="","",IF(H323="",Q323,H323))</f>
        <v/>
      </c>
      <c r="S323" s="73">
        <f>IF($A323="","",R323-Q323)</f>
        <v/>
      </c>
      <c r="T323" s="70">
        <f>IF($A323="","",SUMIFS($B$5:$B$800,$A$5:$A$800,"&gt;="&amp;DATE(YEAR($A323),MONTH($A323),1),$A$5:$A$800,"&lt;="&amp;$A323)+IF(AND(YEAR($A323)=YEAR(Settings!$B$3),MONTH($A323)=MONTH(Settings!$B$3)),Settings!$B$6,0))</f>
        <v/>
      </c>
      <c r="U323" s="71">
        <f>IF($A323="","",SUMIFS($J$5:$J$800,$A$5:$A$800,"&gt;="&amp;DATE(YEAR($A323),MONTH($A323),1),$A$5:$A$800,"&lt;="&amp;$A323)+IF(AND(YEAR($A323)=YEAR(Settings!$B$3),MONTH($A323)=MONTH(Settings!$B$3)),Settings!$B$7,0))</f>
        <v/>
      </c>
      <c r="V323" s="70">
        <f>IF($A323="","",Settings!$B$8+SUM($B$5:B323))</f>
        <v/>
      </c>
      <c r="W323" s="71">
        <f>IF($A323="","",Settings!$B$9+SUM($J$5:J323))</f>
        <v/>
      </c>
      <c r="X323" s="71">
        <f>IF($A323="","",IF(AND(N323&gt;0,F323&gt;0),ROUND(F323/N323,0),X322))</f>
        <v/>
      </c>
      <c r="Y323" s="74">
        <f>IF($A323="","",IF(AND(M323&gt;0,L323&gt;0),ROUND(L323/M323,0),IF(AND(J323&gt;0,B323&gt;0),ROUND(B323/J323,0),Y322)))</f>
        <v/>
      </c>
    </row>
    <row r="324">
      <c r="A324" s="67" t="n"/>
      <c r="B324" s="68" t="n"/>
      <c r="C324" s="69" t="n"/>
      <c r="D324" s="68" t="n"/>
      <c r="E324" s="69" t="n"/>
      <c r="F324" s="68" t="n"/>
      <c r="G324" s="69" t="n"/>
      <c r="H324" s="68" t="n"/>
      <c r="I324" s="70">
        <f>IF($A324="","",R323)</f>
        <v/>
      </c>
      <c r="J324" s="71">
        <f>IF($A324="","",IF(C324="",0,C324))</f>
        <v/>
      </c>
      <c r="K324" s="71">
        <f>IF($A324="","",IF(E324="",0,E324))</f>
        <v/>
      </c>
      <c r="L324" s="70">
        <f>IF($A324="","",B324-D324)</f>
        <v/>
      </c>
      <c r="M324" s="71">
        <f>IF($A324="","",J324-K324)</f>
        <v/>
      </c>
      <c r="N324" s="71">
        <f>IF($A324="","",IF(G324="",0,G324))</f>
        <v/>
      </c>
      <c r="O324" s="70">
        <f>IF($A324="","",D324+F324)</f>
        <v/>
      </c>
      <c r="P324" s="71">
        <f>IF($A324="","",K324+N324)</f>
        <v/>
      </c>
      <c r="Q324" s="70">
        <f>IF($A324="","",I324+L324-F324)</f>
        <v/>
      </c>
      <c r="R324" s="72">
        <f>IF($A324="","",IF(H324="",Q324,H324))</f>
        <v/>
      </c>
      <c r="S324" s="73">
        <f>IF($A324="","",R324-Q324)</f>
        <v/>
      </c>
      <c r="T324" s="70">
        <f>IF($A324="","",SUMIFS($B$5:$B$800,$A$5:$A$800,"&gt;="&amp;DATE(YEAR($A324),MONTH($A324),1),$A$5:$A$800,"&lt;="&amp;$A324)+IF(AND(YEAR($A324)=YEAR(Settings!$B$3),MONTH($A324)=MONTH(Settings!$B$3)),Settings!$B$6,0))</f>
        <v/>
      </c>
      <c r="U324" s="71">
        <f>IF($A324="","",SUMIFS($J$5:$J$800,$A$5:$A$800,"&gt;="&amp;DATE(YEAR($A324),MONTH($A324),1),$A$5:$A$800,"&lt;="&amp;$A324)+IF(AND(YEAR($A324)=YEAR(Settings!$B$3),MONTH($A324)=MONTH(Settings!$B$3)),Settings!$B$7,0))</f>
        <v/>
      </c>
      <c r="V324" s="70">
        <f>IF($A324="","",Settings!$B$8+SUM($B$5:B324))</f>
        <v/>
      </c>
      <c r="W324" s="71">
        <f>IF($A324="","",Settings!$B$9+SUM($J$5:J324))</f>
        <v/>
      </c>
      <c r="X324" s="71">
        <f>IF($A324="","",IF(AND(N324&gt;0,F324&gt;0),ROUND(F324/N324,0),X323))</f>
        <v/>
      </c>
      <c r="Y324" s="74">
        <f>IF($A324="","",IF(AND(M324&gt;0,L324&gt;0),ROUND(L324/M324,0),IF(AND(J324&gt;0,B324&gt;0),ROUND(B324/J324,0),Y323)))</f>
        <v/>
      </c>
    </row>
    <row r="325">
      <c r="A325" s="67" t="n"/>
      <c r="B325" s="68" t="n"/>
      <c r="C325" s="69" t="n"/>
      <c r="D325" s="68" t="n"/>
      <c r="E325" s="69" t="n"/>
      <c r="F325" s="68" t="n"/>
      <c r="G325" s="69" t="n"/>
      <c r="H325" s="68" t="n"/>
      <c r="I325" s="70">
        <f>IF($A325="","",R324)</f>
        <v/>
      </c>
      <c r="J325" s="71">
        <f>IF($A325="","",IF(C325="",0,C325))</f>
        <v/>
      </c>
      <c r="K325" s="71">
        <f>IF($A325="","",IF(E325="",0,E325))</f>
        <v/>
      </c>
      <c r="L325" s="70">
        <f>IF($A325="","",B325-D325)</f>
        <v/>
      </c>
      <c r="M325" s="71">
        <f>IF($A325="","",J325-K325)</f>
        <v/>
      </c>
      <c r="N325" s="71">
        <f>IF($A325="","",IF(G325="",0,G325))</f>
        <v/>
      </c>
      <c r="O325" s="70">
        <f>IF($A325="","",D325+F325)</f>
        <v/>
      </c>
      <c r="P325" s="71">
        <f>IF($A325="","",K325+N325)</f>
        <v/>
      </c>
      <c r="Q325" s="70">
        <f>IF($A325="","",I325+L325-F325)</f>
        <v/>
      </c>
      <c r="R325" s="72">
        <f>IF($A325="","",IF(H325="",Q325,H325))</f>
        <v/>
      </c>
      <c r="S325" s="73">
        <f>IF($A325="","",R325-Q325)</f>
        <v/>
      </c>
      <c r="T325" s="70">
        <f>IF($A325="","",SUMIFS($B$5:$B$800,$A$5:$A$800,"&gt;="&amp;DATE(YEAR($A325),MONTH($A325),1),$A$5:$A$800,"&lt;="&amp;$A325)+IF(AND(YEAR($A325)=YEAR(Settings!$B$3),MONTH($A325)=MONTH(Settings!$B$3)),Settings!$B$6,0))</f>
        <v/>
      </c>
      <c r="U325" s="71">
        <f>IF($A325="","",SUMIFS($J$5:$J$800,$A$5:$A$800,"&gt;="&amp;DATE(YEAR($A325),MONTH($A325),1),$A$5:$A$800,"&lt;="&amp;$A325)+IF(AND(YEAR($A325)=YEAR(Settings!$B$3),MONTH($A325)=MONTH(Settings!$B$3)),Settings!$B$7,0))</f>
        <v/>
      </c>
      <c r="V325" s="70">
        <f>IF($A325="","",Settings!$B$8+SUM($B$5:B325))</f>
        <v/>
      </c>
      <c r="W325" s="71">
        <f>IF($A325="","",Settings!$B$9+SUM($J$5:J325))</f>
        <v/>
      </c>
      <c r="X325" s="71">
        <f>IF($A325="","",IF(AND(N325&gt;0,F325&gt;0),ROUND(F325/N325,0),X324))</f>
        <v/>
      </c>
      <c r="Y325" s="74">
        <f>IF($A325="","",IF(AND(M325&gt;0,L325&gt;0),ROUND(L325/M325,0),IF(AND(J325&gt;0,B325&gt;0),ROUND(B325/J325,0),Y324)))</f>
        <v/>
      </c>
    </row>
    <row r="326">
      <c r="A326" s="67" t="n"/>
      <c r="B326" s="68" t="n"/>
      <c r="C326" s="69" t="n"/>
      <c r="D326" s="68" t="n"/>
      <c r="E326" s="69" t="n"/>
      <c r="F326" s="68" t="n"/>
      <c r="G326" s="69" t="n"/>
      <c r="H326" s="68" t="n"/>
      <c r="I326" s="70">
        <f>IF($A326="","",R325)</f>
        <v/>
      </c>
      <c r="J326" s="71">
        <f>IF($A326="","",IF(C326="",0,C326))</f>
        <v/>
      </c>
      <c r="K326" s="71">
        <f>IF($A326="","",IF(E326="",0,E326))</f>
        <v/>
      </c>
      <c r="L326" s="70">
        <f>IF($A326="","",B326-D326)</f>
        <v/>
      </c>
      <c r="M326" s="71">
        <f>IF($A326="","",J326-K326)</f>
        <v/>
      </c>
      <c r="N326" s="71">
        <f>IF($A326="","",IF(G326="",0,G326))</f>
        <v/>
      </c>
      <c r="O326" s="70">
        <f>IF($A326="","",D326+F326)</f>
        <v/>
      </c>
      <c r="P326" s="71">
        <f>IF($A326="","",K326+N326)</f>
        <v/>
      </c>
      <c r="Q326" s="70">
        <f>IF($A326="","",I326+L326-F326)</f>
        <v/>
      </c>
      <c r="R326" s="72">
        <f>IF($A326="","",IF(H326="",Q326,H326))</f>
        <v/>
      </c>
      <c r="S326" s="73">
        <f>IF($A326="","",R326-Q326)</f>
        <v/>
      </c>
      <c r="T326" s="70">
        <f>IF($A326="","",SUMIFS($B$5:$B$800,$A$5:$A$800,"&gt;="&amp;DATE(YEAR($A326),MONTH($A326),1),$A$5:$A$800,"&lt;="&amp;$A326)+IF(AND(YEAR($A326)=YEAR(Settings!$B$3),MONTH($A326)=MONTH(Settings!$B$3)),Settings!$B$6,0))</f>
        <v/>
      </c>
      <c r="U326" s="71">
        <f>IF($A326="","",SUMIFS($J$5:$J$800,$A$5:$A$800,"&gt;="&amp;DATE(YEAR($A326),MONTH($A326),1),$A$5:$A$800,"&lt;="&amp;$A326)+IF(AND(YEAR($A326)=YEAR(Settings!$B$3),MONTH($A326)=MONTH(Settings!$B$3)),Settings!$B$7,0))</f>
        <v/>
      </c>
      <c r="V326" s="70">
        <f>IF($A326="","",Settings!$B$8+SUM($B$5:B326))</f>
        <v/>
      </c>
      <c r="W326" s="71">
        <f>IF($A326="","",Settings!$B$9+SUM($J$5:J326))</f>
        <v/>
      </c>
      <c r="X326" s="71">
        <f>IF($A326="","",IF(AND(N326&gt;0,F326&gt;0),ROUND(F326/N326,0),X325))</f>
        <v/>
      </c>
      <c r="Y326" s="74">
        <f>IF($A326="","",IF(AND(M326&gt;0,L326&gt;0),ROUND(L326/M326,0),IF(AND(J326&gt;0,B326&gt;0),ROUND(B326/J326,0),Y325)))</f>
        <v/>
      </c>
    </row>
    <row r="327">
      <c r="A327" s="67" t="n"/>
      <c r="B327" s="68" t="n"/>
      <c r="C327" s="69" t="n"/>
      <c r="D327" s="68" t="n"/>
      <c r="E327" s="69" t="n"/>
      <c r="F327" s="68" t="n"/>
      <c r="G327" s="69" t="n"/>
      <c r="H327" s="68" t="n"/>
      <c r="I327" s="70">
        <f>IF($A327="","",R326)</f>
        <v/>
      </c>
      <c r="J327" s="71">
        <f>IF($A327="","",IF(C327="",0,C327))</f>
        <v/>
      </c>
      <c r="K327" s="71">
        <f>IF($A327="","",IF(E327="",0,E327))</f>
        <v/>
      </c>
      <c r="L327" s="70">
        <f>IF($A327="","",B327-D327)</f>
        <v/>
      </c>
      <c r="M327" s="71">
        <f>IF($A327="","",J327-K327)</f>
        <v/>
      </c>
      <c r="N327" s="71">
        <f>IF($A327="","",IF(G327="",0,G327))</f>
        <v/>
      </c>
      <c r="O327" s="70">
        <f>IF($A327="","",D327+F327)</f>
        <v/>
      </c>
      <c r="P327" s="71">
        <f>IF($A327="","",K327+N327)</f>
        <v/>
      </c>
      <c r="Q327" s="70">
        <f>IF($A327="","",I327+L327-F327)</f>
        <v/>
      </c>
      <c r="R327" s="72">
        <f>IF($A327="","",IF(H327="",Q327,H327))</f>
        <v/>
      </c>
      <c r="S327" s="73">
        <f>IF($A327="","",R327-Q327)</f>
        <v/>
      </c>
      <c r="T327" s="70">
        <f>IF($A327="","",SUMIFS($B$5:$B$800,$A$5:$A$800,"&gt;="&amp;DATE(YEAR($A327),MONTH($A327),1),$A$5:$A$800,"&lt;="&amp;$A327)+IF(AND(YEAR($A327)=YEAR(Settings!$B$3),MONTH($A327)=MONTH(Settings!$B$3)),Settings!$B$6,0))</f>
        <v/>
      </c>
      <c r="U327" s="71">
        <f>IF($A327="","",SUMIFS($J$5:$J$800,$A$5:$A$800,"&gt;="&amp;DATE(YEAR($A327),MONTH($A327),1),$A$5:$A$800,"&lt;="&amp;$A327)+IF(AND(YEAR($A327)=YEAR(Settings!$B$3),MONTH($A327)=MONTH(Settings!$B$3)),Settings!$B$7,0))</f>
        <v/>
      </c>
      <c r="V327" s="70">
        <f>IF($A327="","",Settings!$B$8+SUM($B$5:B327))</f>
        <v/>
      </c>
      <c r="W327" s="71">
        <f>IF($A327="","",Settings!$B$9+SUM($J$5:J327))</f>
        <v/>
      </c>
      <c r="X327" s="71">
        <f>IF($A327="","",IF(AND(N327&gt;0,F327&gt;0),ROUND(F327/N327,0),X326))</f>
        <v/>
      </c>
      <c r="Y327" s="74">
        <f>IF($A327="","",IF(AND(M327&gt;0,L327&gt;0),ROUND(L327/M327,0),IF(AND(J327&gt;0,B327&gt;0),ROUND(B327/J327,0),Y326)))</f>
        <v/>
      </c>
    </row>
    <row r="328">
      <c r="A328" s="67" t="n"/>
      <c r="B328" s="68" t="n"/>
      <c r="C328" s="69" t="n"/>
      <c r="D328" s="68" t="n"/>
      <c r="E328" s="69" t="n"/>
      <c r="F328" s="68" t="n"/>
      <c r="G328" s="69" t="n"/>
      <c r="H328" s="68" t="n"/>
      <c r="I328" s="70">
        <f>IF($A328="","",R327)</f>
        <v/>
      </c>
      <c r="J328" s="71">
        <f>IF($A328="","",IF(C328="",0,C328))</f>
        <v/>
      </c>
      <c r="K328" s="71">
        <f>IF($A328="","",IF(E328="",0,E328))</f>
        <v/>
      </c>
      <c r="L328" s="70">
        <f>IF($A328="","",B328-D328)</f>
        <v/>
      </c>
      <c r="M328" s="71">
        <f>IF($A328="","",J328-K328)</f>
        <v/>
      </c>
      <c r="N328" s="71">
        <f>IF($A328="","",IF(G328="",0,G328))</f>
        <v/>
      </c>
      <c r="O328" s="70">
        <f>IF($A328="","",D328+F328)</f>
        <v/>
      </c>
      <c r="P328" s="71">
        <f>IF($A328="","",K328+N328)</f>
        <v/>
      </c>
      <c r="Q328" s="70">
        <f>IF($A328="","",I328+L328-F328)</f>
        <v/>
      </c>
      <c r="R328" s="72">
        <f>IF($A328="","",IF(H328="",Q328,H328))</f>
        <v/>
      </c>
      <c r="S328" s="73">
        <f>IF($A328="","",R328-Q328)</f>
        <v/>
      </c>
      <c r="T328" s="70">
        <f>IF($A328="","",SUMIFS($B$5:$B$800,$A$5:$A$800,"&gt;="&amp;DATE(YEAR($A328),MONTH($A328),1),$A$5:$A$800,"&lt;="&amp;$A328)+IF(AND(YEAR($A328)=YEAR(Settings!$B$3),MONTH($A328)=MONTH(Settings!$B$3)),Settings!$B$6,0))</f>
        <v/>
      </c>
      <c r="U328" s="71">
        <f>IF($A328="","",SUMIFS($J$5:$J$800,$A$5:$A$800,"&gt;="&amp;DATE(YEAR($A328),MONTH($A328),1),$A$5:$A$800,"&lt;="&amp;$A328)+IF(AND(YEAR($A328)=YEAR(Settings!$B$3),MONTH($A328)=MONTH(Settings!$B$3)),Settings!$B$7,0))</f>
        <v/>
      </c>
      <c r="V328" s="70">
        <f>IF($A328="","",Settings!$B$8+SUM($B$5:B328))</f>
        <v/>
      </c>
      <c r="W328" s="71">
        <f>IF($A328="","",Settings!$B$9+SUM($J$5:J328))</f>
        <v/>
      </c>
      <c r="X328" s="71">
        <f>IF($A328="","",IF(AND(N328&gt;0,F328&gt;0),ROUND(F328/N328,0),X327))</f>
        <v/>
      </c>
      <c r="Y328" s="74">
        <f>IF($A328="","",IF(AND(M328&gt;0,L328&gt;0),ROUND(L328/M328,0),IF(AND(J328&gt;0,B328&gt;0),ROUND(B328/J328,0),Y327)))</f>
        <v/>
      </c>
    </row>
    <row r="329">
      <c r="A329" s="67" t="n"/>
      <c r="B329" s="68" t="n"/>
      <c r="C329" s="69" t="n"/>
      <c r="D329" s="68" t="n"/>
      <c r="E329" s="69" t="n"/>
      <c r="F329" s="68" t="n"/>
      <c r="G329" s="69" t="n"/>
      <c r="H329" s="68" t="n"/>
      <c r="I329" s="70">
        <f>IF($A329="","",R328)</f>
        <v/>
      </c>
      <c r="J329" s="71">
        <f>IF($A329="","",IF(C329="",0,C329))</f>
        <v/>
      </c>
      <c r="K329" s="71">
        <f>IF($A329="","",IF(E329="",0,E329))</f>
        <v/>
      </c>
      <c r="L329" s="70">
        <f>IF($A329="","",B329-D329)</f>
        <v/>
      </c>
      <c r="M329" s="71">
        <f>IF($A329="","",J329-K329)</f>
        <v/>
      </c>
      <c r="N329" s="71">
        <f>IF($A329="","",IF(G329="",0,G329))</f>
        <v/>
      </c>
      <c r="O329" s="70">
        <f>IF($A329="","",D329+F329)</f>
        <v/>
      </c>
      <c r="P329" s="71">
        <f>IF($A329="","",K329+N329)</f>
        <v/>
      </c>
      <c r="Q329" s="70">
        <f>IF($A329="","",I329+L329-F329)</f>
        <v/>
      </c>
      <c r="R329" s="72">
        <f>IF($A329="","",IF(H329="",Q329,H329))</f>
        <v/>
      </c>
      <c r="S329" s="73">
        <f>IF($A329="","",R329-Q329)</f>
        <v/>
      </c>
      <c r="T329" s="70">
        <f>IF($A329="","",SUMIFS($B$5:$B$800,$A$5:$A$800,"&gt;="&amp;DATE(YEAR($A329),MONTH($A329),1),$A$5:$A$800,"&lt;="&amp;$A329)+IF(AND(YEAR($A329)=YEAR(Settings!$B$3),MONTH($A329)=MONTH(Settings!$B$3)),Settings!$B$6,0))</f>
        <v/>
      </c>
      <c r="U329" s="71">
        <f>IF($A329="","",SUMIFS($J$5:$J$800,$A$5:$A$800,"&gt;="&amp;DATE(YEAR($A329),MONTH($A329),1),$A$5:$A$800,"&lt;="&amp;$A329)+IF(AND(YEAR($A329)=YEAR(Settings!$B$3),MONTH($A329)=MONTH(Settings!$B$3)),Settings!$B$7,0))</f>
        <v/>
      </c>
      <c r="V329" s="70">
        <f>IF($A329="","",Settings!$B$8+SUM($B$5:B329))</f>
        <v/>
      </c>
      <c r="W329" s="71">
        <f>IF($A329="","",Settings!$B$9+SUM($J$5:J329))</f>
        <v/>
      </c>
      <c r="X329" s="71">
        <f>IF($A329="","",IF(AND(N329&gt;0,F329&gt;0),ROUND(F329/N329,0),X328))</f>
        <v/>
      </c>
      <c r="Y329" s="74">
        <f>IF($A329="","",IF(AND(M329&gt;0,L329&gt;0),ROUND(L329/M329,0),IF(AND(J329&gt;0,B329&gt;0),ROUND(B329/J329,0),Y328)))</f>
        <v/>
      </c>
    </row>
    <row r="330">
      <c r="A330" s="67" t="n"/>
      <c r="B330" s="68" t="n"/>
      <c r="C330" s="69" t="n"/>
      <c r="D330" s="68" t="n"/>
      <c r="E330" s="69" t="n"/>
      <c r="F330" s="68" t="n"/>
      <c r="G330" s="69" t="n"/>
      <c r="H330" s="68" t="n"/>
      <c r="I330" s="70">
        <f>IF($A330="","",R329)</f>
        <v/>
      </c>
      <c r="J330" s="71">
        <f>IF($A330="","",IF(C330="",0,C330))</f>
        <v/>
      </c>
      <c r="K330" s="71">
        <f>IF($A330="","",IF(E330="",0,E330))</f>
        <v/>
      </c>
      <c r="L330" s="70">
        <f>IF($A330="","",B330-D330)</f>
        <v/>
      </c>
      <c r="M330" s="71">
        <f>IF($A330="","",J330-K330)</f>
        <v/>
      </c>
      <c r="N330" s="71">
        <f>IF($A330="","",IF(G330="",0,G330))</f>
        <v/>
      </c>
      <c r="O330" s="70">
        <f>IF($A330="","",D330+F330)</f>
        <v/>
      </c>
      <c r="P330" s="71">
        <f>IF($A330="","",K330+N330)</f>
        <v/>
      </c>
      <c r="Q330" s="70">
        <f>IF($A330="","",I330+L330-F330)</f>
        <v/>
      </c>
      <c r="R330" s="72">
        <f>IF($A330="","",IF(H330="",Q330,H330))</f>
        <v/>
      </c>
      <c r="S330" s="73">
        <f>IF($A330="","",R330-Q330)</f>
        <v/>
      </c>
      <c r="T330" s="70">
        <f>IF($A330="","",SUMIFS($B$5:$B$800,$A$5:$A$800,"&gt;="&amp;DATE(YEAR($A330),MONTH($A330),1),$A$5:$A$800,"&lt;="&amp;$A330)+IF(AND(YEAR($A330)=YEAR(Settings!$B$3),MONTH($A330)=MONTH(Settings!$B$3)),Settings!$B$6,0))</f>
        <v/>
      </c>
      <c r="U330" s="71">
        <f>IF($A330="","",SUMIFS($J$5:$J$800,$A$5:$A$800,"&gt;="&amp;DATE(YEAR($A330),MONTH($A330),1),$A$5:$A$800,"&lt;="&amp;$A330)+IF(AND(YEAR($A330)=YEAR(Settings!$B$3),MONTH($A330)=MONTH(Settings!$B$3)),Settings!$B$7,0))</f>
        <v/>
      </c>
      <c r="V330" s="70">
        <f>IF($A330="","",Settings!$B$8+SUM($B$5:B330))</f>
        <v/>
      </c>
      <c r="W330" s="71">
        <f>IF($A330="","",Settings!$B$9+SUM($J$5:J330))</f>
        <v/>
      </c>
      <c r="X330" s="71">
        <f>IF($A330="","",IF(AND(N330&gt;0,F330&gt;0),ROUND(F330/N330,0),X329))</f>
        <v/>
      </c>
      <c r="Y330" s="74">
        <f>IF($A330="","",IF(AND(M330&gt;0,L330&gt;0),ROUND(L330/M330,0),IF(AND(J330&gt;0,B330&gt;0),ROUND(B330/J330,0),Y329)))</f>
        <v/>
      </c>
    </row>
    <row r="331">
      <c r="A331" s="67" t="n"/>
      <c r="B331" s="68" t="n"/>
      <c r="C331" s="69" t="n"/>
      <c r="D331" s="68" t="n"/>
      <c r="E331" s="69" t="n"/>
      <c r="F331" s="68" t="n"/>
      <c r="G331" s="69" t="n"/>
      <c r="H331" s="68" t="n"/>
      <c r="I331" s="70">
        <f>IF($A331="","",R330)</f>
        <v/>
      </c>
      <c r="J331" s="71">
        <f>IF($A331="","",IF(C331="",0,C331))</f>
        <v/>
      </c>
      <c r="K331" s="71">
        <f>IF($A331="","",IF(E331="",0,E331))</f>
        <v/>
      </c>
      <c r="L331" s="70">
        <f>IF($A331="","",B331-D331)</f>
        <v/>
      </c>
      <c r="M331" s="71">
        <f>IF($A331="","",J331-K331)</f>
        <v/>
      </c>
      <c r="N331" s="71">
        <f>IF($A331="","",IF(G331="",0,G331))</f>
        <v/>
      </c>
      <c r="O331" s="70">
        <f>IF($A331="","",D331+F331)</f>
        <v/>
      </c>
      <c r="P331" s="71">
        <f>IF($A331="","",K331+N331)</f>
        <v/>
      </c>
      <c r="Q331" s="70">
        <f>IF($A331="","",I331+L331-F331)</f>
        <v/>
      </c>
      <c r="R331" s="72">
        <f>IF($A331="","",IF(H331="",Q331,H331))</f>
        <v/>
      </c>
      <c r="S331" s="73">
        <f>IF($A331="","",R331-Q331)</f>
        <v/>
      </c>
      <c r="T331" s="70">
        <f>IF($A331="","",SUMIFS($B$5:$B$800,$A$5:$A$800,"&gt;="&amp;DATE(YEAR($A331),MONTH($A331),1),$A$5:$A$800,"&lt;="&amp;$A331)+IF(AND(YEAR($A331)=YEAR(Settings!$B$3),MONTH($A331)=MONTH(Settings!$B$3)),Settings!$B$6,0))</f>
        <v/>
      </c>
      <c r="U331" s="71">
        <f>IF($A331="","",SUMIFS($J$5:$J$800,$A$5:$A$800,"&gt;="&amp;DATE(YEAR($A331),MONTH($A331),1),$A$5:$A$800,"&lt;="&amp;$A331)+IF(AND(YEAR($A331)=YEAR(Settings!$B$3),MONTH($A331)=MONTH(Settings!$B$3)),Settings!$B$7,0))</f>
        <v/>
      </c>
      <c r="V331" s="70">
        <f>IF($A331="","",Settings!$B$8+SUM($B$5:B331))</f>
        <v/>
      </c>
      <c r="W331" s="71">
        <f>IF($A331="","",Settings!$B$9+SUM($J$5:J331))</f>
        <v/>
      </c>
      <c r="X331" s="71">
        <f>IF($A331="","",IF(AND(N331&gt;0,F331&gt;0),ROUND(F331/N331,0),X330))</f>
        <v/>
      </c>
      <c r="Y331" s="74">
        <f>IF($A331="","",IF(AND(M331&gt;0,L331&gt;0),ROUND(L331/M331,0),IF(AND(J331&gt;0,B331&gt;0),ROUND(B331/J331,0),Y330)))</f>
        <v/>
      </c>
    </row>
    <row r="332">
      <c r="A332" s="67" t="n"/>
      <c r="B332" s="68" t="n"/>
      <c r="C332" s="69" t="n"/>
      <c r="D332" s="68" t="n"/>
      <c r="E332" s="69" t="n"/>
      <c r="F332" s="68" t="n"/>
      <c r="G332" s="69" t="n"/>
      <c r="H332" s="68" t="n"/>
      <c r="I332" s="70">
        <f>IF($A332="","",R331)</f>
        <v/>
      </c>
      <c r="J332" s="71">
        <f>IF($A332="","",IF(C332="",0,C332))</f>
        <v/>
      </c>
      <c r="K332" s="71">
        <f>IF($A332="","",IF(E332="",0,E332))</f>
        <v/>
      </c>
      <c r="L332" s="70">
        <f>IF($A332="","",B332-D332)</f>
        <v/>
      </c>
      <c r="M332" s="71">
        <f>IF($A332="","",J332-K332)</f>
        <v/>
      </c>
      <c r="N332" s="71">
        <f>IF($A332="","",IF(G332="",0,G332))</f>
        <v/>
      </c>
      <c r="O332" s="70">
        <f>IF($A332="","",D332+F332)</f>
        <v/>
      </c>
      <c r="P332" s="71">
        <f>IF($A332="","",K332+N332)</f>
        <v/>
      </c>
      <c r="Q332" s="70">
        <f>IF($A332="","",I332+L332-F332)</f>
        <v/>
      </c>
      <c r="R332" s="72">
        <f>IF($A332="","",IF(H332="",Q332,H332))</f>
        <v/>
      </c>
      <c r="S332" s="73">
        <f>IF($A332="","",R332-Q332)</f>
        <v/>
      </c>
      <c r="T332" s="70">
        <f>IF($A332="","",SUMIFS($B$5:$B$800,$A$5:$A$800,"&gt;="&amp;DATE(YEAR($A332),MONTH($A332),1),$A$5:$A$800,"&lt;="&amp;$A332)+IF(AND(YEAR($A332)=YEAR(Settings!$B$3),MONTH($A332)=MONTH(Settings!$B$3)),Settings!$B$6,0))</f>
        <v/>
      </c>
      <c r="U332" s="71">
        <f>IF($A332="","",SUMIFS($J$5:$J$800,$A$5:$A$800,"&gt;="&amp;DATE(YEAR($A332),MONTH($A332),1),$A$5:$A$800,"&lt;="&amp;$A332)+IF(AND(YEAR($A332)=YEAR(Settings!$B$3),MONTH($A332)=MONTH(Settings!$B$3)),Settings!$B$7,0))</f>
        <v/>
      </c>
      <c r="V332" s="70">
        <f>IF($A332="","",Settings!$B$8+SUM($B$5:B332))</f>
        <v/>
      </c>
      <c r="W332" s="71">
        <f>IF($A332="","",Settings!$B$9+SUM($J$5:J332))</f>
        <v/>
      </c>
      <c r="X332" s="71">
        <f>IF($A332="","",IF(AND(N332&gt;0,F332&gt;0),ROUND(F332/N332,0),X331))</f>
        <v/>
      </c>
      <c r="Y332" s="74">
        <f>IF($A332="","",IF(AND(M332&gt;0,L332&gt;0),ROUND(L332/M332,0),IF(AND(J332&gt;0,B332&gt;0),ROUND(B332/J332,0),Y331)))</f>
        <v/>
      </c>
    </row>
    <row r="333">
      <c r="A333" s="67" t="n"/>
      <c r="B333" s="68" t="n"/>
      <c r="C333" s="69" t="n"/>
      <c r="D333" s="68" t="n"/>
      <c r="E333" s="69" t="n"/>
      <c r="F333" s="68" t="n"/>
      <c r="G333" s="69" t="n"/>
      <c r="H333" s="68" t="n"/>
      <c r="I333" s="70">
        <f>IF($A333="","",R332)</f>
        <v/>
      </c>
      <c r="J333" s="71">
        <f>IF($A333="","",IF(C333="",0,C333))</f>
        <v/>
      </c>
      <c r="K333" s="71">
        <f>IF($A333="","",IF(E333="",0,E333))</f>
        <v/>
      </c>
      <c r="L333" s="70">
        <f>IF($A333="","",B333-D333)</f>
        <v/>
      </c>
      <c r="M333" s="71">
        <f>IF($A333="","",J333-K333)</f>
        <v/>
      </c>
      <c r="N333" s="71">
        <f>IF($A333="","",IF(G333="",0,G333))</f>
        <v/>
      </c>
      <c r="O333" s="70">
        <f>IF($A333="","",D333+F333)</f>
        <v/>
      </c>
      <c r="P333" s="71">
        <f>IF($A333="","",K333+N333)</f>
        <v/>
      </c>
      <c r="Q333" s="70">
        <f>IF($A333="","",I333+L333-F333)</f>
        <v/>
      </c>
      <c r="R333" s="72">
        <f>IF($A333="","",IF(H333="",Q333,H333))</f>
        <v/>
      </c>
      <c r="S333" s="73">
        <f>IF($A333="","",R333-Q333)</f>
        <v/>
      </c>
      <c r="T333" s="70">
        <f>IF($A333="","",SUMIFS($B$5:$B$800,$A$5:$A$800,"&gt;="&amp;DATE(YEAR($A333),MONTH($A333),1),$A$5:$A$800,"&lt;="&amp;$A333)+IF(AND(YEAR($A333)=YEAR(Settings!$B$3),MONTH($A333)=MONTH(Settings!$B$3)),Settings!$B$6,0))</f>
        <v/>
      </c>
      <c r="U333" s="71">
        <f>IF($A333="","",SUMIFS($J$5:$J$800,$A$5:$A$800,"&gt;="&amp;DATE(YEAR($A333),MONTH($A333),1),$A$5:$A$800,"&lt;="&amp;$A333)+IF(AND(YEAR($A333)=YEAR(Settings!$B$3),MONTH($A333)=MONTH(Settings!$B$3)),Settings!$B$7,0))</f>
        <v/>
      </c>
      <c r="V333" s="70">
        <f>IF($A333="","",Settings!$B$8+SUM($B$5:B333))</f>
        <v/>
      </c>
      <c r="W333" s="71">
        <f>IF($A333="","",Settings!$B$9+SUM($J$5:J333))</f>
        <v/>
      </c>
      <c r="X333" s="71">
        <f>IF($A333="","",IF(AND(N333&gt;0,F333&gt;0),ROUND(F333/N333,0),X332))</f>
        <v/>
      </c>
      <c r="Y333" s="74">
        <f>IF($A333="","",IF(AND(M333&gt;0,L333&gt;0),ROUND(L333/M333,0),IF(AND(J333&gt;0,B333&gt;0),ROUND(B333/J333,0),Y332)))</f>
        <v/>
      </c>
    </row>
    <row r="334">
      <c r="A334" s="67" t="n"/>
      <c r="B334" s="68" t="n"/>
      <c r="C334" s="69" t="n"/>
      <c r="D334" s="68" t="n"/>
      <c r="E334" s="69" t="n"/>
      <c r="F334" s="68" t="n"/>
      <c r="G334" s="69" t="n"/>
      <c r="H334" s="68" t="n"/>
      <c r="I334" s="70">
        <f>IF($A334="","",R333)</f>
        <v/>
      </c>
      <c r="J334" s="71">
        <f>IF($A334="","",IF(C334="",0,C334))</f>
        <v/>
      </c>
      <c r="K334" s="71">
        <f>IF($A334="","",IF(E334="",0,E334))</f>
        <v/>
      </c>
      <c r="L334" s="70">
        <f>IF($A334="","",B334-D334)</f>
        <v/>
      </c>
      <c r="M334" s="71">
        <f>IF($A334="","",J334-K334)</f>
        <v/>
      </c>
      <c r="N334" s="71">
        <f>IF($A334="","",IF(G334="",0,G334))</f>
        <v/>
      </c>
      <c r="O334" s="70">
        <f>IF($A334="","",D334+F334)</f>
        <v/>
      </c>
      <c r="P334" s="71">
        <f>IF($A334="","",K334+N334)</f>
        <v/>
      </c>
      <c r="Q334" s="70">
        <f>IF($A334="","",I334+L334-F334)</f>
        <v/>
      </c>
      <c r="R334" s="72">
        <f>IF($A334="","",IF(H334="",Q334,H334))</f>
        <v/>
      </c>
      <c r="S334" s="73">
        <f>IF($A334="","",R334-Q334)</f>
        <v/>
      </c>
      <c r="T334" s="70">
        <f>IF($A334="","",SUMIFS($B$5:$B$800,$A$5:$A$800,"&gt;="&amp;DATE(YEAR($A334),MONTH($A334),1),$A$5:$A$800,"&lt;="&amp;$A334)+IF(AND(YEAR($A334)=YEAR(Settings!$B$3),MONTH($A334)=MONTH(Settings!$B$3)),Settings!$B$6,0))</f>
        <v/>
      </c>
      <c r="U334" s="71">
        <f>IF($A334="","",SUMIFS($J$5:$J$800,$A$5:$A$800,"&gt;="&amp;DATE(YEAR($A334),MONTH($A334),1),$A$5:$A$800,"&lt;="&amp;$A334)+IF(AND(YEAR($A334)=YEAR(Settings!$B$3),MONTH($A334)=MONTH(Settings!$B$3)),Settings!$B$7,0))</f>
        <v/>
      </c>
      <c r="V334" s="70">
        <f>IF($A334="","",Settings!$B$8+SUM($B$5:B334))</f>
        <v/>
      </c>
      <c r="W334" s="71">
        <f>IF($A334="","",Settings!$B$9+SUM($J$5:J334))</f>
        <v/>
      </c>
      <c r="X334" s="71">
        <f>IF($A334="","",IF(AND(N334&gt;0,F334&gt;0),ROUND(F334/N334,0),X333))</f>
        <v/>
      </c>
      <c r="Y334" s="74">
        <f>IF($A334="","",IF(AND(M334&gt;0,L334&gt;0),ROUND(L334/M334,0),IF(AND(J334&gt;0,B334&gt;0),ROUND(B334/J334,0),Y333)))</f>
        <v/>
      </c>
    </row>
    <row r="335">
      <c r="A335" s="67" t="n"/>
      <c r="B335" s="68" t="n"/>
      <c r="C335" s="69" t="n"/>
      <c r="D335" s="68" t="n"/>
      <c r="E335" s="69" t="n"/>
      <c r="F335" s="68" t="n"/>
      <c r="G335" s="69" t="n"/>
      <c r="H335" s="68" t="n"/>
      <c r="I335" s="70">
        <f>IF($A335="","",R334)</f>
        <v/>
      </c>
      <c r="J335" s="71">
        <f>IF($A335="","",IF(C335="",0,C335))</f>
        <v/>
      </c>
      <c r="K335" s="71">
        <f>IF($A335="","",IF(E335="",0,E335))</f>
        <v/>
      </c>
      <c r="L335" s="70">
        <f>IF($A335="","",B335-D335)</f>
        <v/>
      </c>
      <c r="M335" s="71">
        <f>IF($A335="","",J335-K335)</f>
        <v/>
      </c>
      <c r="N335" s="71">
        <f>IF($A335="","",IF(G335="",0,G335))</f>
        <v/>
      </c>
      <c r="O335" s="70">
        <f>IF($A335="","",D335+F335)</f>
        <v/>
      </c>
      <c r="P335" s="71">
        <f>IF($A335="","",K335+N335)</f>
        <v/>
      </c>
      <c r="Q335" s="70">
        <f>IF($A335="","",I335+L335-F335)</f>
        <v/>
      </c>
      <c r="R335" s="72">
        <f>IF($A335="","",IF(H335="",Q335,H335))</f>
        <v/>
      </c>
      <c r="S335" s="73">
        <f>IF($A335="","",R335-Q335)</f>
        <v/>
      </c>
      <c r="T335" s="70">
        <f>IF($A335="","",SUMIFS($B$5:$B$800,$A$5:$A$800,"&gt;="&amp;DATE(YEAR($A335),MONTH($A335),1),$A$5:$A$800,"&lt;="&amp;$A335)+IF(AND(YEAR($A335)=YEAR(Settings!$B$3),MONTH($A335)=MONTH(Settings!$B$3)),Settings!$B$6,0))</f>
        <v/>
      </c>
      <c r="U335" s="71">
        <f>IF($A335="","",SUMIFS($J$5:$J$800,$A$5:$A$800,"&gt;="&amp;DATE(YEAR($A335),MONTH($A335),1),$A$5:$A$800,"&lt;="&amp;$A335)+IF(AND(YEAR($A335)=YEAR(Settings!$B$3),MONTH($A335)=MONTH(Settings!$B$3)),Settings!$B$7,0))</f>
        <v/>
      </c>
      <c r="V335" s="70">
        <f>IF($A335="","",Settings!$B$8+SUM($B$5:B335))</f>
        <v/>
      </c>
      <c r="W335" s="71">
        <f>IF($A335="","",Settings!$B$9+SUM($J$5:J335))</f>
        <v/>
      </c>
      <c r="X335" s="71">
        <f>IF($A335="","",IF(AND(N335&gt;0,F335&gt;0),ROUND(F335/N335,0),X334))</f>
        <v/>
      </c>
      <c r="Y335" s="74">
        <f>IF($A335="","",IF(AND(M335&gt;0,L335&gt;0),ROUND(L335/M335,0),IF(AND(J335&gt;0,B335&gt;0),ROUND(B335/J335,0),Y334)))</f>
        <v/>
      </c>
    </row>
    <row r="336">
      <c r="A336" s="67" t="n"/>
      <c r="B336" s="68" t="n"/>
      <c r="C336" s="69" t="n"/>
      <c r="D336" s="68" t="n"/>
      <c r="E336" s="69" t="n"/>
      <c r="F336" s="68" t="n"/>
      <c r="G336" s="69" t="n"/>
      <c r="H336" s="68" t="n"/>
      <c r="I336" s="70">
        <f>IF($A336="","",R335)</f>
        <v/>
      </c>
      <c r="J336" s="71">
        <f>IF($A336="","",IF(C336="",0,C336))</f>
        <v/>
      </c>
      <c r="K336" s="71">
        <f>IF($A336="","",IF(E336="",0,E336))</f>
        <v/>
      </c>
      <c r="L336" s="70">
        <f>IF($A336="","",B336-D336)</f>
        <v/>
      </c>
      <c r="M336" s="71">
        <f>IF($A336="","",J336-K336)</f>
        <v/>
      </c>
      <c r="N336" s="71">
        <f>IF($A336="","",IF(G336="",0,G336))</f>
        <v/>
      </c>
      <c r="O336" s="70">
        <f>IF($A336="","",D336+F336)</f>
        <v/>
      </c>
      <c r="P336" s="71">
        <f>IF($A336="","",K336+N336)</f>
        <v/>
      </c>
      <c r="Q336" s="70">
        <f>IF($A336="","",I336+L336-F336)</f>
        <v/>
      </c>
      <c r="R336" s="72">
        <f>IF($A336="","",IF(H336="",Q336,H336))</f>
        <v/>
      </c>
      <c r="S336" s="73">
        <f>IF($A336="","",R336-Q336)</f>
        <v/>
      </c>
      <c r="T336" s="70">
        <f>IF($A336="","",SUMIFS($B$5:$B$800,$A$5:$A$800,"&gt;="&amp;DATE(YEAR($A336),MONTH($A336),1),$A$5:$A$800,"&lt;="&amp;$A336)+IF(AND(YEAR($A336)=YEAR(Settings!$B$3),MONTH($A336)=MONTH(Settings!$B$3)),Settings!$B$6,0))</f>
        <v/>
      </c>
      <c r="U336" s="71">
        <f>IF($A336="","",SUMIFS($J$5:$J$800,$A$5:$A$800,"&gt;="&amp;DATE(YEAR($A336),MONTH($A336),1),$A$5:$A$800,"&lt;="&amp;$A336)+IF(AND(YEAR($A336)=YEAR(Settings!$B$3),MONTH($A336)=MONTH(Settings!$B$3)),Settings!$B$7,0))</f>
        <v/>
      </c>
      <c r="V336" s="70">
        <f>IF($A336="","",Settings!$B$8+SUM($B$5:B336))</f>
        <v/>
      </c>
      <c r="W336" s="71">
        <f>IF($A336="","",Settings!$B$9+SUM($J$5:J336))</f>
        <v/>
      </c>
      <c r="X336" s="71">
        <f>IF($A336="","",IF(AND(N336&gt;0,F336&gt;0),ROUND(F336/N336,0),X335))</f>
        <v/>
      </c>
      <c r="Y336" s="74">
        <f>IF($A336="","",IF(AND(M336&gt;0,L336&gt;0),ROUND(L336/M336,0),IF(AND(J336&gt;0,B336&gt;0),ROUND(B336/J336,0),Y335)))</f>
        <v/>
      </c>
    </row>
    <row r="337">
      <c r="A337" s="67" t="n"/>
      <c r="B337" s="68" t="n"/>
      <c r="C337" s="69" t="n"/>
      <c r="D337" s="68" t="n"/>
      <c r="E337" s="69" t="n"/>
      <c r="F337" s="68" t="n"/>
      <c r="G337" s="69" t="n"/>
      <c r="H337" s="68" t="n"/>
      <c r="I337" s="70">
        <f>IF($A337="","",R336)</f>
        <v/>
      </c>
      <c r="J337" s="71">
        <f>IF($A337="","",IF(C337="",0,C337))</f>
        <v/>
      </c>
      <c r="K337" s="71">
        <f>IF($A337="","",IF(E337="",0,E337))</f>
        <v/>
      </c>
      <c r="L337" s="70">
        <f>IF($A337="","",B337-D337)</f>
        <v/>
      </c>
      <c r="M337" s="71">
        <f>IF($A337="","",J337-K337)</f>
        <v/>
      </c>
      <c r="N337" s="71">
        <f>IF($A337="","",IF(G337="",0,G337))</f>
        <v/>
      </c>
      <c r="O337" s="70">
        <f>IF($A337="","",D337+F337)</f>
        <v/>
      </c>
      <c r="P337" s="71">
        <f>IF($A337="","",K337+N337)</f>
        <v/>
      </c>
      <c r="Q337" s="70">
        <f>IF($A337="","",I337+L337-F337)</f>
        <v/>
      </c>
      <c r="R337" s="72">
        <f>IF($A337="","",IF(H337="",Q337,H337))</f>
        <v/>
      </c>
      <c r="S337" s="73">
        <f>IF($A337="","",R337-Q337)</f>
        <v/>
      </c>
      <c r="T337" s="70">
        <f>IF($A337="","",SUMIFS($B$5:$B$800,$A$5:$A$800,"&gt;="&amp;DATE(YEAR($A337),MONTH($A337),1),$A$5:$A$800,"&lt;="&amp;$A337)+IF(AND(YEAR($A337)=YEAR(Settings!$B$3),MONTH($A337)=MONTH(Settings!$B$3)),Settings!$B$6,0))</f>
        <v/>
      </c>
      <c r="U337" s="71">
        <f>IF($A337="","",SUMIFS($J$5:$J$800,$A$5:$A$800,"&gt;="&amp;DATE(YEAR($A337),MONTH($A337),1),$A$5:$A$800,"&lt;="&amp;$A337)+IF(AND(YEAR($A337)=YEAR(Settings!$B$3),MONTH($A337)=MONTH(Settings!$B$3)),Settings!$B$7,0))</f>
        <v/>
      </c>
      <c r="V337" s="70">
        <f>IF($A337="","",Settings!$B$8+SUM($B$5:B337))</f>
        <v/>
      </c>
      <c r="W337" s="71">
        <f>IF($A337="","",Settings!$B$9+SUM($J$5:J337))</f>
        <v/>
      </c>
      <c r="X337" s="71">
        <f>IF($A337="","",IF(AND(N337&gt;0,F337&gt;0),ROUND(F337/N337,0),X336))</f>
        <v/>
      </c>
      <c r="Y337" s="74">
        <f>IF($A337="","",IF(AND(M337&gt;0,L337&gt;0),ROUND(L337/M337,0),IF(AND(J337&gt;0,B337&gt;0),ROUND(B337/J337,0),Y336)))</f>
        <v/>
      </c>
    </row>
    <row r="338">
      <c r="A338" s="67" t="n"/>
      <c r="B338" s="68" t="n"/>
      <c r="C338" s="69" t="n"/>
      <c r="D338" s="68" t="n"/>
      <c r="E338" s="69" t="n"/>
      <c r="F338" s="68" t="n"/>
      <c r="G338" s="69" t="n"/>
      <c r="H338" s="68" t="n"/>
      <c r="I338" s="70">
        <f>IF($A338="","",R337)</f>
        <v/>
      </c>
      <c r="J338" s="71">
        <f>IF($A338="","",IF(C338="",0,C338))</f>
        <v/>
      </c>
      <c r="K338" s="71">
        <f>IF($A338="","",IF(E338="",0,E338))</f>
        <v/>
      </c>
      <c r="L338" s="70">
        <f>IF($A338="","",B338-D338)</f>
        <v/>
      </c>
      <c r="M338" s="71">
        <f>IF($A338="","",J338-K338)</f>
        <v/>
      </c>
      <c r="N338" s="71">
        <f>IF($A338="","",IF(G338="",0,G338))</f>
        <v/>
      </c>
      <c r="O338" s="70">
        <f>IF($A338="","",D338+F338)</f>
        <v/>
      </c>
      <c r="P338" s="71">
        <f>IF($A338="","",K338+N338)</f>
        <v/>
      </c>
      <c r="Q338" s="70">
        <f>IF($A338="","",I338+L338-F338)</f>
        <v/>
      </c>
      <c r="R338" s="72">
        <f>IF($A338="","",IF(H338="",Q338,H338))</f>
        <v/>
      </c>
      <c r="S338" s="73">
        <f>IF($A338="","",R338-Q338)</f>
        <v/>
      </c>
      <c r="T338" s="70">
        <f>IF($A338="","",SUMIFS($B$5:$B$800,$A$5:$A$800,"&gt;="&amp;DATE(YEAR($A338),MONTH($A338),1),$A$5:$A$800,"&lt;="&amp;$A338)+IF(AND(YEAR($A338)=YEAR(Settings!$B$3),MONTH($A338)=MONTH(Settings!$B$3)),Settings!$B$6,0))</f>
        <v/>
      </c>
      <c r="U338" s="71">
        <f>IF($A338="","",SUMIFS($J$5:$J$800,$A$5:$A$800,"&gt;="&amp;DATE(YEAR($A338),MONTH($A338),1),$A$5:$A$800,"&lt;="&amp;$A338)+IF(AND(YEAR($A338)=YEAR(Settings!$B$3),MONTH($A338)=MONTH(Settings!$B$3)),Settings!$B$7,0))</f>
        <v/>
      </c>
      <c r="V338" s="70">
        <f>IF($A338="","",Settings!$B$8+SUM($B$5:B338))</f>
        <v/>
      </c>
      <c r="W338" s="71">
        <f>IF($A338="","",Settings!$B$9+SUM($J$5:J338))</f>
        <v/>
      </c>
      <c r="X338" s="71">
        <f>IF($A338="","",IF(AND(N338&gt;0,F338&gt;0),ROUND(F338/N338,0),X337))</f>
        <v/>
      </c>
      <c r="Y338" s="74">
        <f>IF($A338="","",IF(AND(M338&gt;0,L338&gt;0),ROUND(L338/M338,0),IF(AND(J338&gt;0,B338&gt;0),ROUND(B338/J338,0),Y337)))</f>
        <v/>
      </c>
    </row>
    <row r="339">
      <c r="A339" s="67" t="n"/>
      <c r="B339" s="68" t="n"/>
      <c r="C339" s="69" t="n"/>
      <c r="D339" s="68" t="n"/>
      <c r="E339" s="69" t="n"/>
      <c r="F339" s="68" t="n"/>
      <c r="G339" s="69" t="n"/>
      <c r="H339" s="68" t="n"/>
      <c r="I339" s="70">
        <f>IF($A339="","",R338)</f>
        <v/>
      </c>
      <c r="J339" s="71">
        <f>IF($A339="","",IF(C339="",0,C339))</f>
        <v/>
      </c>
      <c r="K339" s="71">
        <f>IF($A339="","",IF(E339="",0,E339))</f>
        <v/>
      </c>
      <c r="L339" s="70">
        <f>IF($A339="","",B339-D339)</f>
        <v/>
      </c>
      <c r="M339" s="71">
        <f>IF($A339="","",J339-K339)</f>
        <v/>
      </c>
      <c r="N339" s="71">
        <f>IF($A339="","",IF(G339="",0,G339))</f>
        <v/>
      </c>
      <c r="O339" s="70">
        <f>IF($A339="","",D339+F339)</f>
        <v/>
      </c>
      <c r="P339" s="71">
        <f>IF($A339="","",K339+N339)</f>
        <v/>
      </c>
      <c r="Q339" s="70">
        <f>IF($A339="","",I339+L339-F339)</f>
        <v/>
      </c>
      <c r="R339" s="72">
        <f>IF($A339="","",IF(H339="",Q339,H339))</f>
        <v/>
      </c>
      <c r="S339" s="73">
        <f>IF($A339="","",R339-Q339)</f>
        <v/>
      </c>
      <c r="T339" s="70">
        <f>IF($A339="","",SUMIFS($B$5:$B$800,$A$5:$A$800,"&gt;="&amp;DATE(YEAR($A339),MONTH($A339),1),$A$5:$A$800,"&lt;="&amp;$A339)+IF(AND(YEAR($A339)=YEAR(Settings!$B$3),MONTH($A339)=MONTH(Settings!$B$3)),Settings!$B$6,0))</f>
        <v/>
      </c>
      <c r="U339" s="71">
        <f>IF($A339="","",SUMIFS($J$5:$J$800,$A$5:$A$800,"&gt;="&amp;DATE(YEAR($A339),MONTH($A339),1),$A$5:$A$800,"&lt;="&amp;$A339)+IF(AND(YEAR($A339)=YEAR(Settings!$B$3),MONTH($A339)=MONTH(Settings!$B$3)),Settings!$B$7,0))</f>
        <v/>
      </c>
      <c r="V339" s="70">
        <f>IF($A339="","",Settings!$B$8+SUM($B$5:B339))</f>
        <v/>
      </c>
      <c r="W339" s="71">
        <f>IF($A339="","",Settings!$B$9+SUM($J$5:J339))</f>
        <v/>
      </c>
      <c r="X339" s="71">
        <f>IF($A339="","",IF(AND(N339&gt;0,F339&gt;0),ROUND(F339/N339,0),X338))</f>
        <v/>
      </c>
      <c r="Y339" s="74">
        <f>IF($A339="","",IF(AND(M339&gt;0,L339&gt;0),ROUND(L339/M339,0),IF(AND(J339&gt;0,B339&gt;0),ROUND(B339/J339,0),Y338)))</f>
        <v/>
      </c>
    </row>
    <row r="340">
      <c r="A340" s="67" t="n"/>
      <c r="B340" s="68" t="n"/>
      <c r="C340" s="69" t="n"/>
      <c r="D340" s="68" t="n"/>
      <c r="E340" s="69" t="n"/>
      <c r="F340" s="68" t="n"/>
      <c r="G340" s="69" t="n"/>
      <c r="H340" s="68" t="n"/>
      <c r="I340" s="70">
        <f>IF($A340="","",R339)</f>
        <v/>
      </c>
      <c r="J340" s="71">
        <f>IF($A340="","",IF(C340="",0,C340))</f>
        <v/>
      </c>
      <c r="K340" s="71">
        <f>IF($A340="","",IF(E340="",0,E340))</f>
        <v/>
      </c>
      <c r="L340" s="70">
        <f>IF($A340="","",B340-D340)</f>
        <v/>
      </c>
      <c r="M340" s="71">
        <f>IF($A340="","",J340-K340)</f>
        <v/>
      </c>
      <c r="N340" s="71">
        <f>IF($A340="","",IF(G340="",0,G340))</f>
        <v/>
      </c>
      <c r="O340" s="70">
        <f>IF($A340="","",D340+F340)</f>
        <v/>
      </c>
      <c r="P340" s="71">
        <f>IF($A340="","",K340+N340)</f>
        <v/>
      </c>
      <c r="Q340" s="70">
        <f>IF($A340="","",I340+L340-F340)</f>
        <v/>
      </c>
      <c r="R340" s="72">
        <f>IF($A340="","",IF(H340="",Q340,H340))</f>
        <v/>
      </c>
      <c r="S340" s="73">
        <f>IF($A340="","",R340-Q340)</f>
        <v/>
      </c>
      <c r="T340" s="70">
        <f>IF($A340="","",SUMIFS($B$5:$B$800,$A$5:$A$800,"&gt;="&amp;DATE(YEAR($A340),MONTH($A340),1),$A$5:$A$800,"&lt;="&amp;$A340)+IF(AND(YEAR($A340)=YEAR(Settings!$B$3),MONTH($A340)=MONTH(Settings!$B$3)),Settings!$B$6,0))</f>
        <v/>
      </c>
      <c r="U340" s="71">
        <f>IF($A340="","",SUMIFS($J$5:$J$800,$A$5:$A$800,"&gt;="&amp;DATE(YEAR($A340),MONTH($A340),1),$A$5:$A$800,"&lt;="&amp;$A340)+IF(AND(YEAR($A340)=YEAR(Settings!$B$3),MONTH($A340)=MONTH(Settings!$B$3)),Settings!$B$7,0))</f>
        <v/>
      </c>
      <c r="V340" s="70">
        <f>IF($A340="","",Settings!$B$8+SUM($B$5:B340))</f>
        <v/>
      </c>
      <c r="W340" s="71">
        <f>IF($A340="","",Settings!$B$9+SUM($J$5:J340))</f>
        <v/>
      </c>
      <c r="X340" s="71">
        <f>IF($A340="","",IF(AND(N340&gt;0,F340&gt;0),ROUND(F340/N340,0),X339))</f>
        <v/>
      </c>
      <c r="Y340" s="74">
        <f>IF($A340="","",IF(AND(M340&gt;0,L340&gt;0),ROUND(L340/M340,0),IF(AND(J340&gt;0,B340&gt;0),ROUND(B340/J340,0),Y339)))</f>
        <v/>
      </c>
    </row>
    <row r="341">
      <c r="A341" s="67" t="n"/>
      <c r="B341" s="68" t="n"/>
      <c r="C341" s="69" t="n"/>
      <c r="D341" s="68" t="n"/>
      <c r="E341" s="69" t="n"/>
      <c r="F341" s="68" t="n"/>
      <c r="G341" s="69" t="n"/>
      <c r="H341" s="68" t="n"/>
      <c r="I341" s="70">
        <f>IF($A341="","",R340)</f>
        <v/>
      </c>
      <c r="J341" s="71">
        <f>IF($A341="","",IF(C341="",0,C341))</f>
        <v/>
      </c>
      <c r="K341" s="71">
        <f>IF($A341="","",IF(E341="",0,E341))</f>
        <v/>
      </c>
      <c r="L341" s="70">
        <f>IF($A341="","",B341-D341)</f>
        <v/>
      </c>
      <c r="M341" s="71">
        <f>IF($A341="","",J341-K341)</f>
        <v/>
      </c>
      <c r="N341" s="71">
        <f>IF($A341="","",IF(G341="",0,G341))</f>
        <v/>
      </c>
      <c r="O341" s="70">
        <f>IF($A341="","",D341+F341)</f>
        <v/>
      </c>
      <c r="P341" s="71">
        <f>IF($A341="","",K341+N341)</f>
        <v/>
      </c>
      <c r="Q341" s="70">
        <f>IF($A341="","",I341+L341-F341)</f>
        <v/>
      </c>
      <c r="R341" s="72">
        <f>IF($A341="","",IF(H341="",Q341,H341))</f>
        <v/>
      </c>
      <c r="S341" s="73">
        <f>IF($A341="","",R341-Q341)</f>
        <v/>
      </c>
      <c r="T341" s="70">
        <f>IF($A341="","",SUMIFS($B$5:$B$800,$A$5:$A$800,"&gt;="&amp;DATE(YEAR($A341),MONTH($A341),1),$A$5:$A$800,"&lt;="&amp;$A341)+IF(AND(YEAR($A341)=YEAR(Settings!$B$3),MONTH($A341)=MONTH(Settings!$B$3)),Settings!$B$6,0))</f>
        <v/>
      </c>
      <c r="U341" s="71">
        <f>IF($A341="","",SUMIFS($J$5:$J$800,$A$5:$A$800,"&gt;="&amp;DATE(YEAR($A341),MONTH($A341),1),$A$5:$A$800,"&lt;="&amp;$A341)+IF(AND(YEAR($A341)=YEAR(Settings!$B$3),MONTH($A341)=MONTH(Settings!$B$3)),Settings!$B$7,0))</f>
        <v/>
      </c>
      <c r="V341" s="70">
        <f>IF($A341="","",Settings!$B$8+SUM($B$5:B341))</f>
        <v/>
      </c>
      <c r="W341" s="71">
        <f>IF($A341="","",Settings!$B$9+SUM($J$5:J341))</f>
        <v/>
      </c>
      <c r="X341" s="71">
        <f>IF($A341="","",IF(AND(N341&gt;0,F341&gt;0),ROUND(F341/N341,0),X340))</f>
        <v/>
      </c>
      <c r="Y341" s="74">
        <f>IF($A341="","",IF(AND(M341&gt;0,L341&gt;0),ROUND(L341/M341,0),IF(AND(J341&gt;0,B341&gt;0),ROUND(B341/J341,0),Y340)))</f>
        <v/>
      </c>
    </row>
    <row r="342">
      <c r="A342" s="67" t="n"/>
      <c r="B342" s="68" t="n"/>
      <c r="C342" s="69" t="n"/>
      <c r="D342" s="68" t="n"/>
      <c r="E342" s="69" t="n"/>
      <c r="F342" s="68" t="n"/>
      <c r="G342" s="69" t="n"/>
      <c r="H342" s="68" t="n"/>
      <c r="I342" s="70">
        <f>IF($A342="","",R341)</f>
        <v/>
      </c>
      <c r="J342" s="71">
        <f>IF($A342="","",IF(C342="",0,C342))</f>
        <v/>
      </c>
      <c r="K342" s="71">
        <f>IF($A342="","",IF(E342="",0,E342))</f>
        <v/>
      </c>
      <c r="L342" s="70">
        <f>IF($A342="","",B342-D342)</f>
        <v/>
      </c>
      <c r="M342" s="71">
        <f>IF($A342="","",J342-K342)</f>
        <v/>
      </c>
      <c r="N342" s="71">
        <f>IF($A342="","",IF(G342="",0,G342))</f>
        <v/>
      </c>
      <c r="O342" s="70">
        <f>IF($A342="","",D342+F342)</f>
        <v/>
      </c>
      <c r="P342" s="71">
        <f>IF($A342="","",K342+N342)</f>
        <v/>
      </c>
      <c r="Q342" s="70">
        <f>IF($A342="","",I342+L342-F342)</f>
        <v/>
      </c>
      <c r="R342" s="72">
        <f>IF($A342="","",IF(H342="",Q342,H342))</f>
        <v/>
      </c>
      <c r="S342" s="73">
        <f>IF($A342="","",R342-Q342)</f>
        <v/>
      </c>
      <c r="T342" s="70">
        <f>IF($A342="","",SUMIFS($B$5:$B$800,$A$5:$A$800,"&gt;="&amp;DATE(YEAR($A342),MONTH($A342),1),$A$5:$A$800,"&lt;="&amp;$A342)+IF(AND(YEAR($A342)=YEAR(Settings!$B$3),MONTH($A342)=MONTH(Settings!$B$3)),Settings!$B$6,0))</f>
        <v/>
      </c>
      <c r="U342" s="71">
        <f>IF($A342="","",SUMIFS($J$5:$J$800,$A$5:$A$800,"&gt;="&amp;DATE(YEAR($A342),MONTH($A342),1),$A$5:$A$800,"&lt;="&amp;$A342)+IF(AND(YEAR($A342)=YEAR(Settings!$B$3),MONTH($A342)=MONTH(Settings!$B$3)),Settings!$B$7,0))</f>
        <v/>
      </c>
      <c r="V342" s="70">
        <f>IF($A342="","",Settings!$B$8+SUM($B$5:B342))</f>
        <v/>
      </c>
      <c r="W342" s="71">
        <f>IF($A342="","",Settings!$B$9+SUM($J$5:J342))</f>
        <v/>
      </c>
      <c r="X342" s="71">
        <f>IF($A342="","",IF(AND(N342&gt;0,F342&gt;0),ROUND(F342/N342,0),X341))</f>
        <v/>
      </c>
      <c r="Y342" s="74">
        <f>IF($A342="","",IF(AND(M342&gt;0,L342&gt;0),ROUND(L342/M342,0),IF(AND(J342&gt;0,B342&gt;0),ROUND(B342/J342,0),Y341)))</f>
        <v/>
      </c>
    </row>
    <row r="343">
      <c r="A343" s="67" t="n"/>
      <c r="B343" s="68" t="n"/>
      <c r="C343" s="69" t="n"/>
      <c r="D343" s="68" t="n"/>
      <c r="E343" s="69" t="n"/>
      <c r="F343" s="68" t="n"/>
      <c r="G343" s="69" t="n"/>
      <c r="H343" s="68" t="n"/>
      <c r="I343" s="70">
        <f>IF($A343="","",R342)</f>
        <v/>
      </c>
      <c r="J343" s="71">
        <f>IF($A343="","",IF(C343="",0,C343))</f>
        <v/>
      </c>
      <c r="K343" s="71">
        <f>IF($A343="","",IF(E343="",0,E343))</f>
        <v/>
      </c>
      <c r="L343" s="70">
        <f>IF($A343="","",B343-D343)</f>
        <v/>
      </c>
      <c r="M343" s="71">
        <f>IF($A343="","",J343-K343)</f>
        <v/>
      </c>
      <c r="N343" s="71">
        <f>IF($A343="","",IF(G343="",0,G343))</f>
        <v/>
      </c>
      <c r="O343" s="70">
        <f>IF($A343="","",D343+F343)</f>
        <v/>
      </c>
      <c r="P343" s="71">
        <f>IF($A343="","",K343+N343)</f>
        <v/>
      </c>
      <c r="Q343" s="70">
        <f>IF($A343="","",I343+L343-F343)</f>
        <v/>
      </c>
      <c r="R343" s="72">
        <f>IF($A343="","",IF(H343="",Q343,H343))</f>
        <v/>
      </c>
      <c r="S343" s="73">
        <f>IF($A343="","",R343-Q343)</f>
        <v/>
      </c>
      <c r="T343" s="70">
        <f>IF($A343="","",SUMIFS($B$5:$B$800,$A$5:$A$800,"&gt;="&amp;DATE(YEAR($A343),MONTH($A343),1),$A$5:$A$800,"&lt;="&amp;$A343)+IF(AND(YEAR($A343)=YEAR(Settings!$B$3),MONTH($A343)=MONTH(Settings!$B$3)),Settings!$B$6,0))</f>
        <v/>
      </c>
      <c r="U343" s="71">
        <f>IF($A343="","",SUMIFS($J$5:$J$800,$A$5:$A$800,"&gt;="&amp;DATE(YEAR($A343),MONTH($A343),1),$A$5:$A$800,"&lt;="&amp;$A343)+IF(AND(YEAR($A343)=YEAR(Settings!$B$3),MONTH($A343)=MONTH(Settings!$B$3)),Settings!$B$7,0))</f>
        <v/>
      </c>
      <c r="V343" s="70">
        <f>IF($A343="","",Settings!$B$8+SUM($B$5:B343))</f>
        <v/>
      </c>
      <c r="W343" s="71">
        <f>IF($A343="","",Settings!$B$9+SUM($J$5:J343))</f>
        <v/>
      </c>
      <c r="X343" s="71">
        <f>IF($A343="","",IF(AND(N343&gt;0,F343&gt;0),ROUND(F343/N343,0),X342))</f>
        <v/>
      </c>
      <c r="Y343" s="74">
        <f>IF($A343="","",IF(AND(M343&gt;0,L343&gt;0),ROUND(L343/M343,0),IF(AND(J343&gt;0,B343&gt;0),ROUND(B343/J343,0),Y342)))</f>
        <v/>
      </c>
    </row>
    <row r="344">
      <c r="A344" s="67" t="n"/>
      <c r="B344" s="68" t="n"/>
      <c r="C344" s="69" t="n"/>
      <c r="D344" s="68" t="n"/>
      <c r="E344" s="69" t="n"/>
      <c r="F344" s="68" t="n"/>
      <c r="G344" s="69" t="n"/>
      <c r="H344" s="68" t="n"/>
      <c r="I344" s="70">
        <f>IF($A344="","",R343)</f>
        <v/>
      </c>
      <c r="J344" s="71">
        <f>IF($A344="","",IF(C344="",0,C344))</f>
        <v/>
      </c>
      <c r="K344" s="71">
        <f>IF($A344="","",IF(E344="",0,E344))</f>
        <v/>
      </c>
      <c r="L344" s="70">
        <f>IF($A344="","",B344-D344)</f>
        <v/>
      </c>
      <c r="M344" s="71">
        <f>IF($A344="","",J344-K344)</f>
        <v/>
      </c>
      <c r="N344" s="71">
        <f>IF($A344="","",IF(G344="",0,G344))</f>
        <v/>
      </c>
      <c r="O344" s="70">
        <f>IF($A344="","",D344+F344)</f>
        <v/>
      </c>
      <c r="P344" s="71">
        <f>IF($A344="","",K344+N344)</f>
        <v/>
      </c>
      <c r="Q344" s="70">
        <f>IF($A344="","",I344+L344-F344)</f>
        <v/>
      </c>
      <c r="R344" s="72">
        <f>IF($A344="","",IF(H344="",Q344,H344))</f>
        <v/>
      </c>
      <c r="S344" s="73">
        <f>IF($A344="","",R344-Q344)</f>
        <v/>
      </c>
      <c r="T344" s="70">
        <f>IF($A344="","",SUMIFS($B$5:$B$800,$A$5:$A$800,"&gt;="&amp;DATE(YEAR($A344),MONTH($A344),1),$A$5:$A$800,"&lt;="&amp;$A344)+IF(AND(YEAR($A344)=YEAR(Settings!$B$3),MONTH($A344)=MONTH(Settings!$B$3)),Settings!$B$6,0))</f>
        <v/>
      </c>
      <c r="U344" s="71">
        <f>IF($A344="","",SUMIFS($J$5:$J$800,$A$5:$A$800,"&gt;="&amp;DATE(YEAR($A344),MONTH($A344),1),$A$5:$A$800,"&lt;="&amp;$A344)+IF(AND(YEAR($A344)=YEAR(Settings!$B$3),MONTH($A344)=MONTH(Settings!$B$3)),Settings!$B$7,0))</f>
        <v/>
      </c>
      <c r="V344" s="70">
        <f>IF($A344="","",Settings!$B$8+SUM($B$5:B344))</f>
        <v/>
      </c>
      <c r="W344" s="71">
        <f>IF($A344="","",Settings!$B$9+SUM($J$5:J344))</f>
        <v/>
      </c>
      <c r="X344" s="71">
        <f>IF($A344="","",IF(AND(N344&gt;0,F344&gt;0),ROUND(F344/N344,0),X343))</f>
        <v/>
      </c>
      <c r="Y344" s="74">
        <f>IF($A344="","",IF(AND(M344&gt;0,L344&gt;0),ROUND(L344/M344,0),IF(AND(J344&gt;0,B344&gt;0),ROUND(B344/J344,0),Y343)))</f>
        <v/>
      </c>
    </row>
    <row r="345">
      <c r="A345" s="67" t="n"/>
      <c r="B345" s="68" t="n"/>
      <c r="C345" s="69" t="n"/>
      <c r="D345" s="68" t="n"/>
      <c r="E345" s="69" t="n"/>
      <c r="F345" s="68" t="n"/>
      <c r="G345" s="69" t="n"/>
      <c r="H345" s="68" t="n"/>
      <c r="I345" s="70">
        <f>IF($A345="","",R344)</f>
        <v/>
      </c>
      <c r="J345" s="71">
        <f>IF($A345="","",IF(C345="",0,C345))</f>
        <v/>
      </c>
      <c r="K345" s="71">
        <f>IF($A345="","",IF(E345="",0,E345))</f>
        <v/>
      </c>
      <c r="L345" s="70">
        <f>IF($A345="","",B345-D345)</f>
        <v/>
      </c>
      <c r="M345" s="71">
        <f>IF($A345="","",J345-K345)</f>
        <v/>
      </c>
      <c r="N345" s="71">
        <f>IF($A345="","",IF(G345="",0,G345))</f>
        <v/>
      </c>
      <c r="O345" s="70">
        <f>IF($A345="","",D345+F345)</f>
        <v/>
      </c>
      <c r="P345" s="71">
        <f>IF($A345="","",K345+N345)</f>
        <v/>
      </c>
      <c r="Q345" s="70">
        <f>IF($A345="","",I345+L345-F345)</f>
        <v/>
      </c>
      <c r="R345" s="72">
        <f>IF($A345="","",IF(H345="",Q345,H345))</f>
        <v/>
      </c>
      <c r="S345" s="73">
        <f>IF($A345="","",R345-Q345)</f>
        <v/>
      </c>
      <c r="T345" s="70">
        <f>IF($A345="","",SUMIFS($B$5:$B$800,$A$5:$A$800,"&gt;="&amp;DATE(YEAR($A345),MONTH($A345),1),$A$5:$A$800,"&lt;="&amp;$A345)+IF(AND(YEAR($A345)=YEAR(Settings!$B$3),MONTH($A345)=MONTH(Settings!$B$3)),Settings!$B$6,0))</f>
        <v/>
      </c>
      <c r="U345" s="71">
        <f>IF($A345="","",SUMIFS($J$5:$J$800,$A$5:$A$800,"&gt;="&amp;DATE(YEAR($A345),MONTH($A345),1),$A$5:$A$800,"&lt;="&amp;$A345)+IF(AND(YEAR($A345)=YEAR(Settings!$B$3),MONTH($A345)=MONTH(Settings!$B$3)),Settings!$B$7,0))</f>
        <v/>
      </c>
      <c r="V345" s="70">
        <f>IF($A345="","",Settings!$B$8+SUM($B$5:B345))</f>
        <v/>
      </c>
      <c r="W345" s="71">
        <f>IF($A345="","",Settings!$B$9+SUM($J$5:J345))</f>
        <v/>
      </c>
      <c r="X345" s="71">
        <f>IF($A345="","",IF(AND(N345&gt;0,F345&gt;0),ROUND(F345/N345,0),X344))</f>
        <v/>
      </c>
      <c r="Y345" s="74">
        <f>IF($A345="","",IF(AND(M345&gt;0,L345&gt;0),ROUND(L345/M345,0),IF(AND(J345&gt;0,B345&gt;0),ROUND(B345/J345,0),Y344)))</f>
        <v/>
      </c>
    </row>
    <row r="346">
      <c r="A346" s="67" t="n"/>
      <c r="B346" s="68" t="n"/>
      <c r="C346" s="69" t="n"/>
      <c r="D346" s="68" t="n"/>
      <c r="E346" s="69" t="n"/>
      <c r="F346" s="68" t="n"/>
      <c r="G346" s="69" t="n"/>
      <c r="H346" s="68" t="n"/>
      <c r="I346" s="70">
        <f>IF($A346="","",R345)</f>
        <v/>
      </c>
      <c r="J346" s="71">
        <f>IF($A346="","",IF(C346="",0,C346))</f>
        <v/>
      </c>
      <c r="K346" s="71">
        <f>IF($A346="","",IF(E346="",0,E346))</f>
        <v/>
      </c>
      <c r="L346" s="70">
        <f>IF($A346="","",B346-D346)</f>
        <v/>
      </c>
      <c r="M346" s="71">
        <f>IF($A346="","",J346-K346)</f>
        <v/>
      </c>
      <c r="N346" s="71">
        <f>IF($A346="","",IF(G346="",0,G346))</f>
        <v/>
      </c>
      <c r="O346" s="70">
        <f>IF($A346="","",D346+F346)</f>
        <v/>
      </c>
      <c r="P346" s="71">
        <f>IF($A346="","",K346+N346)</f>
        <v/>
      </c>
      <c r="Q346" s="70">
        <f>IF($A346="","",I346+L346-F346)</f>
        <v/>
      </c>
      <c r="R346" s="72">
        <f>IF($A346="","",IF(H346="",Q346,H346))</f>
        <v/>
      </c>
      <c r="S346" s="73">
        <f>IF($A346="","",R346-Q346)</f>
        <v/>
      </c>
      <c r="T346" s="70">
        <f>IF($A346="","",SUMIFS($B$5:$B$800,$A$5:$A$800,"&gt;="&amp;DATE(YEAR($A346),MONTH($A346),1),$A$5:$A$800,"&lt;="&amp;$A346)+IF(AND(YEAR($A346)=YEAR(Settings!$B$3),MONTH($A346)=MONTH(Settings!$B$3)),Settings!$B$6,0))</f>
        <v/>
      </c>
      <c r="U346" s="71">
        <f>IF($A346="","",SUMIFS($J$5:$J$800,$A$5:$A$800,"&gt;="&amp;DATE(YEAR($A346),MONTH($A346),1),$A$5:$A$800,"&lt;="&amp;$A346)+IF(AND(YEAR($A346)=YEAR(Settings!$B$3),MONTH($A346)=MONTH(Settings!$B$3)),Settings!$B$7,0))</f>
        <v/>
      </c>
      <c r="V346" s="70">
        <f>IF($A346="","",Settings!$B$8+SUM($B$5:B346))</f>
        <v/>
      </c>
      <c r="W346" s="71">
        <f>IF($A346="","",Settings!$B$9+SUM($J$5:J346))</f>
        <v/>
      </c>
      <c r="X346" s="71">
        <f>IF($A346="","",IF(AND(N346&gt;0,F346&gt;0),ROUND(F346/N346,0),X345))</f>
        <v/>
      </c>
      <c r="Y346" s="74">
        <f>IF($A346="","",IF(AND(M346&gt;0,L346&gt;0),ROUND(L346/M346,0),IF(AND(J346&gt;0,B346&gt;0),ROUND(B346/J346,0),Y345)))</f>
        <v/>
      </c>
    </row>
    <row r="347">
      <c r="A347" s="67" t="n"/>
      <c r="B347" s="68" t="n"/>
      <c r="C347" s="69" t="n"/>
      <c r="D347" s="68" t="n"/>
      <c r="E347" s="69" t="n"/>
      <c r="F347" s="68" t="n"/>
      <c r="G347" s="69" t="n"/>
      <c r="H347" s="68" t="n"/>
      <c r="I347" s="70">
        <f>IF($A347="","",R346)</f>
        <v/>
      </c>
      <c r="J347" s="71">
        <f>IF($A347="","",IF(C347="",0,C347))</f>
        <v/>
      </c>
      <c r="K347" s="71">
        <f>IF($A347="","",IF(E347="",0,E347))</f>
        <v/>
      </c>
      <c r="L347" s="70">
        <f>IF($A347="","",B347-D347)</f>
        <v/>
      </c>
      <c r="M347" s="71">
        <f>IF($A347="","",J347-K347)</f>
        <v/>
      </c>
      <c r="N347" s="71">
        <f>IF($A347="","",IF(G347="",0,G347))</f>
        <v/>
      </c>
      <c r="O347" s="70">
        <f>IF($A347="","",D347+F347)</f>
        <v/>
      </c>
      <c r="P347" s="71">
        <f>IF($A347="","",K347+N347)</f>
        <v/>
      </c>
      <c r="Q347" s="70">
        <f>IF($A347="","",I347+L347-F347)</f>
        <v/>
      </c>
      <c r="R347" s="72">
        <f>IF($A347="","",IF(H347="",Q347,H347))</f>
        <v/>
      </c>
      <c r="S347" s="73">
        <f>IF($A347="","",R347-Q347)</f>
        <v/>
      </c>
      <c r="T347" s="70">
        <f>IF($A347="","",SUMIFS($B$5:$B$800,$A$5:$A$800,"&gt;="&amp;DATE(YEAR($A347),MONTH($A347),1),$A$5:$A$800,"&lt;="&amp;$A347)+IF(AND(YEAR($A347)=YEAR(Settings!$B$3),MONTH($A347)=MONTH(Settings!$B$3)),Settings!$B$6,0))</f>
        <v/>
      </c>
      <c r="U347" s="71">
        <f>IF($A347="","",SUMIFS($J$5:$J$800,$A$5:$A$800,"&gt;="&amp;DATE(YEAR($A347),MONTH($A347),1),$A$5:$A$800,"&lt;="&amp;$A347)+IF(AND(YEAR($A347)=YEAR(Settings!$B$3),MONTH($A347)=MONTH(Settings!$B$3)),Settings!$B$7,0))</f>
        <v/>
      </c>
      <c r="V347" s="70">
        <f>IF($A347="","",Settings!$B$8+SUM($B$5:B347))</f>
        <v/>
      </c>
      <c r="W347" s="71">
        <f>IF($A347="","",Settings!$B$9+SUM($J$5:J347))</f>
        <v/>
      </c>
      <c r="X347" s="71">
        <f>IF($A347="","",IF(AND(N347&gt;0,F347&gt;0),ROUND(F347/N347,0),X346))</f>
        <v/>
      </c>
      <c r="Y347" s="74">
        <f>IF($A347="","",IF(AND(M347&gt;0,L347&gt;0),ROUND(L347/M347,0),IF(AND(J347&gt;0,B347&gt;0),ROUND(B347/J347,0),Y346)))</f>
        <v/>
      </c>
    </row>
    <row r="348">
      <c r="A348" s="67" t="n"/>
      <c r="B348" s="68" t="n"/>
      <c r="C348" s="69" t="n"/>
      <c r="D348" s="68" t="n"/>
      <c r="E348" s="69" t="n"/>
      <c r="F348" s="68" t="n"/>
      <c r="G348" s="69" t="n"/>
      <c r="H348" s="68" t="n"/>
      <c r="I348" s="70">
        <f>IF($A348="","",R347)</f>
        <v/>
      </c>
      <c r="J348" s="71">
        <f>IF($A348="","",IF(C348="",0,C348))</f>
        <v/>
      </c>
      <c r="K348" s="71">
        <f>IF($A348="","",IF(E348="",0,E348))</f>
        <v/>
      </c>
      <c r="L348" s="70">
        <f>IF($A348="","",B348-D348)</f>
        <v/>
      </c>
      <c r="M348" s="71">
        <f>IF($A348="","",J348-K348)</f>
        <v/>
      </c>
      <c r="N348" s="71">
        <f>IF($A348="","",IF(G348="",0,G348))</f>
        <v/>
      </c>
      <c r="O348" s="70">
        <f>IF($A348="","",D348+F348)</f>
        <v/>
      </c>
      <c r="P348" s="71">
        <f>IF($A348="","",K348+N348)</f>
        <v/>
      </c>
      <c r="Q348" s="70">
        <f>IF($A348="","",I348+L348-F348)</f>
        <v/>
      </c>
      <c r="R348" s="72">
        <f>IF($A348="","",IF(H348="",Q348,H348))</f>
        <v/>
      </c>
      <c r="S348" s="73">
        <f>IF($A348="","",R348-Q348)</f>
        <v/>
      </c>
      <c r="T348" s="70">
        <f>IF($A348="","",SUMIFS($B$5:$B$800,$A$5:$A$800,"&gt;="&amp;DATE(YEAR($A348),MONTH($A348),1),$A$5:$A$800,"&lt;="&amp;$A348)+IF(AND(YEAR($A348)=YEAR(Settings!$B$3),MONTH($A348)=MONTH(Settings!$B$3)),Settings!$B$6,0))</f>
        <v/>
      </c>
      <c r="U348" s="71">
        <f>IF($A348="","",SUMIFS($J$5:$J$800,$A$5:$A$800,"&gt;="&amp;DATE(YEAR($A348),MONTH($A348),1),$A$5:$A$800,"&lt;="&amp;$A348)+IF(AND(YEAR($A348)=YEAR(Settings!$B$3),MONTH($A348)=MONTH(Settings!$B$3)),Settings!$B$7,0))</f>
        <v/>
      </c>
      <c r="V348" s="70">
        <f>IF($A348="","",Settings!$B$8+SUM($B$5:B348))</f>
        <v/>
      </c>
      <c r="W348" s="71">
        <f>IF($A348="","",Settings!$B$9+SUM($J$5:J348))</f>
        <v/>
      </c>
      <c r="X348" s="71">
        <f>IF($A348="","",IF(AND(N348&gt;0,F348&gt;0),ROUND(F348/N348,0),X347))</f>
        <v/>
      </c>
      <c r="Y348" s="74">
        <f>IF($A348="","",IF(AND(M348&gt;0,L348&gt;0),ROUND(L348/M348,0),IF(AND(J348&gt;0,B348&gt;0),ROUND(B348/J348,0),Y347)))</f>
        <v/>
      </c>
    </row>
    <row r="349">
      <c r="A349" s="67" t="n"/>
      <c r="B349" s="68" t="n"/>
      <c r="C349" s="69" t="n"/>
      <c r="D349" s="68" t="n"/>
      <c r="E349" s="69" t="n"/>
      <c r="F349" s="68" t="n"/>
      <c r="G349" s="69" t="n"/>
      <c r="H349" s="68" t="n"/>
      <c r="I349" s="70">
        <f>IF($A349="","",R348)</f>
        <v/>
      </c>
      <c r="J349" s="71">
        <f>IF($A349="","",IF(C349="",0,C349))</f>
        <v/>
      </c>
      <c r="K349" s="71">
        <f>IF($A349="","",IF(E349="",0,E349))</f>
        <v/>
      </c>
      <c r="L349" s="70">
        <f>IF($A349="","",B349-D349)</f>
        <v/>
      </c>
      <c r="M349" s="71">
        <f>IF($A349="","",J349-K349)</f>
        <v/>
      </c>
      <c r="N349" s="71">
        <f>IF($A349="","",IF(G349="",0,G349))</f>
        <v/>
      </c>
      <c r="O349" s="70">
        <f>IF($A349="","",D349+F349)</f>
        <v/>
      </c>
      <c r="P349" s="71">
        <f>IF($A349="","",K349+N349)</f>
        <v/>
      </c>
      <c r="Q349" s="70">
        <f>IF($A349="","",I349+L349-F349)</f>
        <v/>
      </c>
      <c r="R349" s="72">
        <f>IF($A349="","",IF(H349="",Q349,H349))</f>
        <v/>
      </c>
      <c r="S349" s="73">
        <f>IF($A349="","",R349-Q349)</f>
        <v/>
      </c>
      <c r="T349" s="70">
        <f>IF($A349="","",SUMIFS($B$5:$B$800,$A$5:$A$800,"&gt;="&amp;DATE(YEAR($A349),MONTH($A349),1),$A$5:$A$800,"&lt;="&amp;$A349)+IF(AND(YEAR($A349)=YEAR(Settings!$B$3),MONTH($A349)=MONTH(Settings!$B$3)),Settings!$B$6,0))</f>
        <v/>
      </c>
      <c r="U349" s="71">
        <f>IF($A349="","",SUMIFS($J$5:$J$800,$A$5:$A$800,"&gt;="&amp;DATE(YEAR($A349),MONTH($A349),1),$A$5:$A$800,"&lt;="&amp;$A349)+IF(AND(YEAR($A349)=YEAR(Settings!$B$3),MONTH($A349)=MONTH(Settings!$B$3)),Settings!$B$7,0))</f>
        <v/>
      </c>
      <c r="V349" s="70">
        <f>IF($A349="","",Settings!$B$8+SUM($B$5:B349))</f>
        <v/>
      </c>
      <c r="W349" s="71">
        <f>IF($A349="","",Settings!$B$9+SUM($J$5:J349))</f>
        <v/>
      </c>
      <c r="X349" s="71">
        <f>IF($A349="","",IF(AND(N349&gt;0,F349&gt;0),ROUND(F349/N349,0),X348))</f>
        <v/>
      </c>
      <c r="Y349" s="74">
        <f>IF($A349="","",IF(AND(M349&gt;0,L349&gt;0),ROUND(L349/M349,0),IF(AND(J349&gt;0,B349&gt;0),ROUND(B349/J349,0),Y348)))</f>
        <v/>
      </c>
    </row>
    <row r="350">
      <c r="A350" s="67" t="n"/>
      <c r="B350" s="68" t="n"/>
      <c r="C350" s="69" t="n"/>
      <c r="D350" s="68" t="n"/>
      <c r="E350" s="69" t="n"/>
      <c r="F350" s="68" t="n"/>
      <c r="G350" s="69" t="n"/>
      <c r="H350" s="68" t="n"/>
      <c r="I350" s="70">
        <f>IF($A350="","",R349)</f>
        <v/>
      </c>
      <c r="J350" s="71">
        <f>IF($A350="","",IF(C350="",0,C350))</f>
        <v/>
      </c>
      <c r="K350" s="71">
        <f>IF($A350="","",IF(E350="",0,E350))</f>
        <v/>
      </c>
      <c r="L350" s="70">
        <f>IF($A350="","",B350-D350)</f>
        <v/>
      </c>
      <c r="M350" s="71">
        <f>IF($A350="","",J350-K350)</f>
        <v/>
      </c>
      <c r="N350" s="71">
        <f>IF($A350="","",IF(G350="",0,G350))</f>
        <v/>
      </c>
      <c r="O350" s="70">
        <f>IF($A350="","",D350+F350)</f>
        <v/>
      </c>
      <c r="P350" s="71">
        <f>IF($A350="","",K350+N350)</f>
        <v/>
      </c>
      <c r="Q350" s="70">
        <f>IF($A350="","",I350+L350-F350)</f>
        <v/>
      </c>
      <c r="R350" s="72">
        <f>IF($A350="","",IF(H350="",Q350,H350))</f>
        <v/>
      </c>
      <c r="S350" s="73">
        <f>IF($A350="","",R350-Q350)</f>
        <v/>
      </c>
      <c r="T350" s="70">
        <f>IF($A350="","",SUMIFS($B$5:$B$800,$A$5:$A$800,"&gt;="&amp;DATE(YEAR($A350),MONTH($A350),1),$A$5:$A$800,"&lt;="&amp;$A350)+IF(AND(YEAR($A350)=YEAR(Settings!$B$3),MONTH($A350)=MONTH(Settings!$B$3)),Settings!$B$6,0))</f>
        <v/>
      </c>
      <c r="U350" s="71">
        <f>IF($A350="","",SUMIFS($J$5:$J$800,$A$5:$A$800,"&gt;="&amp;DATE(YEAR($A350),MONTH($A350),1),$A$5:$A$800,"&lt;="&amp;$A350)+IF(AND(YEAR($A350)=YEAR(Settings!$B$3),MONTH($A350)=MONTH(Settings!$B$3)),Settings!$B$7,0))</f>
        <v/>
      </c>
      <c r="V350" s="70">
        <f>IF($A350="","",Settings!$B$8+SUM($B$5:B350))</f>
        <v/>
      </c>
      <c r="W350" s="71">
        <f>IF($A350="","",Settings!$B$9+SUM($J$5:J350))</f>
        <v/>
      </c>
      <c r="X350" s="71">
        <f>IF($A350="","",IF(AND(N350&gt;0,F350&gt;0),ROUND(F350/N350,0),X349))</f>
        <v/>
      </c>
      <c r="Y350" s="74">
        <f>IF($A350="","",IF(AND(M350&gt;0,L350&gt;0),ROUND(L350/M350,0),IF(AND(J350&gt;0,B350&gt;0),ROUND(B350/J350,0),Y349)))</f>
        <v/>
      </c>
    </row>
    <row r="351">
      <c r="A351" s="67" t="n"/>
      <c r="B351" s="68" t="n"/>
      <c r="C351" s="69" t="n"/>
      <c r="D351" s="68" t="n"/>
      <c r="E351" s="69" t="n"/>
      <c r="F351" s="68" t="n"/>
      <c r="G351" s="69" t="n"/>
      <c r="H351" s="68" t="n"/>
      <c r="I351" s="70">
        <f>IF($A351="","",R350)</f>
        <v/>
      </c>
      <c r="J351" s="71">
        <f>IF($A351="","",IF(C351="",0,C351))</f>
        <v/>
      </c>
      <c r="K351" s="71">
        <f>IF($A351="","",IF(E351="",0,E351))</f>
        <v/>
      </c>
      <c r="L351" s="70">
        <f>IF($A351="","",B351-D351)</f>
        <v/>
      </c>
      <c r="M351" s="71">
        <f>IF($A351="","",J351-K351)</f>
        <v/>
      </c>
      <c r="N351" s="71">
        <f>IF($A351="","",IF(G351="",0,G351))</f>
        <v/>
      </c>
      <c r="O351" s="70">
        <f>IF($A351="","",D351+F351)</f>
        <v/>
      </c>
      <c r="P351" s="71">
        <f>IF($A351="","",K351+N351)</f>
        <v/>
      </c>
      <c r="Q351" s="70">
        <f>IF($A351="","",I351+L351-F351)</f>
        <v/>
      </c>
      <c r="R351" s="72">
        <f>IF($A351="","",IF(H351="",Q351,H351))</f>
        <v/>
      </c>
      <c r="S351" s="73">
        <f>IF($A351="","",R351-Q351)</f>
        <v/>
      </c>
      <c r="T351" s="70">
        <f>IF($A351="","",SUMIFS($B$5:$B$800,$A$5:$A$800,"&gt;="&amp;DATE(YEAR($A351),MONTH($A351),1),$A$5:$A$800,"&lt;="&amp;$A351)+IF(AND(YEAR($A351)=YEAR(Settings!$B$3),MONTH($A351)=MONTH(Settings!$B$3)),Settings!$B$6,0))</f>
        <v/>
      </c>
      <c r="U351" s="71">
        <f>IF($A351="","",SUMIFS($J$5:$J$800,$A$5:$A$800,"&gt;="&amp;DATE(YEAR($A351),MONTH($A351),1),$A$5:$A$800,"&lt;="&amp;$A351)+IF(AND(YEAR($A351)=YEAR(Settings!$B$3),MONTH($A351)=MONTH(Settings!$B$3)),Settings!$B$7,0))</f>
        <v/>
      </c>
      <c r="V351" s="70">
        <f>IF($A351="","",Settings!$B$8+SUM($B$5:B351))</f>
        <v/>
      </c>
      <c r="W351" s="71">
        <f>IF($A351="","",Settings!$B$9+SUM($J$5:J351))</f>
        <v/>
      </c>
      <c r="X351" s="71">
        <f>IF($A351="","",IF(AND(N351&gt;0,F351&gt;0),ROUND(F351/N351,0),X350))</f>
        <v/>
      </c>
      <c r="Y351" s="74">
        <f>IF($A351="","",IF(AND(M351&gt;0,L351&gt;0),ROUND(L351/M351,0),IF(AND(J351&gt;0,B351&gt;0),ROUND(B351/J351,0),Y350)))</f>
        <v/>
      </c>
    </row>
    <row r="352">
      <c r="A352" s="67" t="n"/>
      <c r="B352" s="68" t="n"/>
      <c r="C352" s="69" t="n"/>
      <c r="D352" s="68" t="n"/>
      <c r="E352" s="69" t="n"/>
      <c r="F352" s="68" t="n"/>
      <c r="G352" s="69" t="n"/>
      <c r="H352" s="68" t="n"/>
      <c r="I352" s="70">
        <f>IF($A352="","",R351)</f>
        <v/>
      </c>
      <c r="J352" s="71">
        <f>IF($A352="","",IF(C352="",0,C352))</f>
        <v/>
      </c>
      <c r="K352" s="71">
        <f>IF($A352="","",IF(E352="",0,E352))</f>
        <v/>
      </c>
      <c r="L352" s="70">
        <f>IF($A352="","",B352-D352)</f>
        <v/>
      </c>
      <c r="M352" s="71">
        <f>IF($A352="","",J352-K352)</f>
        <v/>
      </c>
      <c r="N352" s="71">
        <f>IF($A352="","",IF(G352="",0,G352))</f>
        <v/>
      </c>
      <c r="O352" s="70">
        <f>IF($A352="","",D352+F352)</f>
        <v/>
      </c>
      <c r="P352" s="71">
        <f>IF($A352="","",K352+N352)</f>
        <v/>
      </c>
      <c r="Q352" s="70">
        <f>IF($A352="","",I352+L352-F352)</f>
        <v/>
      </c>
      <c r="R352" s="72">
        <f>IF($A352="","",IF(H352="",Q352,H352))</f>
        <v/>
      </c>
      <c r="S352" s="73">
        <f>IF($A352="","",R352-Q352)</f>
        <v/>
      </c>
      <c r="T352" s="70">
        <f>IF($A352="","",SUMIFS($B$5:$B$800,$A$5:$A$800,"&gt;="&amp;DATE(YEAR($A352),MONTH($A352),1),$A$5:$A$800,"&lt;="&amp;$A352)+IF(AND(YEAR($A352)=YEAR(Settings!$B$3),MONTH($A352)=MONTH(Settings!$B$3)),Settings!$B$6,0))</f>
        <v/>
      </c>
      <c r="U352" s="71">
        <f>IF($A352="","",SUMIFS($J$5:$J$800,$A$5:$A$800,"&gt;="&amp;DATE(YEAR($A352),MONTH($A352),1),$A$5:$A$800,"&lt;="&amp;$A352)+IF(AND(YEAR($A352)=YEAR(Settings!$B$3),MONTH($A352)=MONTH(Settings!$B$3)),Settings!$B$7,0))</f>
        <v/>
      </c>
      <c r="V352" s="70">
        <f>IF($A352="","",Settings!$B$8+SUM($B$5:B352))</f>
        <v/>
      </c>
      <c r="W352" s="71">
        <f>IF($A352="","",Settings!$B$9+SUM($J$5:J352))</f>
        <v/>
      </c>
      <c r="X352" s="71">
        <f>IF($A352="","",IF(AND(N352&gt;0,F352&gt;0),ROUND(F352/N352,0),X351))</f>
        <v/>
      </c>
      <c r="Y352" s="74">
        <f>IF($A352="","",IF(AND(M352&gt;0,L352&gt;0),ROUND(L352/M352,0),IF(AND(J352&gt;0,B352&gt;0),ROUND(B352/J352,0),Y351)))</f>
        <v/>
      </c>
    </row>
    <row r="353">
      <c r="A353" s="67" t="n"/>
      <c r="B353" s="68" t="n"/>
      <c r="C353" s="69" t="n"/>
      <c r="D353" s="68" t="n"/>
      <c r="E353" s="69" t="n"/>
      <c r="F353" s="68" t="n"/>
      <c r="G353" s="69" t="n"/>
      <c r="H353" s="68" t="n"/>
      <c r="I353" s="70">
        <f>IF($A353="","",R352)</f>
        <v/>
      </c>
      <c r="J353" s="71">
        <f>IF($A353="","",IF(C353="",0,C353))</f>
        <v/>
      </c>
      <c r="K353" s="71">
        <f>IF($A353="","",IF(E353="",0,E353))</f>
        <v/>
      </c>
      <c r="L353" s="70">
        <f>IF($A353="","",B353-D353)</f>
        <v/>
      </c>
      <c r="M353" s="71">
        <f>IF($A353="","",J353-K353)</f>
        <v/>
      </c>
      <c r="N353" s="71">
        <f>IF($A353="","",IF(G353="",0,G353))</f>
        <v/>
      </c>
      <c r="O353" s="70">
        <f>IF($A353="","",D353+F353)</f>
        <v/>
      </c>
      <c r="P353" s="71">
        <f>IF($A353="","",K353+N353)</f>
        <v/>
      </c>
      <c r="Q353" s="70">
        <f>IF($A353="","",I353+L353-F353)</f>
        <v/>
      </c>
      <c r="R353" s="72">
        <f>IF($A353="","",IF(H353="",Q353,H353))</f>
        <v/>
      </c>
      <c r="S353" s="73">
        <f>IF($A353="","",R353-Q353)</f>
        <v/>
      </c>
      <c r="T353" s="70">
        <f>IF($A353="","",SUMIFS($B$5:$B$800,$A$5:$A$800,"&gt;="&amp;DATE(YEAR($A353),MONTH($A353),1),$A$5:$A$800,"&lt;="&amp;$A353)+IF(AND(YEAR($A353)=YEAR(Settings!$B$3),MONTH($A353)=MONTH(Settings!$B$3)),Settings!$B$6,0))</f>
        <v/>
      </c>
      <c r="U353" s="71">
        <f>IF($A353="","",SUMIFS($J$5:$J$800,$A$5:$A$800,"&gt;="&amp;DATE(YEAR($A353),MONTH($A353),1),$A$5:$A$800,"&lt;="&amp;$A353)+IF(AND(YEAR($A353)=YEAR(Settings!$B$3),MONTH($A353)=MONTH(Settings!$B$3)),Settings!$B$7,0))</f>
        <v/>
      </c>
      <c r="V353" s="70">
        <f>IF($A353="","",Settings!$B$8+SUM($B$5:B353))</f>
        <v/>
      </c>
      <c r="W353" s="71">
        <f>IF($A353="","",Settings!$B$9+SUM($J$5:J353))</f>
        <v/>
      </c>
      <c r="X353" s="71">
        <f>IF($A353="","",IF(AND(N353&gt;0,F353&gt;0),ROUND(F353/N353,0),X352))</f>
        <v/>
      </c>
      <c r="Y353" s="74">
        <f>IF($A353="","",IF(AND(M353&gt;0,L353&gt;0),ROUND(L353/M353,0),IF(AND(J353&gt;0,B353&gt;0),ROUND(B353/J353,0),Y352)))</f>
        <v/>
      </c>
    </row>
    <row r="354">
      <c r="A354" s="67" t="n"/>
      <c r="B354" s="68" t="n"/>
      <c r="C354" s="69" t="n"/>
      <c r="D354" s="68" t="n"/>
      <c r="E354" s="69" t="n"/>
      <c r="F354" s="68" t="n"/>
      <c r="G354" s="69" t="n"/>
      <c r="H354" s="68" t="n"/>
      <c r="I354" s="70">
        <f>IF($A354="","",R353)</f>
        <v/>
      </c>
      <c r="J354" s="71">
        <f>IF($A354="","",IF(C354="",0,C354))</f>
        <v/>
      </c>
      <c r="K354" s="71">
        <f>IF($A354="","",IF(E354="",0,E354))</f>
        <v/>
      </c>
      <c r="L354" s="70">
        <f>IF($A354="","",B354-D354)</f>
        <v/>
      </c>
      <c r="M354" s="71">
        <f>IF($A354="","",J354-K354)</f>
        <v/>
      </c>
      <c r="N354" s="71">
        <f>IF($A354="","",IF(G354="",0,G354))</f>
        <v/>
      </c>
      <c r="O354" s="70">
        <f>IF($A354="","",D354+F354)</f>
        <v/>
      </c>
      <c r="P354" s="71">
        <f>IF($A354="","",K354+N354)</f>
        <v/>
      </c>
      <c r="Q354" s="70">
        <f>IF($A354="","",I354+L354-F354)</f>
        <v/>
      </c>
      <c r="R354" s="72">
        <f>IF($A354="","",IF(H354="",Q354,H354))</f>
        <v/>
      </c>
      <c r="S354" s="73">
        <f>IF($A354="","",R354-Q354)</f>
        <v/>
      </c>
      <c r="T354" s="70">
        <f>IF($A354="","",SUMIFS($B$5:$B$800,$A$5:$A$800,"&gt;="&amp;DATE(YEAR($A354),MONTH($A354),1),$A$5:$A$800,"&lt;="&amp;$A354)+IF(AND(YEAR($A354)=YEAR(Settings!$B$3),MONTH($A354)=MONTH(Settings!$B$3)),Settings!$B$6,0))</f>
        <v/>
      </c>
      <c r="U354" s="71">
        <f>IF($A354="","",SUMIFS($J$5:$J$800,$A$5:$A$800,"&gt;="&amp;DATE(YEAR($A354),MONTH($A354),1),$A$5:$A$800,"&lt;="&amp;$A354)+IF(AND(YEAR($A354)=YEAR(Settings!$B$3),MONTH($A354)=MONTH(Settings!$B$3)),Settings!$B$7,0))</f>
        <v/>
      </c>
      <c r="V354" s="70">
        <f>IF($A354="","",Settings!$B$8+SUM($B$5:B354))</f>
        <v/>
      </c>
      <c r="W354" s="71">
        <f>IF($A354="","",Settings!$B$9+SUM($J$5:J354))</f>
        <v/>
      </c>
      <c r="X354" s="71">
        <f>IF($A354="","",IF(AND(N354&gt;0,F354&gt;0),ROUND(F354/N354,0),X353))</f>
        <v/>
      </c>
      <c r="Y354" s="74">
        <f>IF($A354="","",IF(AND(M354&gt;0,L354&gt;0),ROUND(L354/M354,0),IF(AND(J354&gt;0,B354&gt;0),ROUND(B354/J354,0),Y353)))</f>
        <v/>
      </c>
    </row>
    <row r="355">
      <c r="A355" s="67" t="n"/>
      <c r="B355" s="68" t="n"/>
      <c r="C355" s="69" t="n"/>
      <c r="D355" s="68" t="n"/>
      <c r="E355" s="69" t="n"/>
      <c r="F355" s="68" t="n"/>
      <c r="G355" s="69" t="n"/>
      <c r="H355" s="68" t="n"/>
      <c r="I355" s="70">
        <f>IF($A355="","",R354)</f>
        <v/>
      </c>
      <c r="J355" s="71">
        <f>IF($A355="","",IF(C355="",0,C355))</f>
        <v/>
      </c>
      <c r="K355" s="71">
        <f>IF($A355="","",IF(E355="",0,E355))</f>
        <v/>
      </c>
      <c r="L355" s="70">
        <f>IF($A355="","",B355-D355)</f>
        <v/>
      </c>
      <c r="M355" s="71">
        <f>IF($A355="","",J355-K355)</f>
        <v/>
      </c>
      <c r="N355" s="71">
        <f>IF($A355="","",IF(G355="",0,G355))</f>
        <v/>
      </c>
      <c r="O355" s="70">
        <f>IF($A355="","",D355+F355)</f>
        <v/>
      </c>
      <c r="P355" s="71">
        <f>IF($A355="","",K355+N355)</f>
        <v/>
      </c>
      <c r="Q355" s="70">
        <f>IF($A355="","",I355+L355-F355)</f>
        <v/>
      </c>
      <c r="R355" s="72">
        <f>IF($A355="","",IF(H355="",Q355,H355))</f>
        <v/>
      </c>
      <c r="S355" s="73">
        <f>IF($A355="","",R355-Q355)</f>
        <v/>
      </c>
      <c r="T355" s="70">
        <f>IF($A355="","",SUMIFS($B$5:$B$800,$A$5:$A$800,"&gt;="&amp;DATE(YEAR($A355),MONTH($A355),1),$A$5:$A$800,"&lt;="&amp;$A355)+IF(AND(YEAR($A355)=YEAR(Settings!$B$3),MONTH($A355)=MONTH(Settings!$B$3)),Settings!$B$6,0))</f>
        <v/>
      </c>
      <c r="U355" s="71">
        <f>IF($A355="","",SUMIFS($J$5:$J$800,$A$5:$A$800,"&gt;="&amp;DATE(YEAR($A355),MONTH($A355),1),$A$5:$A$800,"&lt;="&amp;$A355)+IF(AND(YEAR($A355)=YEAR(Settings!$B$3),MONTH($A355)=MONTH(Settings!$B$3)),Settings!$B$7,0))</f>
        <v/>
      </c>
      <c r="V355" s="70">
        <f>IF($A355="","",Settings!$B$8+SUM($B$5:B355))</f>
        <v/>
      </c>
      <c r="W355" s="71">
        <f>IF($A355="","",Settings!$B$9+SUM($J$5:J355))</f>
        <v/>
      </c>
      <c r="X355" s="71">
        <f>IF($A355="","",IF(AND(N355&gt;0,F355&gt;0),ROUND(F355/N355,0),X354))</f>
        <v/>
      </c>
      <c r="Y355" s="74">
        <f>IF($A355="","",IF(AND(M355&gt;0,L355&gt;0),ROUND(L355/M355,0),IF(AND(J355&gt;0,B355&gt;0),ROUND(B355/J355,0),Y354)))</f>
        <v/>
      </c>
    </row>
    <row r="356">
      <c r="A356" s="67" t="n"/>
      <c r="B356" s="68" t="n"/>
      <c r="C356" s="69" t="n"/>
      <c r="D356" s="68" t="n"/>
      <c r="E356" s="69" t="n"/>
      <c r="F356" s="68" t="n"/>
      <c r="G356" s="69" t="n"/>
      <c r="H356" s="68" t="n"/>
      <c r="I356" s="70">
        <f>IF($A356="","",R355)</f>
        <v/>
      </c>
      <c r="J356" s="71">
        <f>IF($A356="","",IF(C356="",0,C356))</f>
        <v/>
      </c>
      <c r="K356" s="71">
        <f>IF($A356="","",IF(E356="",0,E356))</f>
        <v/>
      </c>
      <c r="L356" s="70">
        <f>IF($A356="","",B356-D356)</f>
        <v/>
      </c>
      <c r="M356" s="71">
        <f>IF($A356="","",J356-K356)</f>
        <v/>
      </c>
      <c r="N356" s="71">
        <f>IF($A356="","",IF(G356="",0,G356))</f>
        <v/>
      </c>
      <c r="O356" s="70">
        <f>IF($A356="","",D356+F356)</f>
        <v/>
      </c>
      <c r="P356" s="71">
        <f>IF($A356="","",K356+N356)</f>
        <v/>
      </c>
      <c r="Q356" s="70">
        <f>IF($A356="","",I356+L356-F356)</f>
        <v/>
      </c>
      <c r="R356" s="72">
        <f>IF($A356="","",IF(H356="",Q356,H356))</f>
        <v/>
      </c>
      <c r="S356" s="73">
        <f>IF($A356="","",R356-Q356)</f>
        <v/>
      </c>
      <c r="T356" s="70">
        <f>IF($A356="","",SUMIFS($B$5:$B$800,$A$5:$A$800,"&gt;="&amp;DATE(YEAR($A356),MONTH($A356),1),$A$5:$A$800,"&lt;="&amp;$A356)+IF(AND(YEAR($A356)=YEAR(Settings!$B$3),MONTH($A356)=MONTH(Settings!$B$3)),Settings!$B$6,0))</f>
        <v/>
      </c>
      <c r="U356" s="71">
        <f>IF($A356="","",SUMIFS($J$5:$J$800,$A$5:$A$800,"&gt;="&amp;DATE(YEAR($A356),MONTH($A356),1),$A$5:$A$800,"&lt;="&amp;$A356)+IF(AND(YEAR($A356)=YEAR(Settings!$B$3),MONTH($A356)=MONTH(Settings!$B$3)),Settings!$B$7,0))</f>
        <v/>
      </c>
      <c r="V356" s="70">
        <f>IF($A356="","",Settings!$B$8+SUM($B$5:B356))</f>
        <v/>
      </c>
      <c r="W356" s="71">
        <f>IF($A356="","",Settings!$B$9+SUM($J$5:J356))</f>
        <v/>
      </c>
      <c r="X356" s="71">
        <f>IF($A356="","",IF(AND(N356&gt;0,F356&gt;0),ROUND(F356/N356,0),X355))</f>
        <v/>
      </c>
      <c r="Y356" s="74">
        <f>IF($A356="","",IF(AND(M356&gt;0,L356&gt;0),ROUND(L356/M356,0),IF(AND(J356&gt;0,B356&gt;0),ROUND(B356/J356,0),Y355)))</f>
        <v/>
      </c>
    </row>
    <row r="357">
      <c r="A357" s="67" t="n"/>
      <c r="B357" s="68" t="n"/>
      <c r="C357" s="69" t="n"/>
      <c r="D357" s="68" t="n"/>
      <c r="E357" s="69" t="n"/>
      <c r="F357" s="68" t="n"/>
      <c r="G357" s="69" t="n"/>
      <c r="H357" s="68" t="n"/>
      <c r="I357" s="70">
        <f>IF($A357="","",R356)</f>
        <v/>
      </c>
      <c r="J357" s="71">
        <f>IF($A357="","",IF(C357="",0,C357))</f>
        <v/>
      </c>
      <c r="K357" s="71">
        <f>IF($A357="","",IF(E357="",0,E357))</f>
        <v/>
      </c>
      <c r="L357" s="70">
        <f>IF($A357="","",B357-D357)</f>
        <v/>
      </c>
      <c r="M357" s="71">
        <f>IF($A357="","",J357-K357)</f>
        <v/>
      </c>
      <c r="N357" s="71">
        <f>IF($A357="","",IF(G357="",0,G357))</f>
        <v/>
      </c>
      <c r="O357" s="70">
        <f>IF($A357="","",D357+F357)</f>
        <v/>
      </c>
      <c r="P357" s="71">
        <f>IF($A357="","",K357+N357)</f>
        <v/>
      </c>
      <c r="Q357" s="70">
        <f>IF($A357="","",I357+L357-F357)</f>
        <v/>
      </c>
      <c r="R357" s="72">
        <f>IF($A357="","",IF(H357="",Q357,H357))</f>
        <v/>
      </c>
      <c r="S357" s="73">
        <f>IF($A357="","",R357-Q357)</f>
        <v/>
      </c>
      <c r="T357" s="70">
        <f>IF($A357="","",SUMIFS($B$5:$B$800,$A$5:$A$800,"&gt;="&amp;DATE(YEAR($A357),MONTH($A357),1),$A$5:$A$800,"&lt;="&amp;$A357)+IF(AND(YEAR($A357)=YEAR(Settings!$B$3),MONTH($A357)=MONTH(Settings!$B$3)),Settings!$B$6,0))</f>
        <v/>
      </c>
      <c r="U357" s="71">
        <f>IF($A357="","",SUMIFS($J$5:$J$800,$A$5:$A$800,"&gt;="&amp;DATE(YEAR($A357),MONTH($A357),1),$A$5:$A$800,"&lt;="&amp;$A357)+IF(AND(YEAR($A357)=YEAR(Settings!$B$3),MONTH($A357)=MONTH(Settings!$B$3)),Settings!$B$7,0))</f>
        <v/>
      </c>
      <c r="V357" s="70">
        <f>IF($A357="","",Settings!$B$8+SUM($B$5:B357))</f>
        <v/>
      </c>
      <c r="W357" s="71">
        <f>IF($A357="","",Settings!$B$9+SUM($J$5:J357))</f>
        <v/>
      </c>
      <c r="X357" s="71">
        <f>IF($A357="","",IF(AND(N357&gt;0,F357&gt;0),ROUND(F357/N357,0),X356))</f>
        <v/>
      </c>
      <c r="Y357" s="74">
        <f>IF($A357="","",IF(AND(M357&gt;0,L357&gt;0),ROUND(L357/M357,0),IF(AND(J357&gt;0,B357&gt;0),ROUND(B357/J357,0),Y356)))</f>
        <v/>
      </c>
    </row>
    <row r="358">
      <c r="A358" s="67" t="n"/>
      <c r="B358" s="68" t="n"/>
      <c r="C358" s="69" t="n"/>
      <c r="D358" s="68" t="n"/>
      <c r="E358" s="69" t="n"/>
      <c r="F358" s="68" t="n"/>
      <c r="G358" s="69" t="n"/>
      <c r="H358" s="68" t="n"/>
      <c r="I358" s="70">
        <f>IF($A358="","",R357)</f>
        <v/>
      </c>
      <c r="J358" s="71">
        <f>IF($A358="","",IF(C358="",0,C358))</f>
        <v/>
      </c>
      <c r="K358" s="71">
        <f>IF($A358="","",IF(E358="",0,E358))</f>
        <v/>
      </c>
      <c r="L358" s="70">
        <f>IF($A358="","",B358-D358)</f>
        <v/>
      </c>
      <c r="M358" s="71">
        <f>IF($A358="","",J358-K358)</f>
        <v/>
      </c>
      <c r="N358" s="71">
        <f>IF($A358="","",IF(G358="",0,G358))</f>
        <v/>
      </c>
      <c r="O358" s="70">
        <f>IF($A358="","",D358+F358)</f>
        <v/>
      </c>
      <c r="P358" s="71">
        <f>IF($A358="","",K358+N358)</f>
        <v/>
      </c>
      <c r="Q358" s="70">
        <f>IF($A358="","",I358+L358-F358)</f>
        <v/>
      </c>
      <c r="R358" s="72">
        <f>IF($A358="","",IF(H358="",Q358,H358))</f>
        <v/>
      </c>
      <c r="S358" s="73">
        <f>IF($A358="","",R358-Q358)</f>
        <v/>
      </c>
      <c r="T358" s="70">
        <f>IF($A358="","",SUMIFS($B$5:$B$800,$A$5:$A$800,"&gt;="&amp;DATE(YEAR($A358),MONTH($A358),1),$A$5:$A$800,"&lt;="&amp;$A358)+IF(AND(YEAR($A358)=YEAR(Settings!$B$3),MONTH($A358)=MONTH(Settings!$B$3)),Settings!$B$6,0))</f>
        <v/>
      </c>
      <c r="U358" s="71">
        <f>IF($A358="","",SUMIFS($J$5:$J$800,$A$5:$A$800,"&gt;="&amp;DATE(YEAR($A358),MONTH($A358),1),$A$5:$A$800,"&lt;="&amp;$A358)+IF(AND(YEAR($A358)=YEAR(Settings!$B$3),MONTH($A358)=MONTH(Settings!$B$3)),Settings!$B$7,0))</f>
        <v/>
      </c>
      <c r="V358" s="70">
        <f>IF($A358="","",Settings!$B$8+SUM($B$5:B358))</f>
        <v/>
      </c>
      <c r="W358" s="71">
        <f>IF($A358="","",Settings!$B$9+SUM($J$5:J358))</f>
        <v/>
      </c>
      <c r="X358" s="71">
        <f>IF($A358="","",IF(AND(N358&gt;0,F358&gt;0),ROUND(F358/N358,0),X357))</f>
        <v/>
      </c>
      <c r="Y358" s="74">
        <f>IF($A358="","",IF(AND(M358&gt;0,L358&gt;0),ROUND(L358/M358,0),IF(AND(J358&gt;0,B358&gt;0),ROUND(B358/J358,0),Y357)))</f>
        <v/>
      </c>
    </row>
    <row r="359">
      <c r="A359" s="67" t="n"/>
      <c r="B359" s="68" t="n"/>
      <c r="C359" s="69" t="n"/>
      <c r="D359" s="68" t="n"/>
      <c r="E359" s="69" t="n"/>
      <c r="F359" s="68" t="n"/>
      <c r="G359" s="69" t="n"/>
      <c r="H359" s="68" t="n"/>
      <c r="I359" s="70">
        <f>IF($A359="","",R358)</f>
        <v/>
      </c>
      <c r="J359" s="71">
        <f>IF($A359="","",IF(C359="",0,C359))</f>
        <v/>
      </c>
      <c r="K359" s="71">
        <f>IF($A359="","",IF(E359="",0,E359))</f>
        <v/>
      </c>
      <c r="L359" s="70">
        <f>IF($A359="","",B359-D359)</f>
        <v/>
      </c>
      <c r="M359" s="71">
        <f>IF($A359="","",J359-K359)</f>
        <v/>
      </c>
      <c r="N359" s="71">
        <f>IF($A359="","",IF(G359="",0,G359))</f>
        <v/>
      </c>
      <c r="O359" s="70">
        <f>IF($A359="","",D359+F359)</f>
        <v/>
      </c>
      <c r="P359" s="71">
        <f>IF($A359="","",K359+N359)</f>
        <v/>
      </c>
      <c r="Q359" s="70">
        <f>IF($A359="","",I359+L359-F359)</f>
        <v/>
      </c>
      <c r="R359" s="72">
        <f>IF($A359="","",IF(H359="",Q359,H359))</f>
        <v/>
      </c>
      <c r="S359" s="73">
        <f>IF($A359="","",R359-Q359)</f>
        <v/>
      </c>
      <c r="T359" s="70">
        <f>IF($A359="","",SUMIFS($B$5:$B$800,$A$5:$A$800,"&gt;="&amp;DATE(YEAR($A359),MONTH($A359),1),$A$5:$A$800,"&lt;="&amp;$A359)+IF(AND(YEAR($A359)=YEAR(Settings!$B$3),MONTH($A359)=MONTH(Settings!$B$3)),Settings!$B$6,0))</f>
        <v/>
      </c>
      <c r="U359" s="71">
        <f>IF($A359="","",SUMIFS($J$5:$J$800,$A$5:$A$800,"&gt;="&amp;DATE(YEAR($A359),MONTH($A359),1),$A$5:$A$800,"&lt;="&amp;$A359)+IF(AND(YEAR($A359)=YEAR(Settings!$B$3),MONTH($A359)=MONTH(Settings!$B$3)),Settings!$B$7,0))</f>
        <v/>
      </c>
      <c r="V359" s="70">
        <f>IF($A359="","",Settings!$B$8+SUM($B$5:B359))</f>
        <v/>
      </c>
      <c r="W359" s="71">
        <f>IF($A359="","",Settings!$B$9+SUM($J$5:J359))</f>
        <v/>
      </c>
      <c r="X359" s="71">
        <f>IF($A359="","",IF(AND(N359&gt;0,F359&gt;0),ROUND(F359/N359,0),X358))</f>
        <v/>
      </c>
      <c r="Y359" s="74">
        <f>IF($A359="","",IF(AND(M359&gt;0,L359&gt;0),ROUND(L359/M359,0),IF(AND(J359&gt;0,B359&gt;0),ROUND(B359/J359,0),Y358)))</f>
        <v/>
      </c>
    </row>
    <row r="360">
      <c r="A360" s="67" t="n"/>
      <c r="B360" s="68" t="n"/>
      <c r="C360" s="69" t="n"/>
      <c r="D360" s="68" t="n"/>
      <c r="E360" s="69" t="n"/>
      <c r="F360" s="68" t="n"/>
      <c r="G360" s="69" t="n"/>
      <c r="H360" s="68" t="n"/>
      <c r="I360" s="70">
        <f>IF($A360="","",R359)</f>
        <v/>
      </c>
      <c r="J360" s="71">
        <f>IF($A360="","",IF(C360="",0,C360))</f>
        <v/>
      </c>
      <c r="K360" s="71">
        <f>IF($A360="","",IF(E360="",0,E360))</f>
        <v/>
      </c>
      <c r="L360" s="70">
        <f>IF($A360="","",B360-D360)</f>
        <v/>
      </c>
      <c r="M360" s="71">
        <f>IF($A360="","",J360-K360)</f>
        <v/>
      </c>
      <c r="N360" s="71">
        <f>IF($A360="","",IF(G360="",0,G360))</f>
        <v/>
      </c>
      <c r="O360" s="70">
        <f>IF($A360="","",D360+F360)</f>
        <v/>
      </c>
      <c r="P360" s="71">
        <f>IF($A360="","",K360+N360)</f>
        <v/>
      </c>
      <c r="Q360" s="70">
        <f>IF($A360="","",I360+L360-F360)</f>
        <v/>
      </c>
      <c r="R360" s="72">
        <f>IF($A360="","",IF(H360="",Q360,H360))</f>
        <v/>
      </c>
      <c r="S360" s="73">
        <f>IF($A360="","",R360-Q360)</f>
        <v/>
      </c>
      <c r="T360" s="70">
        <f>IF($A360="","",SUMIFS($B$5:$B$800,$A$5:$A$800,"&gt;="&amp;DATE(YEAR($A360),MONTH($A360),1),$A$5:$A$800,"&lt;="&amp;$A360)+IF(AND(YEAR($A360)=YEAR(Settings!$B$3),MONTH($A360)=MONTH(Settings!$B$3)),Settings!$B$6,0))</f>
        <v/>
      </c>
      <c r="U360" s="71">
        <f>IF($A360="","",SUMIFS($J$5:$J$800,$A$5:$A$800,"&gt;="&amp;DATE(YEAR($A360),MONTH($A360),1),$A$5:$A$800,"&lt;="&amp;$A360)+IF(AND(YEAR($A360)=YEAR(Settings!$B$3),MONTH($A360)=MONTH(Settings!$B$3)),Settings!$B$7,0))</f>
        <v/>
      </c>
      <c r="V360" s="70">
        <f>IF($A360="","",Settings!$B$8+SUM($B$5:B360))</f>
        <v/>
      </c>
      <c r="W360" s="71">
        <f>IF($A360="","",Settings!$B$9+SUM($J$5:J360))</f>
        <v/>
      </c>
      <c r="X360" s="71">
        <f>IF($A360="","",IF(AND(N360&gt;0,F360&gt;0),ROUND(F360/N360,0),X359))</f>
        <v/>
      </c>
      <c r="Y360" s="74">
        <f>IF($A360="","",IF(AND(M360&gt;0,L360&gt;0),ROUND(L360/M360,0),IF(AND(J360&gt;0,B360&gt;0),ROUND(B360/J360,0),Y359)))</f>
        <v/>
      </c>
    </row>
    <row r="361">
      <c r="A361" s="67" t="n"/>
      <c r="B361" s="68" t="n"/>
      <c r="C361" s="69" t="n"/>
      <c r="D361" s="68" t="n"/>
      <c r="E361" s="69" t="n"/>
      <c r="F361" s="68" t="n"/>
      <c r="G361" s="69" t="n"/>
      <c r="H361" s="68" t="n"/>
      <c r="I361" s="70">
        <f>IF($A361="","",R360)</f>
        <v/>
      </c>
      <c r="J361" s="71">
        <f>IF($A361="","",IF(C361="",0,C361))</f>
        <v/>
      </c>
      <c r="K361" s="71">
        <f>IF($A361="","",IF(E361="",0,E361))</f>
        <v/>
      </c>
      <c r="L361" s="70">
        <f>IF($A361="","",B361-D361)</f>
        <v/>
      </c>
      <c r="M361" s="71">
        <f>IF($A361="","",J361-K361)</f>
        <v/>
      </c>
      <c r="N361" s="71">
        <f>IF($A361="","",IF(G361="",0,G361))</f>
        <v/>
      </c>
      <c r="O361" s="70">
        <f>IF($A361="","",D361+F361)</f>
        <v/>
      </c>
      <c r="P361" s="71">
        <f>IF($A361="","",K361+N361)</f>
        <v/>
      </c>
      <c r="Q361" s="70">
        <f>IF($A361="","",I361+L361-F361)</f>
        <v/>
      </c>
      <c r="R361" s="72">
        <f>IF($A361="","",IF(H361="",Q361,H361))</f>
        <v/>
      </c>
      <c r="S361" s="73">
        <f>IF($A361="","",R361-Q361)</f>
        <v/>
      </c>
      <c r="T361" s="70">
        <f>IF($A361="","",SUMIFS($B$5:$B$800,$A$5:$A$800,"&gt;="&amp;DATE(YEAR($A361),MONTH($A361),1),$A$5:$A$800,"&lt;="&amp;$A361)+IF(AND(YEAR($A361)=YEAR(Settings!$B$3),MONTH($A361)=MONTH(Settings!$B$3)),Settings!$B$6,0))</f>
        <v/>
      </c>
      <c r="U361" s="71">
        <f>IF($A361="","",SUMIFS($J$5:$J$800,$A$5:$A$800,"&gt;="&amp;DATE(YEAR($A361),MONTH($A361),1),$A$5:$A$800,"&lt;="&amp;$A361)+IF(AND(YEAR($A361)=YEAR(Settings!$B$3),MONTH($A361)=MONTH(Settings!$B$3)),Settings!$B$7,0))</f>
        <v/>
      </c>
      <c r="V361" s="70">
        <f>IF($A361="","",Settings!$B$8+SUM($B$5:B361))</f>
        <v/>
      </c>
      <c r="W361" s="71">
        <f>IF($A361="","",Settings!$B$9+SUM($J$5:J361))</f>
        <v/>
      </c>
      <c r="X361" s="71">
        <f>IF($A361="","",IF(AND(N361&gt;0,F361&gt;0),ROUND(F361/N361,0),X360))</f>
        <v/>
      </c>
      <c r="Y361" s="74">
        <f>IF($A361="","",IF(AND(M361&gt;0,L361&gt;0),ROUND(L361/M361,0),IF(AND(J361&gt;0,B361&gt;0),ROUND(B361/J361,0),Y360)))</f>
        <v/>
      </c>
    </row>
    <row r="362">
      <c r="A362" s="67" t="n"/>
      <c r="B362" s="68" t="n"/>
      <c r="C362" s="69" t="n"/>
      <c r="D362" s="68" t="n"/>
      <c r="E362" s="69" t="n"/>
      <c r="F362" s="68" t="n"/>
      <c r="G362" s="69" t="n"/>
      <c r="H362" s="68" t="n"/>
      <c r="I362" s="70">
        <f>IF($A362="","",R361)</f>
        <v/>
      </c>
      <c r="J362" s="71">
        <f>IF($A362="","",IF(C362="",0,C362))</f>
        <v/>
      </c>
      <c r="K362" s="71">
        <f>IF($A362="","",IF(E362="",0,E362))</f>
        <v/>
      </c>
      <c r="L362" s="70">
        <f>IF($A362="","",B362-D362)</f>
        <v/>
      </c>
      <c r="M362" s="71">
        <f>IF($A362="","",J362-K362)</f>
        <v/>
      </c>
      <c r="N362" s="71">
        <f>IF($A362="","",IF(G362="",0,G362))</f>
        <v/>
      </c>
      <c r="O362" s="70">
        <f>IF($A362="","",D362+F362)</f>
        <v/>
      </c>
      <c r="P362" s="71">
        <f>IF($A362="","",K362+N362)</f>
        <v/>
      </c>
      <c r="Q362" s="70">
        <f>IF($A362="","",I362+L362-F362)</f>
        <v/>
      </c>
      <c r="R362" s="72">
        <f>IF($A362="","",IF(H362="",Q362,H362))</f>
        <v/>
      </c>
      <c r="S362" s="73">
        <f>IF($A362="","",R362-Q362)</f>
        <v/>
      </c>
      <c r="T362" s="70">
        <f>IF($A362="","",SUMIFS($B$5:$B$800,$A$5:$A$800,"&gt;="&amp;DATE(YEAR($A362),MONTH($A362),1),$A$5:$A$800,"&lt;="&amp;$A362)+IF(AND(YEAR($A362)=YEAR(Settings!$B$3),MONTH($A362)=MONTH(Settings!$B$3)),Settings!$B$6,0))</f>
        <v/>
      </c>
      <c r="U362" s="71">
        <f>IF($A362="","",SUMIFS($J$5:$J$800,$A$5:$A$800,"&gt;="&amp;DATE(YEAR($A362),MONTH($A362),1),$A$5:$A$800,"&lt;="&amp;$A362)+IF(AND(YEAR($A362)=YEAR(Settings!$B$3),MONTH($A362)=MONTH(Settings!$B$3)),Settings!$B$7,0))</f>
        <v/>
      </c>
      <c r="V362" s="70">
        <f>IF($A362="","",Settings!$B$8+SUM($B$5:B362))</f>
        <v/>
      </c>
      <c r="W362" s="71">
        <f>IF($A362="","",Settings!$B$9+SUM($J$5:J362))</f>
        <v/>
      </c>
      <c r="X362" s="71">
        <f>IF($A362="","",IF(AND(N362&gt;0,F362&gt;0),ROUND(F362/N362,0),X361))</f>
        <v/>
      </c>
      <c r="Y362" s="74">
        <f>IF($A362="","",IF(AND(M362&gt;0,L362&gt;0),ROUND(L362/M362,0),IF(AND(J362&gt;0,B362&gt;0),ROUND(B362/J362,0),Y361)))</f>
        <v/>
      </c>
    </row>
    <row r="363">
      <c r="A363" s="67" t="n"/>
      <c r="B363" s="68" t="n"/>
      <c r="C363" s="69" t="n"/>
      <c r="D363" s="68" t="n"/>
      <c r="E363" s="69" t="n"/>
      <c r="F363" s="68" t="n"/>
      <c r="G363" s="69" t="n"/>
      <c r="H363" s="68" t="n"/>
      <c r="I363" s="70">
        <f>IF($A363="","",R362)</f>
        <v/>
      </c>
      <c r="J363" s="71">
        <f>IF($A363="","",IF(C363="",0,C363))</f>
        <v/>
      </c>
      <c r="K363" s="71">
        <f>IF($A363="","",IF(E363="",0,E363))</f>
        <v/>
      </c>
      <c r="L363" s="70">
        <f>IF($A363="","",B363-D363)</f>
        <v/>
      </c>
      <c r="M363" s="71">
        <f>IF($A363="","",J363-K363)</f>
        <v/>
      </c>
      <c r="N363" s="71">
        <f>IF($A363="","",IF(G363="",0,G363))</f>
        <v/>
      </c>
      <c r="O363" s="70">
        <f>IF($A363="","",D363+F363)</f>
        <v/>
      </c>
      <c r="P363" s="71">
        <f>IF($A363="","",K363+N363)</f>
        <v/>
      </c>
      <c r="Q363" s="70">
        <f>IF($A363="","",I363+L363-F363)</f>
        <v/>
      </c>
      <c r="R363" s="72">
        <f>IF($A363="","",IF(H363="",Q363,H363))</f>
        <v/>
      </c>
      <c r="S363" s="73">
        <f>IF($A363="","",R363-Q363)</f>
        <v/>
      </c>
      <c r="T363" s="70">
        <f>IF($A363="","",SUMIFS($B$5:$B$800,$A$5:$A$800,"&gt;="&amp;DATE(YEAR($A363),MONTH($A363),1),$A$5:$A$800,"&lt;="&amp;$A363)+IF(AND(YEAR($A363)=YEAR(Settings!$B$3),MONTH($A363)=MONTH(Settings!$B$3)),Settings!$B$6,0))</f>
        <v/>
      </c>
      <c r="U363" s="71">
        <f>IF($A363="","",SUMIFS($J$5:$J$800,$A$5:$A$800,"&gt;="&amp;DATE(YEAR($A363),MONTH($A363),1),$A$5:$A$800,"&lt;="&amp;$A363)+IF(AND(YEAR($A363)=YEAR(Settings!$B$3),MONTH($A363)=MONTH(Settings!$B$3)),Settings!$B$7,0))</f>
        <v/>
      </c>
      <c r="V363" s="70">
        <f>IF($A363="","",Settings!$B$8+SUM($B$5:B363))</f>
        <v/>
      </c>
      <c r="W363" s="71">
        <f>IF($A363="","",Settings!$B$9+SUM($J$5:J363))</f>
        <v/>
      </c>
      <c r="X363" s="71">
        <f>IF($A363="","",IF(AND(N363&gt;0,F363&gt;0),ROUND(F363/N363,0),X362))</f>
        <v/>
      </c>
      <c r="Y363" s="74">
        <f>IF($A363="","",IF(AND(M363&gt;0,L363&gt;0),ROUND(L363/M363,0),IF(AND(J363&gt;0,B363&gt;0),ROUND(B363/J363,0),Y362)))</f>
        <v/>
      </c>
    </row>
    <row r="364">
      <c r="A364" s="67" t="n"/>
      <c r="B364" s="68" t="n"/>
      <c r="C364" s="69" t="n"/>
      <c r="D364" s="68" t="n"/>
      <c r="E364" s="69" t="n"/>
      <c r="F364" s="68" t="n"/>
      <c r="G364" s="69" t="n"/>
      <c r="H364" s="68" t="n"/>
      <c r="I364" s="70">
        <f>IF($A364="","",R363)</f>
        <v/>
      </c>
      <c r="J364" s="71">
        <f>IF($A364="","",IF(C364="",0,C364))</f>
        <v/>
      </c>
      <c r="K364" s="71">
        <f>IF($A364="","",IF(E364="",0,E364))</f>
        <v/>
      </c>
      <c r="L364" s="70">
        <f>IF($A364="","",B364-D364)</f>
        <v/>
      </c>
      <c r="M364" s="71">
        <f>IF($A364="","",J364-K364)</f>
        <v/>
      </c>
      <c r="N364" s="71">
        <f>IF($A364="","",IF(G364="",0,G364))</f>
        <v/>
      </c>
      <c r="O364" s="70">
        <f>IF($A364="","",D364+F364)</f>
        <v/>
      </c>
      <c r="P364" s="71">
        <f>IF($A364="","",K364+N364)</f>
        <v/>
      </c>
      <c r="Q364" s="70">
        <f>IF($A364="","",I364+L364-F364)</f>
        <v/>
      </c>
      <c r="R364" s="72">
        <f>IF($A364="","",IF(H364="",Q364,H364))</f>
        <v/>
      </c>
      <c r="S364" s="73">
        <f>IF($A364="","",R364-Q364)</f>
        <v/>
      </c>
      <c r="T364" s="70">
        <f>IF($A364="","",SUMIFS($B$5:$B$800,$A$5:$A$800,"&gt;="&amp;DATE(YEAR($A364),MONTH($A364),1),$A$5:$A$800,"&lt;="&amp;$A364)+IF(AND(YEAR($A364)=YEAR(Settings!$B$3),MONTH($A364)=MONTH(Settings!$B$3)),Settings!$B$6,0))</f>
        <v/>
      </c>
      <c r="U364" s="71">
        <f>IF($A364="","",SUMIFS($J$5:$J$800,$A$5:$A$800,"&gt;="&amp;DATE(YEAR($A364),MONTH($A364),1),$A$5:$A$800,"&lt;="&amp;$A364)+IF(AND(YEAR($A364)=YEAR(Settings!$B$3),MONTH($A364)=MONTH(Settings!$B$3)),Settings!$B$7,0))</f>
        <v/>
      </c>
      <c r="V364" s="70">
        <f>IF($A364="","",Settings!$B$8+SUM($B$5:B364))</f>
        <v/>
      </c>
      <c r="W364" s="71">
        <f>IF($A364="","",Settings!$B$9+SUM($J$5:J364))</f>
        <v/>
      </c>
      <c r="X364" s="71">
        <f>IF($A364="","",IF(AND(N364&gt;0,F364&gt;0),ROUND(F364/N364,0),X363))</f>
        <v/>
      </c>
      <c r="Y364" s="74">
        <f>IF($A364="","",IF(AND(M364&gt;0,L364&gt;0),ROUND(L364/M364,0),IF(AND(J364&gt;0,B364&gt;0),ROUND(B364/J364,0),Y363)))</f>
        <v/>
      </c>
    </row>
    <row r="365">
      <c r="A365" s="67" t="n"/>
      <c r="B365" s="68" t="n"/>
      <c r="C365" s="69" t="n"/>
      <c r="D365" s="68" t="n"/>
      <c r="E365" s="69" t="n"/>
      <c r="F365" s="68" t="n"/>
      <c r="G365" s="69" t="n"/>
      <c r="H365" s="68" t="n"/>
      <c r="I365" s="70">
        <f>IF($A365="","",R364)</f>
        <v/>
      </c>
      <c r="J365" s="71">
        <f>IF($A365="","",IF(C365="",0,C365))</f>
        <v/>
      </c>
      <c r="K365" s="71">
        <f>IF($A365="","",IF(E365="",0,E365))</f>
        <v/>
      </c>
      <c r="L365" s="70">
        <f>IF($A365="","",B365-D365)</f>
        <v/>
      </c>
      <c r="M365" s="71">
        <f>IF($A365="","",J365-K365)</f>
        <v/>
      </c>
      <c r="N365" s="71">
        <f>IF($A365="","",IF(G365="",0,G365))</f>
        <v/>
      </c>
      <c r="O365" s="70">
        <f>IF($A365="","",D365+F365)</f>
        <v/>
      </c>
      <c r="P365" s="71">
        <f>IF($A365="","",K365+N365)</f>
        <v/>
      </c>
      <c r="Q365" s="70">
        <f>IF($A365="","",I365+L365-F365)</f>
        <v/>
      </c>
      <c r="R365" s="72">
        <f>IF($A365="","",IF(H365="",Q365,H365))</f>
        <v/>
      </c>
      <c r="S365" s="73">
        <f>IF($A365="","",R365-Q365)</f>
        <v/>
      </c>
      <c r="T365" s="70">
        <f>IF($A365="","",SUMIFS($B$5:$B$800,$A$5:$A$800,"&gt;="&amp;DATE(YEAR($A365),MONTH($A365),1),$A$5:$A$800,"&lt;="&amp;$A365)+IF(AND(YEAR($A365)=YEAR(Settings!$B$3),MONTH($A365)=MONTH(Settings!$B$3)),Settings!$B$6,0))</f>
        <v/>
      </c>
      <c r="U365" s="71">
        <f>IF($A365="","",SUMIFS($J$5:$J$800,$A$5:$A$800,"&gt;="&amp;DATE(YEAR($A365),MONTH($A365),1),$A$5:$A$800,"&lt;="&amp;$A365)+IF(AND(YEAR($A365)=YEAR(Settings!$B$3),MONTH($A365)=MONTH(Settings!$B$3)),Settings!$B$7,0))</f>
        <v/>
      </c>
      <c r="V365" s="70">
        <f>IF($A365="","",Settings!$B$8+SUM($B$5:B365))</f>
        <v/>
      </c>
      <c r="W365" s="71">
        <f>IF($A365="","",Settings!$B$9+SUM($J$5:J365))</f>
        <v/>
      </c>
      <c r="X365" s="71">
        <f>IF($A365="","",IF(AND(N365&gt;0,F365&gt;0),ROUND(F365/N365,0),X364))</f>
        <v/>
      </c>
      <c r="Y365" s="74">
        <f>IF($A365="","",IF(AND(M365&gt;0,L365&gt;0),ROUND(L365/M365,0),IF(AND(J365&gt;0,B365&gt;0),ROUND(B365/J365,0),Y364)))</f>
        <v/>
      </c>
    </row>
    <row r="366">
      <c r="A366" s="67" t="n"/>
      <c r="B366" s="68" t="n"/>
      <c r="C366" s="69" t="n"/>
      <c r="D366" s="68" t="n"/>
      <c r="E366" s="69" t="n"/>
      <c r="F366" s="68" t="n"/>
      <c r="G366" s="69" t="n"/>
      <c r="H366" s="68" t="n"/>
      <c r="I366" s="70">
        <f>IF($A366="","",R365)</f>
        <v/>
      </c>
      <c r="J366" s="71">
        <f>IF($A366="","",IF(C366="",0,C366))</f>
        <v/>
      </c>
      <c r="K366" s="71">
        <f>IF($A366="","",IF(E366="",0,E366))</f>
        <v/>
      </c>
      <c r="L366" s="70">
        <f>IF($A366="","",B366-D366)</f>
        <v/>
      </c>
      <c r="M366" s="71">
        <f>IF($A366="","",J366-K366)</f>
        <v/>
      </c>
      <c r="N366" s="71">
        <f>IF($A366="","",IF(G366="",0,G366))</f>
        <v/>
      </c>
      <c r="O366" s="70">
        <f>IF($A366="","",D366+F366)</f>
        <v/>
      </c>
      <c r="P366" s="71">
        <f>IF($A366="","",K366+N366)</f>
        <v/>
      </c>
      <c r="Q366" s="70">
        <f>IF($A366="","",I366+L366-F366)</f>
        <v/>
      </c>
      <c r="R366" s="72">
        <f>IF($A366="","",IF(H366="",Q366,H366))</f>
        <v/>
      </c>
      <c r="S366" s="73">
        <f>IF($A366="","",R366-Q366)</f>
        <v/>
      </c>
      <c r="T366" s="70">
        <f>IF($A366="","",SUMIFS($B$5:$B$800,$A$5:$A$800,"&gt;="&amp;DATE(YEAR($A366),MONTH($A366),1),$A$5:$A$800,"&lt;="&amp;$A366)+IF(AND(YEAR($A366)=YEAR(Settings!$B$3),MONTH($A366)=MONTH(Settings!$B$3)),Settings!$B$6,0))</f>
        <v/>
      </c>
      <c r="U366" s="71">
        <f>IF($A366="","",SUMIFS($J$5:$J$800,$A$5:$A$800,"&gt;="&amp;DATE(YEAR($A366),MONTH($A366),1),$A$5:$A$800,"&lt;="&amp;$A366)+IF(AND(YEAR($A366)=YEAR(Settings!$B$3),MONTH($A366)=MONTH(Settings!$B$3)),Settings!$B$7,0))</f>
        <v/>
      </c>
      <c r="V366" s="70">
        <f>IF($A366="","",Settings!$B$8+SUM($B$5:B366))</f>
        <v/>
      </c>
      <c r="W366" s="71">
        <f>IF($A366="","",Settings!$B$9+SUM($J$5:J366))</f>
        <v/>
      </c>
      <c r="X366" s="71">
        <f>IF($A366="","",IF(AND(N366&gt;0,F366&gt;0),ROUND(F366/N366,0),X365))</f>
        <v/>
      </c>
      <c r="Y366" s="74">
        <f>IF($A366="","",IF(AND(M366&gt;0,L366&gt;0),ROUND(L366/M366,0),IF(AND(J366&gt;0,B366&gt;0),ROUND(B366/J366,0),Y365)))</f>
        <v/>
      </c>
    </row>
    <row r="367">
      <c r="A367" s="67" t="n"/>
      <c r="B367" s="68" t="n"/>
      <c r="C367" s="69" t="n"/>
      <c r="D367" s="68" t="n"/>
      <c r="E367" s="69" t="n"/>
      <c r="F367" s="68" t="n"/>
      <c r="G367" s="69" t="n"/>
      <c r="H367" s="68" t="n"/>
      <c r="I367" s="70">
        <f>IF($A367="","",R366)</f>
        <v/>
      </c>
      <c r="J367" s="71">
        <f>IF($A367="","",IF(C367="",0,C367))</f>
        <v/>
      </c>
      <c r="K367" s="71">
        <f>IF($A367="","",IF(E367="",0,E367))</f>
        <v/>
      </c>
      <c r="L367" s="70">
        <f>IF($A367="","",B367-D367)</f>
        <v/>
      </c>
      <c r="M367" s="71">
        <f>IF($A367="","",J367-K367)</f>
        <v/>
      </c>
      <c r="N367" s="71">
        <f>IF($A367="","",IF(G367="",0,G367))</f>
        <v/>
      </c>
      <c r="O367" s="70">
        <f>IF($A367="","",D367+F367)</f>
        <v/>
      </c>
      <c r="P367" s="71">
        <f>IF($A367="","",K367+N367)</f>
        <v/>
      </c>
      <c r="Q367" s="70">
        <f>IF($A367="","",I367+L367-F367)</f>
        <v/>
      </c>
      <c r="R367" s="72">
        <f>IF($A367="","",IF(H367="",Q367,H367))</f>
        <v/>
      </c>
      <c r="S367" s="73">
        <f>IF($A367="","",R367-Q367)</f>
        <v/>
      </c>
      <c r="T367" s="70">
        <f>IF($A367="","",SUMIFS($B$5:$B$800,$A$5:$A$800,"&gt;="&amp;DATE(YEAR($A367),MONTH($A367),1),$A$5:$A$800,"&lt;="&amp;$A367)+IF(AND(YEAR($A367)=YEAR(Settings!$B$3),MONTH($A367)=MONTH(Settings!$B$3)),Settings!$B$6,0))</f>
        <v/>
      </c>
      <c r="U367" s="71">
        <f>IF($A367="","",SUMIFS($J$5:$J$800,$A$5:$A$800,"&gt;="&amp;DATE(YEAR($A367),MONTH($A367),1),$A$5:$A$800,"&lt;="&amp;$A367)+IF(AND(YEAR($A367)=YEAR(Settings!$B$3),MONTH($A367)=MONTH(Settings!$B$3)),Settings!$B$7,0))</f>
        <v/>
      </c>
      <c r="V367" s="70">
        <f>IF($A367="","",Settings!$B$8+SUM($B$5:B367))</f>
        <v/>
      </c>
      <c r="W367" s="71">
        <f>IF($A367="","",Settings!$B$9+SUM($J$5:J367))</f>
        <v/>
      </c>
      <c r="X367" s="71">
        <f>IF($A367="","",IF(AND(N367&gt;0,F367&gt;0),ROUND(F367/N367,0),X366))</f>
        <v/>
      </c>
      <c r="Y367" s="74">
        <f>IF($A367="","",IF(AND(M367&gt;0,L367&gt;0),ROUND(L367/M367,0),IF(AND(J367&gt;0,B367&gt;0),ROUND(B367/J367,0),Y366)))</f>
        <v/>
      </c>
    </row>
    <row r="368">
      <c r="A368" s="67" t="n"/>
      <c r="B368" s="68" t="n"/>
      <c r="C368" s="69" t="n"/>
      <c r="D368" s="68" t="n"/>
      <c r="E368" s="69" t="n"/>
      <c r="F368" s="68" t="n"/>
      <c r="G368" s="69" t="n"/>
      <c r="H368" s="68" t="n"/>
      <c r="I368" s="70">
        <f>IF($A368="","",R367)</f>
        <v/>
      </c>
      <c r="J368" s="71">
        <f>IF($A368="","",IF(C368="",0,C368))</f>
        <v/>
      </c>
      <c r="K368" s="71">
        <f>IF($A368="","",IF(E368="",0,E368))</f>
        <v/>
      </c>
      <c r="L368" s="70">
        <f>IF($A368="","",B368-D368)</f>
        <v/>
      </c>
      <c r="M368" s="71">
        <f>IF($A368="","",J368-K368)</f>
        <v/>
      </c>
      <c r="N368" s="71">
        <f>IF($A368="","",IF(G368="",0,G368))</f>
        <v/>
      </c>
      <c r="O368" s="70">
        <f>IF($A368="","",D368+F368)</f>
        <v/>
      </c>
      <c r="P368" s="71">
        <f>IF($A368="","",K368+N368)</f>
        <v/>
      </c>
      <c r="Q368" s="70">
        <f>IF($A368="","",I368+L368-F368)</f>
        <v/>
      </c>
      <c r="R368" s="72">
        <f>IF($A368="","",IF(H368="",Q368,H368))</f>
        <v/>
      </c>
      <c r="S368" s="73">
        <f>IF($A368="","",R368-Q368)</f>
        <v/>
      </c>
      <c r="T368" s="70">
        <f>IF($A368="","",SUMIFS($B$5:$B$800,$A$5:$A$800,"&gt;="&amp;DATE(YEAR($A368),MONTH($A368),1),$A$5:$A$800,"&lt;="&amp;$A368)+IF(AND(YEAR($A368)=YEAR(Settings!$B$3),MONTH($A368)=MONTH(Settings!$B$3)),Settings!$B$6,0))</f>
        <v/>
      </c>
      <c r="U368" s="71">
        <f>IF($A368="","",SUMIFS($J$5:$J$800,$A$5:$A$800,"&gt;="&amp;DATE(YEAR($A368),MONTH($A368),1),$A$5:$A$800,"&lt;="&amp;$A368)+IF(AND(YEAR($A368)=YEAR(Settings!$B$3),MONTH($A368)=MONTH(Settings!$B$3)),Settings!$B$7,0))</f>
        <v/>
      </c>
      <c r="V368" s="70">
        <f>IF($A368="","",Settings!$B$8+SUM($B$5:B368))</f>
        <v/>
      </c>
      <c r="W368" s="71">
        <f>IF($A368="","",Settings!$B$9+SUM($J$5:J368))</f>
        <v/>
      </c>
      <c r="X368" s="71">
        <f>IF($A368="","",IF(AND(N368&gt;0,F368&gt;0),ROUND(F368/N368,0),X367))</f>
        <v/>
      </c>
      <c r="Y368" s="74">
        <f>IF($A368="","",IF(AND(M368&gt;0,L368&gt;0),ROUND(L368/M368,0),IF(AND(J368&gt;0,B368&gt;0),ROUND(B368/J368,0),Y367)))</f>
        <v/>
      </c>
    </row>
    <row r="369">
      <c r="A369" s="67" t="n"/>
      <c r="B369" s="68" t="n"/>
      <c r="C369" s="69" t="n"/>
      <c r="D369" s="68" t="n"/>
      <c r="E369" s="69" t="n"/>
      <c r="F369" s="68" t="n"/>
      <c r="G369" s="69" t="n"/>
      <c r="H369" s="68" t="n"/>
      <c r="I369" s="70">
        <f>IF($A369="","",R368)</f>
        <v/>
      </c>
      <c r="J369" s="71">
        <f>IF($A369="","",IF(C369="",0,C369))</f>
        <v/>
      </c>
      <c r="K369" s="71">
        <f>IF($A369="","",IF(E369="",0,E369))</f>
        <v/>
      </c>
      <c r="L369" s="70">
        <f>IF($A369="","",B369-D369)</f>
        <v/>
      </c>
      <c r="M369" s="71">
        <f>IF($A369="","",J369-K369)</f>
        <v/>
      </c>
      <c r="N369" s="71">
        <f>IF($A369="","",IF(G369="",0,G369))</f>
        <v/>
      </c>
      <c r="O369" s="70">
        <f>IF($A369="","",D369+F369)</f>
        <v/>
      </c>
      <c r="P369" s="71">
        <f>IF($A369="","",K369+N369)</f>
        <v/>
      </c>
      <c r="Q369" s="70">
        <f>IF($A369="","",I369+L369-F369)</f>
        <v/>
      </c>
      <c r="R369" s="72">
        <f>IF($A369="","",IF(H369="",Q369,H369))</f>
        <v/>
      </c>
      <c r="S369" s="73">
        <f>IF($A369="","",R369-Q369)</f>
        <v/>
      </c>
      <c r="T369" s="70">
        <f>IF($A369="","",SUMIFS($B$5:$B$800,$A$5:$A$800,"&gt;="&amp;DATE(YEAR($A369),MONTH($A369),1),$A$5:$A$800,"&lt;="&amp;$A369)+IF(AND(YEAR($A369)=YEAR(Settings!$B$3),MONTH($A369)=MONTH(Settings!$B$3)),Settings!$B$6,0))</f>
        <v/>
      </c>
      <c r="U369" s="71">
        <f>IF($A369="","",SUMIFS($J$5:$J$800,$A$5:$A$800,"&gt;="&amp;DATE(YEAR($A369),MONTH($A369),1),$A$5:$A$800,"&lt;="&amp;$A369)+IF(AND(YEAR($A369)=YEAR(Settings!$B$3),MONTH($A369)=MONTH(Settings!$B$3)),Settings!$B$7,0))</f>
        <v/>
      </c>
      <c r="V369" s="70">
        <f>IF($A369="","",Settings!$B$8+SUM($B$5:B369))</f>
        <v/>
      </c>
      <c r="W369" s="71">
        <f>IF($A369="","",Settings!$B$9+SUM($J$5:J369))</f>
        <v/>
      </c>
      <c r="X369" s="71">
        <f>IF($A369="","",IF(AND(N369&gt;0,F369&gt;0),ROUND(F369/N369,0),X368))</f>
        <v/>
      </c>
      <c r="Y369" s="74">
        <f>IF($A369="","",IF(AND(M369&gt;0,L369&gt;0),ROUND(L369/M369,0),IF(AND(J369&gt;0,B369&gt;0),ROUND(B369/J369,0),Y368)))</f>
        <v/>
      </c>
    </row>
    <row r="370">
      <c r="A370" s="67" t="n"/>
      <c r="B370" s="68" t="n"/>
      <c r="C370" s="69" t="n"/>
      <c r="D370" s="68" t="n"/>
      <c r="E370" s="69" t="n"/>
      <c r="F370" s="68" t="n"/>
      <c r="G370" s="69" t="n"/>
      <c r="H370" s="68" t="n"/>
      <c r="I370" s="70">
        <f>IF($A370="","",R369)</f>
        <v/>
      </c>
      <c r="J370" s="71">
        <f>IF($A370="","",IF(C370="",0,C370))</f>
        <v/>
      </c>
      <c r="K370" s="71">
        <f>IF($A370="","",IF(E370="",0,E370))</f>
        <v/>
      </c>
      <c r="L370" s="70">
        <f>IF($A370="","",B370-D370)</f>
        <v/>
      </c>
      <c r="M370" s="71">
        <f>IF($A370="","",J370-K370)</f>
        <v/>
      </c>
      <c r="N370" s="71">
        <f>IF($A370="","",IF(G370="",0,G370))</f>
        <v/>
      </c>
      <c r="O370" s="70">
        <f>IF($A370="","",D370+F370)</f>
        <v/>
      </c>
      <c r="P370" s="71">
        <f>IF($A370="","",K370+N370)</f>
        <v/>
      </c>
      <c r="Q370" s="70">
        <f>IF($A370="","",I370+L370-F370)</f>
        <v/>
      </c>
      <c r="R370" s="72">
        <f>IF($A370="","",IF(H370="",Q370,H370))</f>
        <v/>
      </c>
      <c r="S370" s="73">
        <f>IF($A370="","",R370-Q370)</f>
        <v/>
      </c>
      <c r="T370" s="70">
        <f>IF($A370="","",SUMIFS($B$5:$B$800,$A$5:$A$800,"&gt;="&amp;DATE(YEAR($A370),MONTH($A370),1),$A$5:$A$800,"&lt;="&amp;$A370)+IF(AND(YEAR($A370)=YEAR(Settings!$B$3),MONTH($A370)=MONTH(Settings!$B$3)),Settings!$B$6,0))</f>
        <v/>
      </c>
      <c r="U370" s="71">
        <f>IF($A370="","",SUMIFS($J$5:$J$800,$A$5:$A$800,"&gt;="&amp;DATE(YEAR($A370),MONTH($A370),1),$A$5:$A$800,"&lt;="&amp;$A370)+IF(AND(YEAR($A370)=YEAR(Settings!$B$3),MONTH($A370)=MONTH(Settings!$B$3)),Settings!$B$7,0))</f>
        <v/>
      </c>
      <c r="V370" s="70">
        <f>IF($A370="","",Settings!$B$8+SUM($B$5:B370))</f>
        <v/>
      </c>
      <c r="W370" s="71">
        <f>IF($A370="","",Settings!$B$9+SUM($J$5:J370))</f>
        <v/>
      </c>
      <c r="X370" s="71">
        <f>IF($A370="","",IF(AND(N370&gt;0,F370&gt;0),ROUND(F370/N370,0),X369))</f>
        <v/>
      </c>
      <c r="Y370" s="74">
        <f>IF($A370="","",IF(AND(M370&gt;0,L370&gt;0),ROUND(L370/M370,0),IF(AND(J370&gt;0,B370&gt;0),ROUND(B370/J370,0),Y369)))</f>
        <v/>
      </c>
    </row>
    <row r="371">
      <c r="A371" s="67" t="n"/>
      <c r="B371" s="68" t="n"/>
      <c r="C371" s="69" t="n"/>
      <c r="D371" s="68" t="n"/>
      <c r="E371" s="69" t="n"/>
      <c r="F371" s="68" t="n"/>
      <c r="G371" s="69" t="n"/>
      <c r="H371" s="68" t="n"/>
      <c r="I371" s="70">
        <f>IF($A371="","",R370)</f>
        <v/>
      </c>
      <c r="J371" s="71">
        <f>IF($A371="","",IF(C371="",0,C371))</f>
        <v/>
      </c>
      <c r="K371" s="71">
        <f>IF($A371="","",IF(E371="",0,E371))</f>
        <v/>
      </c>
      <c r="L371" s="70">
        <f>IF($A371="","",B371-D371)</f>
        <v/>
      </c>
      <c r="M371" s="71">
        <f>IF($A371="","",J371-K371)</f>
        <v/>
      </c>
      <c r="N371" s="71">
        <f>IF($A371="","",IF(G371="",0,G371))</f>
        <v/>
      </c>
      <c r="O371" s="70">
        <f>IF($A371="","",D371+F371)</f>
        <v/>
      </c>
      <c r="P371" s="71">
        <f>IF($A371="","",K371+N371)</f>
        <v/>
      </c>
      <c r="Q371" s="70">
        <f>IF($A371="","",I371+L371-F371)</f>
        <v/>
      </c>
      <c r="R371" s="72">
        <f>IF($A371="","",IF(H371="",Q371,H371))</f>
        <v/>
      </c>
      <c r="S371" s="73">
        <f>IF($A371="","",R371-Q371)</f>
        <v/>
      </c>
      <c r="T371" s="70">
        <f>IF($A371="","",SUMIFS($B$5:$B$800,$A$5:$A$800,"&gt;="&amp;DATE(YEAR($A371),MONTH($A371),1),$A$5:$A$800,"&lt;="&amp;$A371)+IF(AND(YEAR($A371)=YEAR(Settings!$B$3),MONTH($A371)=MONTH(Settings!$B$3)),Settings!$B$6,0))</f>
        <v/>
      </c>
      <c r="U371" s="71">
        <f>IF($A371="","",SUMIFS($J$5:$J$800,$A$5:$A$800,"&gt;="&amp;DATE(YEAR($A371),MONTH($A371),1),$A$5:$A$800,"&lt;="&amp;$A371)+IF(AND(YEAR($A371)=YEAR(Settings!$B$3),MONTH($A371)=MONTH(Settings!$B$3)),Settings!$B$7,0))</f>
        <v/>
      </c>
      <c r="V371" s="70">
        <f>IF($A371="","",Settings!$B$8+SUM($B$5:B371))</f>
        <v/>
      </c>
      <c r="W371" s="71">
        <f>IF($A371="","",Settings!$B$9+SUM($J$5:J371))</f>
        <v/>
      </c>
      <c r="X371" s="71">
        <f>IF($A371="","",IF(AND(N371&gt;0,F371&gt;0),ROUND(F371/N371,0),X370))</f>
        <v/>
      </c>
      <c r="Y371" s="74">
        <f>IF($A371="","",IF(AND(M371&gt;0,L371&gt;0),ROUND(L371/M371,0),IF(AND(J371&gt;0,B371&gt;0),ROUND(B371/J371,0),Y370)))</f>
        <v/>
      </c>
    </row>
    <row r="372">
      <c r="A372" s="67" t="n"/>
      <c r="B372" s="68" t="n"/>
      <c r="C372" s="69" t="n"/>
      <c r="D372" s="68" t="n"/>
      <c r="E372" s="69" t="n"/>
      <c r="F372" s="68" t="n"/>
      <c r="G372" s="69" t="n"/>
      <c r="H372" s="68" t="n"/>
      <c r="I372" s="70">
        <f>IF($A372="","",R371)</f>
        <v/>
      </c>
      <c r="J372" s="71">
        <f>IF($A372="","",IF(C372="",0,C372))</f>
        <v/>
      </c>
      <c r="K372" s="71">
        <f>IF($A372="","",IF(E372="",0,E372))</f>
        <v/>
      </c>
      <c r="L372" s="70">
        <f>IF($A372="","",B372-D372)</f>
        <v/>
      </c>
      <c r="M372" s="71">
        <f>IF($A372="","",J372-K372)</f>
        <v/>
      </c>
      <c r="N372" s="71">
        <f>IF($A372="","",IF(G372="",0,G372))</f>
        <v/>
      </c>
      <c r="O372" s="70">
        <f>IF($A372="","",D372+F372)</f>
        <v/>
      </c>
      <c r="P372" s="71">
        <f>IF($A372="","",K372+N372)</f>
        <v/>
      </c>
      <c r="Q372" s="70">
        <f>IF($A372="","",I372+L372-F372)</f>
        <v/>
      </c>
      <c r="R372" s="72">
        <f>IF($A372="","",IF(H372="",Q372,H372))</f>
        <v/>
      </c>
      <c r="S372" s="73">
        <f>IF($A372="","",R372-Q372)</f>
        <v/>
      </c>
      <c r="T372" s="70">
        <f>IF($A372="","",SUMIFS($B$5:$B$800,$A$5:$A$800,"&gt;="&amp;DATE(YEAR($A372),MONTH($A372),1),$A$5:$A$800,"&lt;="&amp;$A372)+IF(AND(YEAR($A372)=YEAR(Settings!$B$3),MONTH($A372)=MONTH(Settings!$B$3)),Settings!$B$6,0))</f>
        <v/>
      </c>
      <c r="U372" s="71">
        <f>IF($A372="","",SUMIFS($J$5:$J$800,$A$5:$A$800,"&gt;="&amp;DATE(YEAR($A372),MONTH($A372),1),$A$5:$A$800,"&lt;="&amp;$A372)+IF(AND(YEAR($A372)=YEAR(Settings!$B$3),MONTH($A372)=MONTH(Settings!$B$3)),Settings!$B$7,0))</f>
        <v/>
      </c>
      <c r="V372" s="70">
        <f>IF($A372="","",Settings!$B$8+SUM($B$5:B372))</f>
        <v/>
      </c>
      <c r="W372" s="71">
        <f>IF($A372="","",Settings!$B$9+SUM($J$5:J372))</f>
        <v/>
      </c>
      <c r="X372" s="71">
        <f>IF($A372="","",IF(AND(N372&gt;0,F372&gt;0),ROUND(F372/N372,0),X371))</f>
        <v/>
      </c>
      <c r="Y372" s="74">
        <f>IF($A372="","",IF(AND(M372&gt;0,L372&gt;0),ROUND(L372/M372,0),IF(AND(J372&gt;0,B372&gt;0),ROUND(B372/J372,0),Y371)))</f>
        <v/>
      </c>
    </row>
    <row r="373">
      <c r="A373" s="67" t="n"/>
      <c r="B373" s="68" t="n"/>
      <c r="C373" s="69" t="n"/>
      <c r="D373" s="68" t="n"/>
      <c r="E373" s="69" t="n"/>
      <c r="F373" s="68" t="n"/>
      <c r="G373" s="69" t="n"/>
      <c r="H373" s="68" t="n"/>
      <c r="I373" s="70">
        <f>IF($A373="","",R372)</f>
        <v/>
      </c>
      <c r="J373" s="71">
        <f>IF($A373="","",IF(C373="",0,C373))</f>
        <v/>
      </c>
      <c r="K373" s="71">
        <f>IF($A373="","",IF(E373="",0,E373))</f>
        <v/>
      </c>
      <c r="L373" s="70">
        <f>IF($A373="","",B373-D373)</f>
        <v/>
      </c>
      <c r="M373" s="71">
        <f>IF($A373="","",J373-K373)</f>
        <v/>
      </c>
      <c r="N373" s="71">
        <f>IF($A373="","",IF(G373="",0,G373))</f>
        <v/>
      </c>
      <c r="O373" s="70">
        <f>IF($A373="","",D373+F373)</f>
        <v/>
      </c>
      <c r="P373" s="71">
        <f>IF($A373="","",K373+N373)</f>
        <v/>
      </c>
      <c r="Q373" s="70">
        <f>IF($A373="","",I373+L373-F373)</f>
        <v/>
      </c>
      <c r="R373" s="72">
        <f>IF($A373="","",IF(H373="",Q373,H373))</f>
        <v/>
      </c>
      <c r="S373" s="73">
        <f>IF($A373="","",R373-Q373)</f>
        <v/>
      </c>
      <c r="T373" s="70">
        <f>IF($A373="","",SUMIFS($B$5:$B$800,$A$5:$A$800,"&gt;="&amp;DATE(YEAR($A373),MONTH($A373),1),$A$5:$A$800,"&lt;="&amp;$A373)+IF(AND(YEAR($A373)=YEAR(Settings!$B$3),MONTH($A373)=MONTH(Settings!$B$3)),Settings!$B$6,0))</f>
        <v/>
      </c>
      <c r="U373" s="71">
        <f>IF($A373="","",SUMIFS($J$5:$J$800,$A$5:$A$800,"&gt;="&amp;DATE(YEAR($A373),MONTH($A373),1),$A$5:$A$800,"&lt;="&amp;$A373)+IF(AND(YEAR($A373)=YEAR(Settings!$B$3),MONTH($A373)=MONTH(Settings!$B$3)),Settings!$B$7,0))</f>
        <v/>
      </c>
      <c r="V373" s="70">
        <f>IF($A373="","",Settings!$B$8+SUM($B$5:B373))</f>
        <v/>
      </c>
      <c r="W373" s="71">
        <f>IF($A373="","",Settings!$B$9+SUM($J$5:J373))</f>
        <v/>
      </c>
      <c r="X373" s="71">
        <f>IF($A373="","",IF(AND(N373&gt;0,F373&gt;0),ROUND(F373/N373,0),X372))</f>
        <v/>
      </c>
      <c r="Y373" s="74">
        <f>IF($A373="","",IF(AND(M373&gt;0,L373&gt;0),ROUND(L373/M373,0),IF(AND(J373&gt;0,B373&gt;0),ROUND(B373/J373,0),Y372)))</f>
        <v/>
      </c>
    </row>
    <row r="374">
      <c r="A374" s="67" t="n"/>
      <c r="B374" s="68" t="n"/>
      <c r="C374" s="69" t="n"/>
      <c r="D374" s="68" t="n"/>
      <c r="E374" s="69" t="n"/>
      <c r="F374" s="68" t="n"/>
      <c r="G374" s="69" t="n"/>
      <c r="H374" s="68" t="n"/>
      <c r="I374" s="70">
        <f>IF($A374="","",R373)</f>
        <v/>
      </c>
      <c r="J374" s="71">
        <f>IF($A374="","",IF(C374="",0,C374))</f>
        <v/>
      </c>
      <c r="K374" s="71">
        <f>IF($A374="","",IF(E374="",0,E374))</f>
        <v/>
      </c>
      <c r="L374" s="70">
        <f>IF($A374="","",B374-D374)</f>
        <v/>
      </c>
      <c r="M374" s="71">
        <f>IF($A374="","",J374-K374)</f>
        <v/>
      </c>
      <c r="N374" s="71">
        <f>IF($A374="","",IF(G374="",0,G374))</f>
        <v/>
      </c>
      <c r="O374" s="70">
        <f>IF($A374="","",D374+F374)</f>
        <v/>
      </c>
      <c r="P374" s="71">
        <f>IF($A374="","",K374+N374)</f>
        <v/>
      </c>
      <c r="Q374" s="70">
        <f>IF($A374="","",I374+L374-F374)</f>
        <v/>
      </c>
      <c r="R374" s="72">
        <f>IF($A374="","",IF(H374="",Q374,H374))</f>
        <v/>
      </c>
      <c r="S374" s="73">
        <f>IF($A374="","",R374-Q374)</f>
        <v/>
      </c>
      <c r="T374" s="70">
        <f>IF($A374="","",SUMIFS($B$5:$B$800,$A$5:$A$800,"&gt;="&amp;DATE(YEAR($A374),MONTH($A374),1),$A$5:$A$800,"&lt;="&amp;$A374)+IF(AND(YEAR($A374)=YEAR(Settings!$B$3),MONTH($A374)=MONTH(Settings!$B$3)),Settings!$B$6,0))</f>
        <v/>
      </c>
      <c r="U374" s="71">
        <f>IF($A374="","",SUMIFS($J$5:$J$800,$A$5:$A$800,"&gt;="&amp;DATE(YEAR($A374),MONTH($A374),1),$A$5:$A$800,"&lt;="&amp;$A374)+IF(AND(YEAR($A374)=YEAR(Settings!$B$3),MONTH($A374)=MONTH(Settings!$B$3)),Settings!$B$7,0))</f>
        <v/>
      </c>
      <c r="V374" s="70">
        <f>IF($A374="","",Settings!$B$8+SUM($B$5:B374))</f>
        <v/>
      </c>
      <c r="W374" s="71">
        <f>IF($A374="","",Settings!$B$9+SUM($J$5:J374))</f>
        <v/>
      </c>
      <c r="X374" s="71">
        <f>IF($A374="","",IF(AND(N374&gt;0,F374&gt;0),ROUND(F374/N374,0),X373))</f>
        <v/>
      </c>
      <c r="Y374" s="74">
        <f>IF($A374="","",IF(AND(M374&gt;0,L374&gt;0),ROUND(L374/M374,0),IF(AND(J374&gt;0,B374&gt;0),ROUND(B374/J374,0),Y373)))</f>
        <v/>
      </c>
    </row>
    <row r="375">
      <c r="A375" s="67" t="n"/>
      <c r="B375" s="68" t="n"/>
      <c r="C375" s="69" t="n"/>
      <c r="D375" s="68" t="n"/>
      <c r="E375" s="69" t="n"/>
      <c r="F375" s="68" t="n"/>
      <c r="G375" s="69" t="n"/>
      <c r="H375" s="68" t="n"/>
      <c r="I375" s="70">
        <f>IF($A375="","",R374)</f>
        <v/>
      </c>
      <c r="J375" s="71">
        <f>IF($A375="","",IF(C375="",0,C375))</f>
        <v/>
      </c>
      <c r="K375" s="71">
        <f>IF($A375="","",IF(E375="",0,E375))</f>
        <v/>
      </c>
      <c r="L375" s="70">
        <f>IF($A375="","",B375-D375)</f>
        <v/>
      </c>
      <c r="M375" s="71">
        <f>IF($A375="","",J375-K375)</f>
        <v/>
      </c>
      <c r="N375" s="71">
        <f>IF($A375="","",IF(G375="",0,G375))</f>
        <v/>
      </c>
      <c r="O375" s="70">
        <f>IF($A375="","",D375+F375)</f>
        <v/>
      </c>
      <c r="P375" s="71">
        <f>IF($A375="","",K375+N375)</f>
        <v/>
      </c>
      <c r="Q375" s="70">
        <f>IF($A375="","",I375+L375-F375)</f>
        <v/>
      </c>
      <c r="R375" s="72">
        <f>IF($A375="","",IF(H375="",Q375,H375))</f>
        <v/>
      </c>
      <c r="S375" s="73">
        <f>IF($A375="","",R375-Q375)</f>
        <v/>
      </c>
      <c r="T375" s="70">
        <f>IF($A375="","",SUMIFS($B$5:$B$800,$A$5:$A$800,"&gt;="&amp;DATE(YEAR($A375),MONTH($A375),1),$A$5:$A$800,"&lt;="&amp;$A375)+IF(AND(YEAR($A375)=YEAR(Settings!$B$3),MONTH($A375)=MONTH(Settings!$B$3)),Settings!$B$6,0))</f>
        <v/>
      </c>
      <c r="U375" s="71">
        <f>IF($A375="","",SUMIFS($J$5:$J$800,$A$5:$A$800,"&gt;="&amp;DATE(YEAR($A375),MONTH($A375),1),$A$5:$A$800,"&lt;="&amp;$A375)+IF(AND(YEAR($A375)=YEAR(Settings!$B$3),MONTH($A375)=MONTH(Settings!$B$3)),Settings!$B$7,0))</f>
        <v/>
      </c>
      <c r="V375" s="70">
        <f>IF($A375="","",Settings!$B$8+SUM($B$5:B375))</f>
        <v/>
      </c>
      <c r="W375" s="71">
        <f>IF($A375="","",Settings!$B$9+SUM($J$5:J375))</f>
        <v/>
      </c>
      <c r="X375" s="71">
        <f>IF($A375="","",IF(AND(N375&gt;0,F375&gt;0),ROUND(F375/N375,0),X374))</f>
        <v/>
      </c>
      <c r="Y375" s="74">
        <f>IF($A375="","",IF(AND(M375&gt;0,L375&gt;0),ROUND(L375/M375,0),IF(AND(J375&gt;0,B375&gt;0),ROUND(B375/J375,0),Y374)))</f>
        <v/>
      </c>
    </row>
    <row r="376">
      <c r="A376" s="67" t="n"/>
      <c r="B376" s="68" t="n"/>
      <c r="C376" s="69" t="n"/>
      <c r="D376" s="68" t="n"/>
      <c r="E376" s="69" t="n"/>
      <c r="F376" s="68" t="n"/>
      <c r="G376" s="69" t="n"/>
      <c r="H376" s="68" t="n"/>
      <c r="I376" s="70">
        <f>IF($A376="","",R375)</f>
        <v/>
      </c>
      <c r="J376" s="71">
        <f>IF($A376="","",IF(C376="",0,C376))</f>
        <v/>
      </c>
      <c r="K376" s="71">
        <f>IF($A376="","",IF(E376="",0,E376))</f>
        <v/>
      </c>
      <c r="L376" s="70">
        <f>IF($A376="","",B376-D376)</f>
        <v/>
      </c>
      <c r="M376" s="71">
        <f>IF($A376="","",J376-K376)</f>
        <v/>
      </c>
      <c r="N376" s="71">
        <f>IF($A376="","",IF(G376="",0,G376))</f>
        <v/>
      </c>
      <c r="O376" s="70">
        <f>IF($A376="","",D376+F376)</f>
        <v/>
      </c>
      <c r="P376" s="71">
        <f>IF($A376="","",K376+N376)</f>
        <v/>
      </c>
      <c r="Q376" s="70">
        <f>IF($A376="","",I376+L376-F376)</f>
        <v/>
      </c>
      <c r="R376" s="72">
        <f>IF($A376="","",IF(H376="",Q376,H376))</f>
        <v/>
      </c>
      <c r="S376" s="73">
        <f>IF($A376="","",R376-Q376)</f>
        <v/>
      </c>
      <c r="T376" s="70">
        <f>IF($A376="","",SUMIFS($B$5:$B$800,$A$5:$A$800,"&gt;="&amp;DATE(YEAR($A376),MONTH($A376),1),$A$5:$A$800,"&lt;="&amp;$A376)+IF(AND(YEAR($A376)=YEAR(Settings!$B$3),MONTH($A376)=MONTH(Settings!$B$3)),Settings!$B$6,0))</f>
        <v/>
      </c>
      <c r="U376" s="71">
        <f>IF($A376="","",SUMIFS($J$5:$J$800,$A$5:$A$800,"&gt;="&amp;DATE(YEAR($A376),MONTH($A376),1),$A$5:$A$800,"&lt;="&amp;$A376)+IF(AND(YEAR($A376)=YEAR(Settings!$B$3),MONTH($A376)=MONTH(Settings!$B$3)),Settings!$B$7,0))</f>
        <v/>
      </c>
      <c r="V376" s="70">
        <f>IF($A376="","",Settings!$B$8+SUM($B$5:B376))</f>
        <v/>
      </c>
      <c r="W376" s="71">
        <f>IF($A376="","",Settings!$B$9+SUM($J$5:J376))</f>
        <v/>
      </c>
      <c r="X376" s="71">
        <f>IF($A376="","",IF(AND(N376&gt;0,F376&gt;0),ROUND(F376/N376,0),X375))</f>
        <v/>
      </c>
      <c r="Y376" s="74">
        <f>IF($A376="","",IF(AND(M376&gt;0,L376&gt;0),ROUND(L376/M376,0),IF(AND(J376&gt;0,B376&gt;0),ROUND(B376/J376,0),Y375)))</f>
        <v/>
      </c>
    </row>
    <row r="377">
      <c r="A377" s="67" t="n"/>
      <c r="B377" s="68" t="n"/>
      <c r="C377" s="69" t="n"/>
      <c r="D377" s="68" t="n"/>
      <c r="E377" s="69" t="n"/>
      <c r="F377" s="68" t="n"/>
      <c r="G377" s="69" t="n"/>
      <c r="H377" s="68" t="n"/>
      <c r="I377" s="70">
        <f>IF($A377="","",R376)</f>
        <v/>
      </c>
      <c r="J377" s="71">
        <f>IF($A377="","",IF(C377="",0,C377))</f>
        <v/>
      </c>
      <c r="K377" s="71">
        <f>IF($A377="","",IF(E377="",0,E377))</f>
        <v/>
      </c>
      <c r="L377" s="70">
        <f>IF($A377="","",B377-D377)</f>
        <v/>
      </c>
      <c r="M377" s="71">
        <f>IF($A377="","",J377-K377)</f>
        <v/>
      </c>
      <c r="N377" s="71">
        <f>IF($A377="","",IF(G377="",0,G377))</f>
        <v/>
      </c>
      <c r="O377" s="70">
        <f>IF($A377="","",D377+F377)</f>
        <v/>
      </c>
      <c r="P377" s="71">
        <f>IF($A377="","",K377+N377)</f>
        <v/>
      </c>
      <c r="Q377" s="70">
        <f>IF($A377="","",I377+L377-F377)</f>
        <v/>
      </c>
      <c r="R377" s="72">
        <f>IF($A377="","",IF(H377="",Q377,H377))</f>
        <v/>
      </c>
      <c r="S377" s="73">
        <f>IF($A377="","",R377-Q377)</f>
        <v/>
      </c>
      <c r="T377" s="70">
        <f>IF($A377="","",SUMIFS($B$5:$B$800,$A$5:$A$800,"&gt;="&amp;DATE(YEAR($A377),MONTH($A377),1),$A$5:$A$800,"&lt;="&amp;$A377)+IF(AND(YEAR($A377)=YEAR(Settings!$B$3),MONTH($A377)=MONTH(Settings!$B$3)),Settings!$B$6,0))</f>
        <v/>
      </c>
      <c r="U377" s="71">
        <f>IF($A377="","",SUMIFS($J$5:$J$800,$A$5:$A$800,"&gt;="&amp;DATE(YEAR($A377),MONTH($A377),1),$A$5:$A$800,"&lt;="&amp;$A377)+IF(AND(YEAR($A377)=YEAR(Settings!$B$3),MONTH($A377)=MONTH(Settings!$B$3)),Settings!$B$7,0))</f>
        <v/>
      </c>
      <c r="V377" s="70">
        <f>IF($A377="","",Settings!$B$8+SUM($B$5:B377))</f>
        <v/>
      </c>
      <c r="W377" s="71">
        <f>IF($A377="","",Settings!$B$9+SUM($J$5:J377))</f>
        <v/>
      </c>
      <c r="X377" s="71">
        <f>IF($A377="","",IF(AND(N377&gt;0,F377&gt;0),ROUND(F377/N377,0),X376))</f>
        <v/>
      </c>
      <c r="Y377" s="74">
        <f>IF($A377="","",IF(AND(M377&gt;0,L377&gt;0),ROUND(L377/M377,0),IF(AND(J377&gt;0,B377&gt;0),ROUND(B377/J377,0),Y376)))</f>
        <v/>
      </c>
    </row>
    <row r="378">
      <c r="A378" s="67" t="n"/>
      <c r="B378" s="68" t="n"/>
      <c r="C378" s="69" t="n"/>
      <c r="D378" s="68" t="n"/>
      <c r="E378" s="69" t="n"/>
      <c r="F378" s="68" t="n"/>
      <c r="G378" s="69" t="n"/>
      <c r="H378" s="68" t="n"/>
      <c r="I378" s="70">
        <f>IF($A378="","",R377)</f>
        <v/>
      </c>
      <c r="J378" s="71">
        <f>IF($A378="","",IF(C378="",0,C378))</f>
        <v/>
      </c>
      <c r="K378" s="71">
        <f>IF($A378="","",IF(E378="",0,E378))</f>
        <v/>
      </c>
      <c r="L378" s="70">
        <f>IF($A378="","",B378-D378)</f>
        <v/>
      </c>
      <c r="M378" s="71">
        <f>IF($A378="","",J378-K378)</f>
        <v/>
      </c>
      <c r="N378" s="71">
        <f>IF($A378="","",IF(G378="",0,G378))</f>
        <v/>
      </c>
      <c r="O378" s="70">
        <f>IF($A378="","",D378+F378)</f>
        <v/>
      </c>
      <c r="P378" s="71">
        <f>IF($A378="","",K378+N378)</f>
        <v/>
      </c>
      <c r="Q378" s="70">
        <f>IF($A378="","",I378+L378-F378)</f>
        <v/>
      </c>
      <c r="R378" s="72">
        <f>IF($A378="","",IF(H378="",Q378,H378))</f>
        <v/>
      </c>
      <c r="S378" s="73">
        <f>IF($A378="","",R378-Q378)</f>
        <v/>
      </c>
      <c r="T378" s="70">
        <f>IF($A378="","",SUMIFS($B$5:$B$800,$A$5:$A$800,"&gt;="&amp;DATE(YEAR($A378),MONTH($A378),1),$A$5:$A$800,"&lt;="&amp;$A378)+IF(AND(YEAR($A378)=YEAR(Settings!$B$3),MONTH($A378)=MONTH(Settings!$B$3)),Settings!$B$6,0))</f>
        <v/>
      </c>
      <c r="U378" s="71">
        <f>IF($A378="","",SUMIFS($J$5:$J$800,$A$5:$A$800,"&gt;="&amp;DATE(YEAR($A378),MONTH($A378),1),$A$5:$A$800,"&lt;="&amp;$A378)+IF(AND(YEAR($A378)=YEAR(Settings!$B$3),MONTH($A378)=MONTH(Settings!$B$3)),Settings!$B$7,0))</f>
        <v/>
      </c>
      <c r="V378" s="70">
        <f>IF($A378="","",Settings!$B$8+SUM($B$5:B378))</f>
        <v/>
      </c>
      <c r="W378" s="71">
        <f>IF($A378="","",Settings!$B$9+SUM($J$5:J378))</f>
        <v/>
      </c>
      <c r="X378" s="71">
        <f>IF($A378="","",IF(AND(N378&gt;0,F378&gt;0),ROUND(F378/N378,0),X377))</f>
        <v/>
      </c>
      <c r="Y378" s="74">
        <f>IF($A378="","",IF(AND(M378&gt;0,L378&gt;0),ROUND(L378/M378,0),IF(AND(J378&gt;0,B378&gt;0),ROUND(B378/J378,0),Y377)))</f>
        <v/>
      </c>
    </row>
    <row r="379">
      <c r="A379" s="67" t="n"/>
      <c r="B379" s="68" t="n"/>
      <c r="C379" s="69" t="n"/>
      <c r="D379" s="68" t="n"/>
      <c r="E379" s="69" t="n"/>
      <c r="F379" s="68" t="n"/>
      <c r="G379" s="69" t="n"/>
      <c r="H379" s="68" t="n"/>
      <c r="I379" s="70">
        <f>IF($A379="","",R378)</f>
        <v/>
      </c>
      <c r="J379" s="71">
        <f>IF($A379="","",IF(C379="",0,C379))</f>
        <v/>
      </c>
      <c r="K379" s="71">
        <f>IF($A379="","",IF(E379="",0,E379))</f>
        <v/>
      </c>
      <c r="L379" s="70">
        <f>IF($A379="","",B379-D379)</f>
        <v/>
      </c>
      <c r="M379" s="71">
        <f>IF($A379="","",J379-K379)</f>
        <v/>
      </c>
      <c r="N379" s="71">
        <f>IF($A379="","",IF(G379="",0,G379))</f>
        <v/>
      </c>
      <c r="O379" s="70">
        <f>IF($A379="","",D379+F379)</f>
        <v/>
      </c>
      <c r="P379" s="71">
        <f>IF($A379="","",K379+N379)</f>
        <v/>
      </c>
      <c r="Q379" s="70">
        <f>IF($A379="","",I379+L379-F379)</f>
        <v/>
      </c>
      <c r="R379" s="72">
        <f>IF($A379="","",IF(H379="",Q379,H379))</f>
        <v/>
      </c>
      <c r="S379" s="73">
        <f>IF($A379="","",R379-Q379)</f>
        <v/>
      </c>
      <c r="T379" s="70">
        <f>IF($A379="","",SUMIFS($B$5:$B$800,$A$5:$A$800,"&gt;="&amp;DATE(YEAR($A379),MONTH($A379),1),$A$5:$A$800,"&lt;="&amp;$A379)+IF(AND(YEAR($A379)=YEAR(Settings!$B$3),MONTH($A379)=MONTH(Settings!$B$3)),Settings!$B$6,0))</f>
        <v/>
      </c>
      <c r="U379" s="71">
        <f>IF($A379="","",SUMIFS($J$5:$J$800,$A$5:$A$800,"&gt;="&amp;DATE(YEAR($A379),MONTH($A379),1),$A$5:$A$800,"&lt;="&amp;$A379)+IF(AND(YEAR($A379)=YEAR(Settings!$B$3),MONTH($A379)=MONTH(Settings!$B$3)),Settings!$B$7,0))</f>
        <v/>
      </c>
      <c r="V379" s="70">
        <f>IF($A379="","",Settings!$B$8+SUM($B$5:B379))</f>
        <v/>
      </c>
      <c r="W379" s="71">
        <f>IF($A379="","",Settings!$B$9+SUM($J$5:J379))</f>
        <v/>
      </c>
      <c r="X379" s="71">
        <f>IF($A379="","",IF(AND(N379&gt;0,F379&gt;0),ROUND(F379/N379,0),X378))</f>
        <v/>
      </c>
      <c r="Y379" s="74">
        <f>IF($A379="","",IF(AND(M379&gt;0,L379&gt;0),ROUND(L379/M379,0),IF(AND(J379&gt;0,B379&gt;0),ROUND(B379/J379,0),Y378)))</f>
        <v/>
      </c>
    </row>
    <row r="380">
      <c r="A380" s="67" t="n"/>
      <c r="B380" s="68" t="n"/>
      <c r="C380" s="69" t="n"/>
      <c r="D380" s="68" t="n"/>
      <c r="E380" s="69" t="n"/>
      <c r="F380" s="68" t="n"/>
      <c r="G380" s="69" t="n"/>
      <c r="H380" s="68" t="n"/>
      <c r="I380" s="70">
        <f>IF($A380="","",R379)</f>
        <v/>
      </c>
      <c r="J380" s="71">
        <f>IF($A380="","",IF(C380="",0,C380))</f>
        <v/>
      </c>
      <c r="K380" s="71">
        <f>IF($A380="","",IF(E380="",0,E380))</f>
        <v/>
      </c>
      <c r="L380" s="70">
        <f>IF($A380="","",B380-D380)</f>
        <v/>
      </c>
      <c r="M380" s="71">
        <f>IF($A380="","",J380-K380)</f>
        <v/>
      </c>
      <c r="N380" s="71">
        <f>IF($A380="","",IF(G380="",0,G380))</f>
        <v/>
      </c>
      <c r="O380" s="70">
        <f>IF($A380="","",D380+F380)</f>
        <v/>
      </c>
      <c r="P380" s="71">
        <f>IF($A380="","",K380+N380)</f>
        <v/>
      </c>
      <c r="Q380" s="70">
        <f>IF($A380="","",I380+L380-F380)</f>
        <v/>
      </c>
      <c r="R380" s="72">
        <f>IF($A380="","",IF(H380="",Q380,H380))</f>
        <v/>
      </c>
      <c r="S380" s="73">
        <f>IF($A380="","",R380-Q380)</f>
        <v/>
      </c>
      <c r="T380" s="70">
        <f>IF($A380="","",SUMIFS($B$5:$B$800,$A$5:$A$800,"&gt;="&amp;DATE(YEAR($A380),MONTH($A380),1),$A$5:$A$800,"&lt;="&amp;$A380)+IF(AND(YEAR($A380)=YEAR(Settings!$B$3),MONTH($A380)=MONTH(Settings!$B$3)),Settings!$B$6,0))</f>
        <v/>
      </c>
      <c r="U380" s="71">
        <f>IF($A380="","",SUMIFS($J$5:$J$800,$A$5:$A$800,"&gt;="&amp;DATE(YEAR($A380),MONTH($A380),1),$A$5:$A$800,"&lt;="&amp;$A380)+IF(AND(YEAR($A380)=YEAR(Settings!$B$3),MONTH($A380)=MONTH(Settings!$B$3)),Settings!$B$7,0))</f>
        <v/>
      </c>
      <c r="V380" s="70">
        <f>IF($A380="","",Settings!$B$8+SUM($B$5:B380))</f>
        <v/>
      </c>
      <c r="W380" s="71">
        <f>IF($A380="","",Settings!$B$9+SUM($J$5:J380))</f>
        <v/>
      </c>
      <c r="X380" s="71">
        <f>IF($A380="","",IF(AND(N380&gt;0,F380&gt;0),ROUND(F380/N380,0),X379))</f>
        <v/>
      </c>
      <c r="Y380" s="74">
        <f>IF($A380="","",IF(AND(M380&gt;0,L380&gt;0),ROUND(L380/M380,0),IF(AND(J380&gt;0,B380&gt;0),ROUND(B380/J380,0),Y379)))</f>
        <v/>
      </c>
    </row>
    <row r="381">
      <c r="A381" s="67" t="n"/>
      <c r="B381" s="68" t="n"/>
      <c r="C381" s="69" t="n"/>
      <c r="D381" s="68" t="n"/>
      <c r="E381" s="69" t="n"/>
      <c r="F381" s="68" t="n"/>
      <c r="G381" s="69" t="n"/>
      <c r="H381" s="68" t="n"/>
      <c r="I381" s="70">
        <f>IF($A381="","",R380)</f>
        <v/>
      </c>
      <c r="J381" s="71">
        <f>IF($A381="","",IF(C381="",0,C381))</f>
        <v/>
      </c>
      <c r="K381" s="71">
        <f>IF($A381="","",IF(E381="",0,E381))</f>
        <v/>
      </c>
      <c r="L381" s="70">
        <f>IF($A381="","",B381-D381)</f>
        <v/>
      </c>
      <c r="M381" s="71">
        <f>IF($A381="","",J381-K381)</f>
        <v/>
      </c>
      <c r="N381" s="71">
        <f>IF($A381="","",IF(G381="",0,G381))</f>
        <v/>
      </c>
      <c r="O381" s="70">
        <f>IF($A381="","",D381+F381)</f>
        <v/>
      </c>
      <c r="P381" s="71">
        <f>IF($A381="","",K381+N381)</f>
        <v/>
      </c>
      <c r="Q381" s="70">
        <f>IF($A381="","",I381+L381-F381)</f>
        <v/>
      </c>
      <c r="R381" s="72">
        <f>IF($A381="","",IF(H381="",Q381,H381))</f>
        <v/>
      </c>
      <c r="S381" s="73">
        <f>IF($A381="","",R381-Q381)</f>
        <v/>
      </c>
      <c r="T381" s="70">
        <f>IF($A381="","",SUMIFS($B$5:$B$800,$A$5:$A$800,"&gt;="&amp;DATE(YEAR($A381),MONTH($A381),1),$A$5:$A$800,"&lt;="&amp;$A381)+IF(AND(YEAR($A381)=YEAR(Settings!$B$3),MONTH($A381)=MONTH(Settings!$B$3)),Settings!$B$6,0))</f>
        <v/>
      </c>
      <c r="U381" s="71">
        <f>IF($A381="","",SUMIFS($J$5:$J$800,$A$5:$A$800,"&gt;="&amp;DATE(YEAR($A381),MONTH($A381),1),$A$5:$A$800,"&lt;="&amp;$A381)+IF(AND(YEAR($A381)=YEAR(Settings!$B$3),MONTH($A381)=MONTH(Settings!$B$3)),Settings!$B$7,0))</f>
        <v/>
      </c>
      <c r="V381" s="70">
        <f>IF($A381="","",Settings!$B$8+SUM($B$5:B381))</f>
        <v/>
      </c>
      <c r="W381" s="71">
        <f>IF($A381="","",Settings!$B$9+SUM($J$5:J381))</f>
        <v/>
      </c>
      <c r="X381" s="71">
        <f>IF($A381="","",IF(AND(N381&gt;0,F381&gt;0),ROUND(F381/N381,0),X380))</f>
        <v/>
      </c>
      <c r="Y381" s="74">
        <f>IF($A381="","",IF(AND(M381&gt;0,L381&gt;0),ROUND(L381/M381,0),IF(AND(J381&gt;0,B381&gt;0),ROUND(B381/J381,0),Y380)))</f>
        <v/>
      </c>
    </row>
    <row r="382">
      <c r="A382" s="67" t="n"/>
      <c r="B382" s="68" t="n"/>
      <c r="C382" s="69" t="n"/>
      <c r="D382" s="68" t="n"/>
      <c r="E382" s="69" t="n"/>
      <c r="F382" s="68" t="n"/>
      <c r="G382" s="69" t="n"/>
      <c r="H382" s="68" t="n"/>
      <c r="I382" s="70">
        <f>IF($A382="","",R381)</f>
        <v/>
      </c>
      <c r="J382" s="71">
        <f>IF($A382="","",IF(C382="",0,C382))</f>
        <v/>
      </c>
      <c r="K382" s="71">
        <f>IF($A382="","",IF(E382="",0,E382))</f>
        <v/>
      </c>
      <c r="L382" s="70">
        <f>IF($A382="","",B382-D382)</f>
        <v/>
      </c>
      <c r="M382" s="71">
        <f>IF($A382="","",J382-K382)</f>
        <v/>
      </c>
      <c r="N382" s="71">
        <f>IF($A382="","",IF(G382="",0,G382))</f>
        <v/>
      </c>
      <c r="O382" s="70">
        <f>IF($A382="","",D382+F382)</f>
        <v/>
      </c>
      <c r="P382" s="71">
        <f>IF($A382="","",K382+N382)</f>
        <v/>
      </c>
      <c r="Q382" s="70">
        <f>IF($A382="","",I382+L382-F382)</f>
        <v/>
      </c>
      <c r="R382" s="72">
        <f>IF($A382="","",IF(H382="",Q382,H382))</f>
        <v/>
      </c>
      <c r="S382" s="73">
        <f>IF($A382="","",R382-Q382)</f>
        <v/>
      </c>
      <c r="T382" s="70">
        <f>IF($A382="","",SUMIFS($B$5:$B$800,$A$5:$A$800,"&gt;="&amp;DATE(YEAR($A382),MONTH($A382),1),$A$5:$A$800,"&lt;="&amp;$A382)+IF(AND(YEAR($A382)=YEAR(Settings!$B$3),MONTH($A382)=MONTH(Settings!$B$3)),Settings!$B$6,0))</f>
        <v/>
      </c>
      <c r="U382" s="71">
        <f>IF($A382="","",SUMIFS($J$5:$J$800,$A$5:$A$800,"&gt;="&amp;DATE(YEAR($A382),MONTH($A382),1),$A$5:$A$800,"&lt;="&amp;$A382)+IF(AND(YEAR($A382)=YEAR(Settings!$B$3),MONTH($A382)=MONTH(Settings!$B$3)),Settings!$B$7,0))</f>
        <v/>
      </c>
      <c r="V382" s="70">
        <f>IF($A382="","",Settings!$B$8+SUM($B$5:B382))</f>
        <v/>
      </c>
      <c r="W382" s="71">
        <f>IF($A382="","",Settings!$B$9+SUM($J$5:J382))</f>
        <v/>
      </c>
      <c r="X382" s="71">
        <f>IF($A382="","",IF(AND(N382&gt;0,F382&gt;0),ROUND(F382/N382,0),X381))</f>
        <v/>
      </c>
      <c r="Y382" s="74">
        <f>IF($A382="","",IF(AND(M382&gt;0,L382&gt;0),ROUND(L382/M382,0),IF(AND(J382&gt;0,B382&gt;0),ROUND(B382/J382,0),Y381)))</f>
        <v/>
      </c>
    </row>
    <row r="383">
      <c r="A383" s="67" t="n"/>
      <c r="B383" s="68" t="n"/>
      <c r="C383" s="69" t="n"/>
      <c r="D383" s="68" t="n"/>
      <c r="E383" s="69" t="n"/>
      <c r="F383" s="68" t="n"/>
      <c r="G383" s="69" t="n"/>
      <c r="H383" s="68" t="n"/>
      <c r="I383" s="70">
        <f>IF($A383="","",R382)</f>
        <v/>
      </c>
      <c r="J383" s="71">
        <f>IF($A383="","",IF(C383="",0,C383))</f>
        <v/>
      </c>
      <c r="K383" s="71">
        <f>IF($A383="","",IF(E383="",0,E383))</f>
        <v/>
      </c>
      <c r="L383" s="70">
        <f>IF($A383="","",B383-D383)</f>
        <v/>
      </c>
      <c r="M383" s="71">
        <f>IF($A383="","",J383-K383)</f>
        <v/>
      </c>
      <c r="N383" s="71">
        <f>IF($A383="","",IF(G383="",0,G383))</f>
        <v/>
      </c>
      <c r="O383" s="70">
        <f>IF($A383="","",D383+F383)</f>
        <v/>
      </c>
      <c r="P383" s="71">
        <f>IF($A383="","",K383+N383)</f>
        <v/>
      </c>
      <c r="Q383" s="70">
        <f>IF($A383="","",I383+L383-F383)</f>
        <v/>
      </c>
      <c r="R383" s="72">
        <f>IF($A383="","",IF(H383="",Q383,H383))</f>
        <v/>
      </c>
      <c r="S383" s="73">
        <f>IF($A383="","",R383-Q383)</f>
        <v/>
      </c>
      <c r="T383" s="70">
        <f>IF($A383="","",SUMIFS($B$5:$B$800,$A$5:$A$800,"&gt;="&amp;DATE(YEAR($A383),MONTH($A383),1),$A$5:$A$800,"&lt;="&amp;$A383)+IF(AND(YEAR($A383)=YEAR(Settings!$B$3),MONTH($A383)=MONTH(Settings!$B$3)),Settings!$B$6,0))</f>
        <v/>
      </c>
      <c r="U383" s="71">
        <f>IF($A383="","",SUMIFS($J$5:$J$800,$A$5:$A$800,"&gt;="&amp;DATE(YEAR($A383),MONTH($A383),1),$A$5:$A$800,"&lt;="&amp;$A383)+IF(AND(YEAR($A383)=YEAR(Settings!$B$3),MONTH($A383)=MONTH(Settings!$B$3)),Settings!$B$7,0))</f>
        <v/>
      </c>
      <c r="V383" s="70">
        <f>IF($A383="","",Settings!$B$8+SUM($B$5:B383))</f>
        <v/>
      </c>
      <c r="W383" s="71">
        <f>IF($A383="","",Settings!$B$9+SUM($J$5:J383))</f>
        <v/>
      </c>
      <c r="X383" s="71">
        <f>IF($A383="","",IF(AND(N383&gt;0,F383&gt;0),ROUND(F383/N383,0),X382))</f>
        <v/>
      </c>
      <c r="Y383" s="74">
        <f>IF($A383="","",IF(AND(M383&gt;0,L383&gt;0),ROUND(L383/M383,0),IF(AND(J383&gt;0,B383&gt;0),ROUND(B383/J383,0),Y382)))</f>
        <v/>
      </c>
    </row>
    <row r="384">
      <c r="A384" s="67" t="n"/>
      <c r="B384" s="68" t="n"/>
      <c r="C384" s="69" t="n"/>
      <c r="D384" s="68" t="n"/>
      <c r="E384" s="69" t="n"/>
      <c r="F384" s="68" t="n"/>
      <c r="G384" s="69" t="n"/>
      <c r="H384" s="68" t="n"/>
      <c r="I384" s="70">
        <f>IF($A384="","",R383)</f>
        <v/>
      </c>
      <c r="J384" s="71">
        <f>IF($A384="","",IF(C384="",0,C384))</f>
        <v/>
      </c>
      <c r="K384" s="71">
        <f>IF($A384="","",IF(E384="",0,E384))</f>
        <v/>
      </c>
      <c r="L384" s="70">
        <f>IF($A384="","",B384-D384)</f>
        <v/>
      </c>
      <c r="M384" s="71">
        <f>IF($A384="","",J384-K384)</f>
        <v/>
      </c>
      <c r="N384" s="71">
        <f>IF($A384="","",IF(G384="",0,G384))</f>
        <v/>
      </c>
      <c r="O384" s="70">
        <f>IF($A384="","",D384+F384)</f>
        <v/>
      </c>
      <c r="P384" s="71">
        <f>IF($A384="","",K384+N384)</f>
        <v/>
      </c>
      <c r="Q384" s="70">
        <f>IF($A384="","",I384+L384-F384)</f>
        <v/>
      </c>
      <c r="R384" s="72">
        <f>IF($A384="","",IF(H384="",Q384,H384))</f>
        <v/>
      </c>
      <c r="S384" s="73">
        <f>IF($A384="","",R384-Q384)</f>
        <v/>
      </c>
      <c r="T384" s="70">
        <f>IF($A384="","",SUMIFS($B$5:$B$800,$A$5:$A$800,"&gt;="&amp;DATE(YEAR($A384),MONTH($A384),1),$A$5:$A$800,"&lt;="&amp;$A384)+IF(AND(YEAR($A384)=YEAR(Settings!$B$3),MONTH($A384)=MONTH(Settings!$B$3)),Settings!$B$6,0))</f>
        <v/>
      </c>
      <c r="U384" s="71">
        <f>IF($A384="","",SUMIFS($J$5:$J$800,$A$5:$A$800,"&gt;="&amp;DATE(YEAR($A384),MONTH($A384),1),$A$5:$A$800,"&lt;="&amp;$A384)+IF(AND(YEAR($A384)=YEAR(Settings!$B$3),MONTH($A384)=MONTH(Settings!$B$3)),Settings!$B$7,0))</f>
        <v/>
      </c>
      <c r="V384" s="70">
        <f>IF($A384="","",Settings!$B$8+SUM($B$5:B384))</f>
        <v/>
      </c>
      <c r="W384" s="71">
        <f>IF($A384="","",Settings!$B$9+SUM($J$5:J384))</f>
        <v/>
      </c>
      <c r="X384" s="71">
        <f>IF($A384="","",IF(AND(N384&gt;0,F384&gt;0),ROUND(F384/N384,0),X383))</f>
        <v/>
      </c>
      <c r="Y384" s="74">
        <f>IF($A384="","",IF(AND(M384&gt;0,L384&gt;0),ROUND(L384/M384,0),IF(AND(J384&gt;0,B384&gt;0),ROUND(B384/J384,0),Y383)))</f>
        <v/>
      </c>
    </row>
    <row r="385">
      <c r="A385" s="67" t="n"/>
      <c r="B385" s="68" t="n"/>
      <c r="C385" s="69" t="n"/>
      <c r="D385" s="68" t="n"/>
      <c r="E385" s="69" t="n"/>
      <c r="F385" s="68" t="n"/>
      <c r="G385" s="69" t="n"/>
      <c r="H385" s="68" t="n"/>
      <c r="I385" s="70">
        <f>IF($A385="","",R384)</f>
        <v/>
      </c>
      <c r="J385" s="71">
        <f>IF($A385="","",IF(C385="",0,C385))</f>
        <v/>
      </c>
      <c r="K385" s="71">
        <f>IF($A385="","",IF(E385="",0,E385))</f>
        <v/>
      </c>
      <c r="L385" s="70">
        <f>IF($A385="","",B385-D385)</f>
        <v/>
      </c>
      <c r="M385" s="71">
        <f>IF($A385="","",J385-K385)</f>
        <v/>
      </c>
      <c r="N385" s="71">
        <f>IF($A385="","",IF(G385="",0,G385))</f>
        <v/>
      </c>
      <c r="O385" s="70">
        <f>IF($A385="","",D385+F385)</f>
        <v/>
      </c>
      <c r="P385" s="71">
        <f>IF($A385="","",K385+N385)</f>
        <v/>
      </c>
      <c r="Q385" s="70">
        <f>IF($A385="","",I385+L385-F385)</f>
        <v/>
      </c>
      <c r="R385" s="72">
        <f>IF($A385="","",IF(H385="",Q385,H385))</f>
        <v/>
      </c>
      <c r="S385" s="73">
        <f>IF($A385="","",R385-Q385)</f>
        <v/>
      </c>
      <c r="T385" s="70">
        <f>IF($A385="","",SUMIFS($B$5:$B$800,$A$5:$A$800,"&gt;="&amp;DATE(YEAR($A385),MONTH($A385),1),$A$5:$A$800,"&lt;="&amp;$A385)+IF(AND(YEAR($A385)=YEAR(Settings!$B$3),MONTH($A385)=MONTH(Settings!$B$3)),Settings!$B$6,0))</f>
        <v/>
      </c>
      <c r="U385" s="71">
        <f>IF($A385="","",SUMIFS($J$5:$J$800,$A$5:$A$800,"&gt;="&amp;DATE(YEAR($A385),MONTH($A385),1),$A$5:$A$800,"&lt;="&amp;$A385)+IF(AND(YEAR($A385)=YEAR(Settings!$B$3),MONTH($A385)=MONTH(Settings!$B$3)),Settings!$B$7,0))</f>
        <v/>
      </c>
      <c r="V385" s="70">
        <f>IF($A385="","",Settings!$B$8+SUM($B$5:B385))</f>
        <v/>
      </c>
      <c r="W385" s="71">
        <f>IF($A385="","",Settings!$B$9+SUM($J$5:J385))</f>
        <v/>
      </c>
      <c r="X385" s="71">
        <f>IF($A385="","",IF(AND(N385&gt;0,F385&gt;0),ROUND(F385/N385,0),X384))</f>
        <v/>
      </c>
      <c r="Y385" s="74">
        <f>IF($A385="","",IF(AND(M385&gt;0,L385&gt;0),ROUND(L385/M385,0),IF(AND(J385&gt;0,B385&gt;0),ROUND(B385/J385,0),Y384)))</f>
        <v/>
      </c>
    </row>
    <row r="386">
      <c r="A386" s="67" t="n"/>
      <c r="B386" s="68" t="n"/>
      <c r="C386" s="69" t="n"/>
      <c r="D386" s="68" t="n"/>
      <c r="E386" s="69" t="n"/>
      <c r="F386" s="68" t="n"/>
      <c r="G386" s="69" t="n"/>
      <c r="H386" s="68" t="n"/>
      <c r="I386" s="70">
        <f>IF($A386="","",R385)</f>
        <v/>
      </c>
      <c r="J386" s="71">
        <f>IF($A386="","",IF(C386="",0,C386))</f>
        <v/>
      </c>
      <c r="K386" s="71">
        <f>IF($A386="","",IF(E386="",0,E386))</f>
        <v/>
      </c>
      <c r="L386" s="70">
        <f>IF($A386="","",B386-D386)</f>
        <v/>
      </c>
      <c r="M386" s="71">
        <f>IF($A386="","",J386-K386)</f>
        <v/>
      </c>
      <c r="N386" s="71">
        <f>IF($A386="","",IF(G386="",0,G386))</f>
        <v/>
      </c>
      <c r="O386" s="70">
        <f>IF($A386="","",D386+F386)</f>
        <v/>
      </c>
      <c r="P386" s="71">
        <f>IF($A386="","",K386+N386)</f>
        <v/>
      </c>
      <c r="Q386" s="70">
        <f>IF($A386="","",I386+L386-F386)</f>
        <v/>
      </c>
      <c r="R386" s="72">
        <f>IF($A386="","",IF(H386="",Q386,H386))</f>
        <v/>
      </c>
      <c r="S386" s="73">
        <f>IF($A386="","",R386-Q386)</f>
        <v/>
      </c>
      <c r="T386" s="70">
        <f>IF($A386="","",SUMIFS($B$5:$B$800,$A$5:$A$800,"&gt;="&amp;DATE(YEAR($A386),MONTH($A386),1),$A$5:$A$800,"&lt;="&amp;$A386)+IF(AND(YEAR($A386)=YEAR(Settings!$B$3),MONTH($A386)=MONTH(Settings!$B$3)),Settings!$B$6,0))</f>
        <v/>
      </c>
      <c r="U386" s="71">
        <f>IF($A386="","",SUMIFS($J$5:$J$800,$A$5:$A$800,"&gt;="&amp;DATE(YEAR($A386),MONTH($A386),1),$A$5:$A$800,"&lt;="&amp;$A386)+IF(AND(YEAR($A386)=YEAR(Settings!$B$3),MONTH($A386)=MONTH(Settings!$B$3)),Settings!$B$7,0))</f>
        <v/>
      </c>
      <c r="V386" s="70">
        <f>IF($A386="","",Settings!$B$8+SUM($B$5:B386))</f>
        <v/>
      </c>
      <c r="W386" s="71">
        <f>IF($A386="","",Settings!$B$9+SUM($J$5:J386))</f>
        <v/>
      </c>
      <c r="X386" s="71">
        <f>IF($A386="","",IF(AND(N386&gt;0,F386&gt;0),ROUND(F386/N386,0),X385))</f>
        <v/>
      </c>
      <c r="Y386" s="74">
        <f>IF($A386="","",IF(AND(M386&gt;0,L386&gt;0),ROUND(L386/M386,0),IF(AND(J386&gt;0,B386&gt;0),ROUND(B386/J386,0),Y385)))</f>
        <v/>
      </c>
    </row>
    <row r="387">
      <c r="A387" s="67" t="n"/>
      <c r="B387" s="68" t="n"/>
      <c r="C387" s="69" t="n"/>
      <c r="D387" s="68" t="n"/>
      <c r="E387" s="69" t="n"/>
      <c r="F387" s="68" t="n"/>
      <c r="G387" s="69" t="n"/>
      <c r="H387" s="68" t="n"/>
      <c r="I387" s="70">
        <f>IF($A387="","",R386)</f>
        <v/>
      </c>
      <c r="J387" s="71">
        <f>IF($A387="","",IF(C387="",0,C387))</f>
        <v/>
      </c>
      <c r="K387" s="71">
        <f>IF($A387="","",IF(E387="",0,E387))</f>
        <v/>
      </c>
      <c r="L387" s="70">
        <f>IF($A387="","",B387-D387)</f>
        <v/>
      </c>
      <c r="M387" s="71">
        <f>IF($A387="","",J387-K387)</f>
        <v/>
      </c>
      <c r="N387" s="71">
        <f>IF($A387="","",IF(G387="",0,G387))</f>
        <v/>
      </c>
      <c r="O387" s="70">
        <f>IF($A387="","",D387+F387)</f>
        <v/>
      </c>
      <c r="P387" s="71">
        <f>IF($A387="","",K387+N387)</f>
        <v/>
      </c>
      <c r="Q387" s="70">
        <f>IF($A387="","",I387+L387-F387)</f>
        <v/>
      </c>
      <c r="R387" s="72">
        <f>IF($A387="","",IF(H387="",Q387,H387))</f>
        <v/>
      </c>
      <c r="S387" s="73">
        <f>IF($A387="","",R387-Q387)</f>
        <v/>
      </c>
      <c r="T387" s="70">
        <f>IF($A387="","",SUMIFS($B$5:$B$800,$A$5:$A$800,"&gt;="&amp;DATE(YEAR($A387),MONTH($A387),1),$A$5:$A$800,"&lt;="&amp;$A387)+IF(AND(YEAR($A387)=YEAR(Settings!$B$3),MONTH($A387)=MONTH(Settings!$B$3)),Settings!$B$6,0))</f>
        <v/>
      </c>
      <c r="U387" s="71">
        <f>IF($A387="","",SUMIFS($J$5:$J$800,$A$5:$A$800,"&gt;="&amp;DATE(YEAR($A387),MONTH($A387),1),$A$5:$A$800,"&lt;="&amp;$A387)+IF(AND(YEAR($A387)=YEAR(Settings!$B$3),MONTH($A387)=MONTH(Settings!$B$3)),Settings!$B$7,0))</f>
        <v/>
      </c>
      <c r="V387" s="70">
        <f>IF($A387="","",Settings!$B$8+SUM($B$5:B387))</f>
        <v/>
      </c>
      <c r="W387" s="71">
        <f>IF($A387="","",Settings!$B$9+SUM($J$5:J387))</f>
        <v/>
      </c>
      <c r="X387" s="71">
        <f>IF($A387="","",IF(AND(N387&gt;0,F387&gt;0),ROUND(F387/N387,0),X386))</f>
        <v/>
      </c>
      <c r="Y387" s="74">
        <f>IF($A387="","",IF(AND(M387&gt;0,L387&gt;0),ROUND(L387/M387,0),IF(AND(J387&gt;0,B387&gt;0),ROUND(B387/J387,0),Y386)))</f>
        <v/>
      </c>
    </row>
    <row r="388">
      <c r="A388" s="67" t="n"/>
      <c r="B388" s="68" t="n"/>
      <c r="C388" s="69" t="n"/>
      <c r="D388" s="68" t="n"/>
      <c r="E388" s="69" t="n"/>
      <c r="F388" s="68" t="n"/>
      <c r="G388" s="69" t="n"/>
      <c r="H388" s="68" t="n"/>
      <c r="I388" s="70">
        <f>IF($A388="","",R387)</f>
        <v/>
      </c>
      <c r="J388" s="71">
        <f>IF($A388="","",IF(C388="",0,C388))</f>
        <v/>
      </c>
      <c r="K388" s="71">
        <f>IF($A388="","",IF(E388="",0,E388))</f>
        <v/>
      </c>
      <c r="L388" s="70">
        <f>IF($A388="","",B388-D388)</f>
        <v/>
      </c>
      <c r="M388" s="71">
        <f>IF($A388="","",J388-K388)</f>
        <v/>
      </c>
      <c r="N388" s="71">
        <f>IF($A388="","",IF(G388="",0,G388))</f>
        <v/>
      </c>
      <c r="O388" s="70">
        <f>IF($A388="","",D388+F388)</f>
        <v/>
      </c>
      <c r="P388" s="71">
        <f>IF($A388="","",K388+N388)</f>
        <v/>
      </c>
      <c r="Q388" s="70">
        <f>IF($A388="","",I388+L388-F388)</f>
        <v/>
      </c>
      <c r="R388" s="72">
        <f>IF($A388="","",IF(H388="",Q388,H388))</f>
        <v/>
      </c>
      <c r="S388" s="73">
        <f>IF($A388="","",R388-Q388)</f>
        <v/>
      </c>
      <c r="T388" s="70">
        <f>IF($A388="","",SUMIFS($B$5:$B$800,$A$5:$A$800,"&gt;="&amp;DATE(YEAR($A388),MONTH($A388),1),$A$5:$A$800,"&lt;="&amp;$A388)+IF(AND(YEAR($A388)=YEAR(Settings!$B$3),MONTH($A388)=MONTH(Settings!$B$3)),Settings!$B$6,0))</f>
        <v/>
      </c>
      <c r="U388" s="71">
        <f>IF($A388="","",SUMIFS($J$5:$J$800,$A$5:$A$800,"&gt;="&amp;DATE(YEAR($A388),MONTH($A388),1),$A$5:$A$800,"&lt;="&amp;$A388)+IF(AND(YEAR($A388)=YEAR(Settings!$B$3),MONTH($A388)=MONTH(Settings!$B$3)),Settings!$B$7,0))</f>
        <v/>
      </c>
      <c r="V388" s="70">
        <f>IF($A388="","",Settings!$B$8+SUM($B$5:B388))</f>
        <v/>
      </c>
      <c r="W388" s="71">
        <f>IF($A388="","",Settings!$B$9+SUM($J$5:J388))</f>
        <v/>
      </c>
      <c r="X388" s="71">
        <f>IF($A388="","",IF(AND(N388&gt;0,F388&gt;0),ROUND(F388/N388,0),X387))</f>
        <v/>
      </c>
      <c r="Y388" s="74">
        <f>IF($A388="","",IF(AND(M388&gt;0,L388&gt;0),ROUND(L388/M388,0),IF(AND(J388&gt;0,B388&gt;0),ROUND(B388/J388,0),Y387)))</f>
        <v/>
      </c>
    </row>
    <row r="389">
      <c r="A389" s="67" t="n"/>
      <c r="B389" s="68" t="n"/>
      <c r="C389" s="69" t="n"/>
      <c r="D389" s="68" t="n"/>
      <c r="E389" s="69" t="n"/>
      <c r="F389" s="68" t="n"/>
      <c r="G389" s="69" t="n"/>
      <c r="H389" s="68" t="n"/>
      <c r="I389" s="70">
        <f>IF($A389="","",R388)</f>
        <v/>
      </c>
      <c r="J389" s="71">
        <f>IF($A389="","",IF(C389="",0,C389))</f>
        <v/>
      </c>
      <c r="K389" s="71">
        <f>IF($A389="","",IF(E389="",0,E389))</f>
        <v/>
      </c>
      <c r="L389" s="70">
        <f>IF($A389="","",B389-D389)</f>
        <v/>
      </c>
      <c r="M389" s="71">
        <f>IF($A389="","",J389-K389)</f>
        <v/>
      </c>
      <c r="N389" s="71">
        <f>IF($A389="","",IF(G389="",0,G389))</f>
        <v/>
      </c>
      <c r="O389" s="70">
        <f>IF($A389="","",D389+F389)</f>
        <v/>
      </c>
      <c r="P389" s="71">
        <f>IF($A389="","",K389+N389)</f>
        <v/>
      </c>
      <c r="Q389" s="70">
        <f>IF($A389="","",I389+L389-F389)</f>
        <v/>
      </c>
      <c r="R389" s="72">
        <f>IF($A389="","",IF(H389="",Q389,H389))</f>
        <v/>
      </c>
      <c r="S389" s="73">
        <f>IF($A389="","",R389-Q389)</f>
        <v/>
      </c>
      <c r="T389" s="70">
        <f>IF($A389="","",SUMIFS($B$5:$B$800,$A$5:$A$800,"&gt;="&amp;DATE(YEAR($A389),MONTH($A389),1),$A$5:$A$800,"&lt;="&amp;$A389)+IF(AND(YEAR($A389)=YEAR(Settings!$B$3),MONTH($A389)=MONTH(Settings!$B$3)),Settings!$B$6,0))</f>
        <v/>
      </c>
      <c r="U389" s="71">
        <f>IF($A389="","",SUMIFS($J$5:$J$800,$A$5:$A$800,"&gt;="&amp;DATE(YEAR($A389),MONTH($A389),1),$A$5:$A$800,"&lt;="&amp;$A389)+IF(AND(YEAR($A389)=YEAR(Settings!$B$3),MONTH($A389)=MONTH(Settings!$B$3)),Settings!$B$7,0))</f>
        <v/>
      </c>
      <c r="V389" s="70">
        <f>IF($A389="","",Settings!$B$8+SUM($B$5:B389))</f>
        <v/>
      </c>
      <c r="W389" s="71">
        <f>IF($A389="","",Settings!$B$9+SUM($J$5:J389))</f>
        <v/>
      </c>
      <c r="X389" s="71">
        <f>IF($A389="","",IF(AND(N389&gt;0,F389&gt;0),ROUND(F389/N389,0),X388))</f>
        <v/>
      </c>
      <c r="Y389" s="74">
        <f>IF($A389="","",IF(AND(M389&gt;0,L389&gt;0),ROUND(L389/M389,0),IF(AND(J389&gt;0,B389&gt;0),ROUND(B389/J389,0),Y388)))</f>
        <v/>
      </c>
    </row>
    <row r="390">
      <c r="A390" s="67" t="n"/>
      <c r="B390" s="68" t="n"/>
      <c r="C390" s="69" t="n"/>
      <c r="D390" s="68" t="n"/>
      <c r="E390" s="69" t="n"/>
      <c r="F390" s="68" t="n"/>
      <c r="G390" s="69" t="n"/>
      <c r="H390" s="68" t="n"/>
      <c r="I390" s="70">
        <f>IF($A390="","",R389)</f>
        <v/>
      </c>
      <c r="J390" s="71">
        <f>IF($A390="","",IF(C390="",0,C390))</f>
        <v/>
      </c>
      <c r="K390" s="71">
        <f>IF($A390="","",IF(E390="",0,E390))</f>
        <v/>
      </c>
      <c r="L390" s="70">
        <f>IF($A390="","",B390-D390)</f>
        <v/>
      </c>
      <c r="M390" s="71">
        <f>IF($A390="","",J390-K390)</f>
        <v/>
      </c>
      <c r="N390" s="71">
        <f>IF($A390="","",IF(G390="",0,G390))</f>
        <v/>
      </c>
      <c r="O390" s="70">
        <f>IF($A390="","",D390+F390)</f>
        <v/>
      </c>
      <c r="P390" s="71">
        <f>IF($A390="","",K390+N390)</f>
        <v/>
      </c>
      <c r="Q390" s="70">
        <f>IF($A390="","",I390+L390-F390)</f>
        <v/>
      </c>
      <c r="R390" s="72">
        <f>IF($A390="","",IF(H390="",Q390,H390))</f>
        <v/>
      </c>
      <c r="S390" s="73">
        <f>IF($A390="","",R390-Q390)</f>
        <v/>
      </c>
      <c r="T390" s="70">
        <f>IF($A390="","",SUMIFS($B$5:$B$800,$A$5:$A$800,"&gt;="&amp;DATE(YEAR($A390),MONTH($A390),1),$A$5:$A$800,"&lt;="&amp;$A390)+IF(AND(YEAR($A390)=YEAR(Settings!$B$3),MONTH($A390)=MONTH(Settings!$B$3)),Settings!$B$6,0))</f>
        <v/>
      </c>
      <c r="U390" s="71">
        <f>IF($A390="","",SUMIFS($J$5:$J$800,$A$5:$A$800,"&gt;="&amp;DATE(YEAR($A390),MONTH($A390),1),$A$5:$A$800,"&lt;="&amp;$A390)+IF(AND(YEAR($A390)=YEAR(Settings!$B$3),MONTH($A390)=MONTH(Settings!$B$3)),Settings!$B$7,0))</f>
        <v/>
      </c>
      <c r="V390" s="70">
        <f>IF($A390="","",Settings!$B$8+SUM($B$5:B390))</f>
        <v/>
      </c>
      <c r="W390" s="71">
        <f>IF($A390="","",Settings!$B$9+SUM($J$5:J390))</f>
        <v/>
      </c>
      <c r="X390" s="71">
        <f>IF($A390="","",IF(AND(N390&gt;0,F390&gt;0),ROUND(F390/N390,0),X389))</f>
        <v/>
      </c>
      <c r="Y390" s="74">
        <f>IF($A390="","",IF(AND(M390&gt;0,L390&gt;0),ROUND(L390/M390,0),IF(AND(J390&gt;0,B390&gt;0),ROUND(B390/J390,0),Y389)))</f>
        <v/>
      </c>
    </row>
    <row r="391">
      <c r="A391" s="67" t="n"/>
      <c r="B391" s="68" t="n"/>
      <c r="C391" s="69" t="n"/>
      <c r="D391" s="68" t="n"/>
      <c r="E391" s="69" t="n"/>
      <c r="F391" s="68" t="n"/>
      <c r="G391" s="69" t="n"/>
      <c r="H391" s="68" t="n"/>
      <c r="I391" s="70">
        <f>IF($A391="","",R390)</f>
        <v/>
      </c>
      <c r="J391" s="71">
        <f>IF($A391="","",IF(C391="",0,C391))</f>
        <v/>
      </c>
      <c r="K391" s="71">
        <f>IF($A391="","",IF(E391="",0,E391))</f>
        <v/>
      </c>
      <c r="L391" s="70">
        <f>IF($A391="","",B391-D391)</f>
        <v/>
      </c>
      <c r="M391" s="71">
        <f>IF($A391="","",J391-K391)</f>
        <v/>
      </c>
      <c r="N391" s="71">
        <f>IF($A391="","",IF(G391="",0,G391))</f>
        <v/>
      </c>
      <c r="O391" s="70">
        <f>IF($A391="","",D391+F391)</f>
        <v/>
      </c>
      <c r="P391" s="71">
        <f>IF($A391="","",K391+N391)</f>
        <v/>
      </c>
      <c r="Q391" s="70">
        <f>IF($A391="","",I391+L391-F391)</f>
        <v/>
      </c>
      <c r="R391" s="72">
        <f>IF($A391="","",IF(H391="",Q391,H391))</f>
        <v/>
      </c>
      <c r="S391" s="73">
        <f>IF($A391="","",R391-Q391)</f>
        <v/>
      </c>
      <c r="T391" s="70">
        <f>IF($A391="","",SUMIFS($B$5:$B$800,$A$5:$A$800,"&gt;="&amp;DATE(YEAR($A391),MONTH($A391),1),$A$5:$A$800,"&lt;="&amp;$A391)+IF(AND(YEAR($A391)=YEAR(Settings!$B$3),MONTH($A391)=MONTH(Settings!$B$3)),Settings!$B$6,0))</f>
        <v/>
      </c>
      <c r="U391" s="71">
        <f>IF($A391="","",SUMIFS($J$5:$J$800,$A$5:$A$800,"&gt;="&amp;DATE(YEAR($A391),MONTH($A391),1),$A$5:$A$800,"&lt;="&amp;$A391)+IF(AND(YEAR($A391)=YEAR(Settings!$B$3),MONTH($A391)=MONTH(Settings!$B$3)),Settings!$B$7,0))</f>
        <v/>
      </c>
      <c r="V391" s="70">
        <f>IF($A391="","",Settings!$B$8+SUM($B$5:B391))</f>
        <v/>
      </c>
      <c r="W391" s="71">
        <f>IF($A391="","",Settings!$B$9+SUM($J$5:J391))</f>
        <v/>
      </c>
      <c r="X391" s="71">
        <f>IF($A391="","",IF(AND(N391&gt;0,F391&gt;0),ROUND(F391/N391,0),X390))</f>
        <v/>
      </c>
      <c r="Y391" s="74">
        <f>IF($A391="","",IF(AND(M391&gt;0,L391&gt;0),ROUND(L391/M391,0),IF(AND(J391&gt;0,B391&gt;0),ROUND(B391/J391,0),Y390)))</f>
        <v/>
      </c>
    </row>
    <row r="392">
      <c r="A392" s="67" t="n"/>
      <c r="B392" s="68" t="n"/>
      <c r="C392" s="69" t="n"/>
      <c r="D392" s="68" t="n"/>
      <c r="E392" s="69" t="n"/>
      <c r="F392" s="68" t="n"/>
      <c r="G392" s="69" t="n"/>
      <c r="H392" s="68" t="n"/>
      <c r="I392" s="70">
        <f>IF($A392="","",R391)</f>
        <v/>
      </c>
      <c r="J392" s="71">
        <f>IF($A392="","",IF(C392="",0,C392))</f>
        <v/>
      </c>
      <c r="K392" s="71">
        <f>IF($A392="","",IF(E392="",0,E392))</f>
        <v/>
      </c>
      <c r="L392" s="70">
        <f>IF($A392="","",B392-D392)</f>
        <v/>
      </c>
      <c r="M392" s="71">
        <f>IF($A392="","",J392-K392)</f>
        <v/>
      </c>
      <c r="N392" s="71">
        <f>IF($A392="","",IF(G392="",0,G392))</f>
        <v/>
      </c>
      <c r="O392" s="70">
        <f>IF($A392="","",D392+F392)</f>
        <v/>
      </c>
      <c r="P392" s="71">
        <f>IF($A392="","",K392+N392)</f>
        <v/>
      </c>
      <c r="Q392" s="70">
        <f>IF($A392="","",I392+L392-F392)</f>
        <v/>
      </c>
      <c r="R392" s="72">
        <f>IF($A392="","",IF(H392="",Q392,H392))</f>
        <v/>
      </c>
      <c r="S392" s="73">
        <f>IF($A392="","",R392-Q392)</f>
        <v/>
      </c>
      <c r="T392" s="70">
        <f>IF($A392="","",SUMIFS($B$5:$B$800,$A$5:$A$800,"&gt;="&amp;DATE(YEAR($A392),MONTH($A392),1),$A$5:$A$800,"&lt;="&amp;$A392)+IF(AND(YEAR($A392)=YEAR(Settings!$B$3),MONTH($A392)=MONTH(Settings!$B$3)),Settings!$B$6,0))</f>
        <v/>
      </c>
      <c r="U392" s="71">
        <f>IF($A392="","",SUMIFS($J$5:$J$800,$A$5:$A$800,"&gt;="&amp;DATE(YEAR($A392),MONTH($A392),1),$A$5:$A$800,"&lt;="&amp;$A392)+IF(AND(YEAR($A392)=YEAR(Settings!$B$3),MONTH($A392)=MONTH(Settings!$B$3)),Settings!$B$7,0))</f>
        <v/>
      </c>
      <c r="V392" s="70">
        <f>IF($A392="","",Settings!$B$8+SUM($B$5:B392))</f>
        <v/>
      </c>
      <c r="W392" s="71">
        <f>IF($A392="","",Settings!$B$9+SUM($J$5:J392))</f>
        <v/>
      </c>
      <c r="X392" s="71">
        <f>IF($A392="","",IF(AND(N392&gt;0,F392&gt;0),ROUND(F392/N392,0),X391))</f>
        <v/>
      </c>
      <c r="Y392" s="74">
        <f>IF($A392="","",IF(AND(M392&gt;0,L392&gt;0),ROUND(L392/M392,0),IF(AND(J392&gt;0,B392&gt;0),ROUND(B392/J392,0),Y391)))</f>
        <v/>
      </c>
    </row>
    <row r="393">
      <c r="A393" s="67" t="n"/>
      <c r="B393" s="68" t="n"/>
      <c r="C393" s="69" t="n"/>
      <c r="D393" s="68" t="n"/>
      <c r="E393" s="69" t="n"/>
      <c r="F393" s="68" t="n"/>
      <c r="G393" s="69" t="n"/>
      <c r="H393" s="68" t="n"/>
      <c r="I393" s="70">
        <f>IF($A393="","",R392)</f>
        <v/>
      </c>
      <c r="J393" s="71">
        <f>IF($A393="","",IF(C393="",0,C393))</f>
        <v/>
      </c>
      <c r="K393" s="71">
        <f>IF($A393="","",IF(E393="",0,E393))</f>
        <v/>
      </c>
      <c r="L393" s="70">
        <f>IF($A393="","",B393-D393)</f>
        <v/>
      </c>
      <c r="M393" s="71">
        <f>IF($A393="","",J393-K393)</f>
        <v/>
      </c>
      <c r="N393" s="71">
        <f>IF($A393="","",IF(G393="",0,G393))</f>
        <v/>
      </c>
      <c r="O393" s="70">
        <f>IF($A393="","",D393+F393)</f>
        <v/>
      </c>
      <c r="P393" s="71">
        <f>IF($A393="","",K393+N393)</f>
        <v/>
      </c>
      <c r="Q393" s="70">
        <f>IF($A393="","",I393+L393-F393)</f>
        <v/>
      </c>
      <c r="R393" s="72">
        <f>IF($A393="","",IF(H393="",Q393,H393))</f>
        <v/>
      </c>
      <c r="S393" s="73">
        <f>IF($A393="","",R393-Q393)</f>
        <v/>
      </c>
      <c r="T393" s="70">
        <f>IF($A393="","",SUMIFS($B$5:$B$800,$A$5:$A$800,"&gt;="&amp;DATE(YEAR($A393),MONTH($A393),1),$A$5:$A$800,"&lt;="&amp;$A393)+IF(AND(YEAR($A393)=YEAR(Settings!$B$3),MONTH($A393)=MONTH(Settings!$B$3)),Settings!$B$6,0))</f>
        <v/>
      </c>
      <c r="U393" s="71">
        <f>IF($A393="","",SUMIFS($J$5:$J$800,$A$5:$A$800,"&gt;="&amp;DATE(YEAR($A393),MONTH($A393),1),$A$5:$A$800,"&lt;="&amp;$A393)+IF(AND(YEAR($A393)=YEAR(Settings!$B$3),MONTH($A393)=MONTH(Settings!$B$3)),Settings!$B$7,0))</f>
        <v/>
      </c>
      <c r="V393" s="70">
        <f>IF($A393="","",Settings!$B$8+SUM($B$5:B393))</f>
        <v/>
      </c>
      <c r="W393" s="71">
        <f>IF($A393="","",Settings!$B$9+SUM($J$5:J393))</f>
        <v/>
      </c>
      <c r="X393" s="71">
        <f>IF($A393="","",IF(AND(N393&gt;0,F393&gt;0),ROUND(F393/N393,0),X392))</f>
        <v/>
      </c>
      <c r="Y393" s="74">
        <f>IF($A393="","",IF(AND(M393&gt;0,L393&gt;0),ROUND(L393/M393,0),IF(AND(J393&gt;0,B393&gt;0),ROUND(B393/J393,0),Y392)))</f>
        <v/>
      </c>
    </row>
    <row r="394">
      <c r="A394" s="67" t="n"/>
      <c r="B394" s="68" t="n"/>
      <c r="C394" s="69" t="n"/>
      <c r="D394" s="68" t="n"/>
      <c r="E394" s="69" t="n"/>
      <c r="F394" s="68" t="n"/>
      <c r="G394" s="69" t="n"/>
      <c r="H394" s="68" t="n"/>
      <c r="I394" s="70">
        <f>IF($A394="","",R393)</f>
        <v/>
      </c>
      <c r="J394" s="71">
        <f>IF($A394="","",IF(C394="",0,C394))</f>
        <v/>
      </c>
      <c r="K394" s="71">
        <f>IF($A394="","",IF(E394="",0,E394))</f>
        <v/>
      </c>
      <c r="L394" s="70">
        <f>IF($A394="","",B394-D394)</f>
        <v/>
      </c>
      <c r="M394" s="71">
        <f>IF($A394="","",J394-K394)</f>
        <v/>
      </c>
      <c r="N394" s="71">
        <f>IF($A394="","",IF(G394="",0,G394))</f>
        <v/>
      </c>
      <c r="O394" s="70">
        <f>IF($A394="","",D394+F394)</f>
        <v/>
      </c>
      <c r="P394" s="71">
        <f>IF($A394="","",K394+N394)</f>
        <v/>
      </c>
      <c r="Q394" s="70">
        <f>IF($A394="","",I394+L394-F394)</f>
        <v/>
      </c>
      <c r="R394" s="72">
        <f>IF($A394="","",IF(H394="",Q394,H394))</f>
        <v/>
      </c>
      <c r="S394" s="73">
        <f>IF($A394="","",R394-Q394)</f>
        <v/>
      </c>
      <c r="T394" s="70">
        <f>IF($A394="","",SUMIFS($B$5:$B$800,$A$5:$A$800,"&gt;="&amp;DATE(YEAR($A394),MONTH($A394),1),$A$5:$A$800,"&lt;="&amp;$A394)+IF(AND(YEAR($A394)=YEAR(Settings!$B$3),MONTH($A394)=MONTH(Settings!$B$3)),Settings!$B$6,0))</f>
        <v/>
      </c>
      <c r="U394" s="71">
        <f>IF($A394="","",SUMIFS($J$5:$J$800,$A$5:$A$800,"&gt;="&amp;DATE(YEAR($A394),MONTH($A394),1),$A$5:$A$800,"&lt;="&amp;$A394)+IF(AND(YEAR($A394)=YEAR(Settings!$B$3),MONTH($A394)=MONTH(Settings!$B$3)),Settings!$B$7,0))</f>
        <v/>
      </c>
      <c r="V394" s="70">
        <f>IF($A394="","",Settings!$B$8+SUM($B$5:B394))</f>
        <v/>
      </c>
      <c r="W394" s="71">
        <f>IF($A394="","",Settings!$B$9+SUM($J$5:J394))</f>
        <v/>
      </c>
      <c r="X394" s="71">
        <f>IF($A394="","",IF(AND(N394&gt;0,F394&gt;0),ROUND(F394/N394,0),X393))</f>
        <v/>
      </c>
      <c r="Y394" s="74">
        <f>IF($A394="","",IF(AND(M394&gt;0,L394&gt;0),ROUND(L394/M394,0),IF(AND(J394&gt;0,B394&gt;0),ROUND(B394/J394,0),Y393)))</f>
        <v/>
      </c>
    </row>
    <row r="395">
      <c r="A395" s="67" t="n"/>
      <c r="B395" s="68" t="n"/>
      <c r="C395" s="69" t="n"/>
      <c r="D395" s="68" t="n"/>
      <c r="E395" s="69" t="n"/>
      <c r="F395" s="68" t="n"/>
      <c r="G395" s="69" t="n"/>
      <c r="H395" s="68" t="n"/>
      <c r="I395" s="70">
        <f>IF($A395="","",R394)</f>
        <v/>
      </c>
      <c r="J395" s="71">
        <f>IF($A395="","",IF(C395="",0,C395))</f>
        <v/>
      </c>
      <c r="K395" s="71">
        <f>IF($A395="","",IF(E395="",0,E395))</f>
        <v/>
      </c>
      <c r="L395" s="70">
        <f>IF($A395="","",B395-D395)</f>
        <v/>
      </c>
      <c r="M395" s="71">
        <f>IF($A395="","",J395-K395)</f>
        <v/>
      </c>
      <c r="N395" s="71">
        <f>IF($A395="","",IF(G395="",0,G395))</f>
        <v/>
      </c>
      <c r="O395" s="70">
        <f>IF($A395="","",D395+F395)</f>
        <v/>
      </c>
      <c r="P395" s="71">
        <f>IF($A395="","",K395+N395)</f>
        <v/>
      </c>
      <c r="Q395" s="70">
        <f>IF($A395="","",I395+L395-F395)</f>
        <v/>
      </c>
      <c r="R395" s="72">
        <f>IF($A395="","",IF(H395="",Q395,H395))</f>
        <v/>
      </c>
      <c r="S395" s="73">
        <f>IF($A395="","",R395-Q395)</f>
        <v/>
      </c>
      <c r="T395" s="70">
        <f>IF($A395="","",SUMIFS($B$5:$B$800,$A$5:$A$800,"&gt;="&amp;DATE(YEAR($A395),MONTH($A395),1),$A$5:$A$800,"&lt;="&amp;$A395)+IF(AND(YEAR($A395)=YEAR(Settings!$B$3),MONTH($A395)=MONTH(Settings!$B$3)),Settings!$B$6,0))</f>
        <v/>
      </c>
      <c r="U395" s="71">
        <f>IF($A395="","",SUMIFS($J$5:$J$800,$A$5:$A$800,"&gt;="&amp;DATE(YEAR($A395),MONTH($A395),1),$A$5:$A$800,"&lt;="&amp;$A395)+IF(AND(YEAR($A395)=YEAR(Settings!$B$3),MONTH($A395)=MONTH(Settings!$B$3)),Settings!$B$7,0))</f>
        <v/>
      </c>
      <c r="V395" s="70">
        <f>IF($A395="","",Settings!$B$8+SUM($B$5:B395))</f>
        <v/>
      </c>
      <c r="W395" s="71">
        <f>IF($A395="","",Settings!$B$9+SUM($J$5:J395))</f>
        <v/>
      </c>
      <c r="X395" s="71">
        <f>IF($A395="","",IF(AND(N395&gt;0,F395&gt;0),ROUND(F395/N395,0),X394))</f>
        <v/>
      </c>
      <c r="Y395" s="74">
        <f>IF($A395="","",IF(AND(M395&gt;0,L395&gt;0),ROUND(L395/M395,0),IF(AND(J395&gt;0,B395&gt;0),ROUND(B395/J395,0),Y394)))</f>
        <v/>
      </c>
    </row>
    <row r="396">
      <c r="A396" s="67" t="n"/>
      <c r="B396" s="68" t="n"/>
      <c r="C396" s="69" t="n"/>
      <c r="D396" s="68" t="n"/>
      <c r="E396" s="69" t="n"/>
      <c r="F396" s="68" t="n"/>
      <c r="G396" s="69" t="n"/>
      <c r="H396" s="68" t="n"/>
      <c r="I396" s="70">
        <f>IF($A396="","",R395)</f>
        <v/>
      </c>
      <c r="J396" s="71">
        <f>IF($A396="","",IF(C396="",0,C396))</f>
        <v/>
      </c>
      <c r="K396" s="71">
        <f>IF($A396="","",IF(E396="",0,E396))</f>
        <v/>
      </c>
      <c r="L396" s="70">
        <f>IF($A396="","",B396-D396)</f>
        <v/>
      </c>
      <c r="M396" s="71">
        <f>IF($A396="","",J396-K396)</f>
        <v/>
      </c>
      <c r="N396" s="71">
        <f>IF($A396="","",IF(G396="",0,G396))</f>
        <v/>
      </c>
      <c r="O396" s="70">
        <f>IF($A396="","",D396+F396)</f>
        <v/>
      </c>
      <c r="P396" s="71">
        <f>IF($A396="","",K396+N396)</f>
        <v/>
      </c>
      <c r="Q396" s="70">
        <f>IF($A396="","",I396+L396-F396)</f>
        <v/>
      </c>
      <c r="R396" s="72">
        <f>IF($A396="","",IF(H396="",Q396,H396))</f>
        <v/>
      </c>
      <c r="S396" s="73">
        <f>IF($A396="","",R396-Q396)</f>
        <v/>
      </c>
      <c r="T396" s="70">
        <f>IF($A396="","",SUMIFS($B$5:$B$800,$A$5:$A$800,"&gt;="&amp;DATE(YEAR($A396),MONTH($A396),1),$A$5:$A$800,"&lt;="&amp;$A396)+IF(AND(YEAR($A396)=YEAR(Settings!$B$3),MONTH($A396)=MONTH(Settings!$B$3)),Settings!$B$6,0))</f>
        <v/>
      </c>
      <c r="U396" s="71">
        <f>IF($A396="","",SUMIFS($J$5:$J$800,$A$5:$A$800,"&gt;="&amp;DATE(YEAR($A396),MONTH($A396),1),$A$5:$A$800,"&lt;="&amp;$A396)+IF(AND(YEAR($A396)=YEAR(Settings!$B$3),MONTH($A396)=MONTH(Settings!$B$3)),Settings!$B$7,0))</f>
        <v/>
      </c>
      <c r="V396" s="70">
        <f>IF($A396="","",Settings!$B$8+SUM($B$5:B396))</f>
        <v/>
      </c>
      <c r="W396" s="71">
        <f>IF($A396="","",Settings!$B$9+SUM($J$5:J396))</f>
        <v/>
      </c>
      <c r="X396" s="71">
        <f>IF($A396="","",IF(AND(N396&gt;0,F396&gt;0),ROUND(F396/N396,0),X395))</f>
        <v/>
      </c>
      <c r="Y396" s="74">
        <f>IF($A396="","",IF(AND(M396&gt;0,L396&gt;0),ROUND(L396/M396,0),IF(AND(J396&gt;0,B396&gt;0),ROUND(B396/J396,0),Y395)))</f>
        <v/>
      </c>
    </row>
    <row r="397">
      <c r="A397" s="67" t="n"/>
      <c r="B397" s="68" t="n"/>
      <c r="C397" s="69" t="n"/>
      <c r="D397" s="68" t="n"/>
      <c r="E397" s="69" t="n"/>
      <c r="F397" s="68" t="n"/>
      <c r="G397" s="69" t="n"/>
      <c r="H397" s="68" t="n"/>
      <c r="I397" s="70">
        <f>IF($A397="","",R396)</f>
        <v/>
      </c>
      <c r="J397" s="71">
        <f>IF($A397="","",IF(C397="",0,C397))</f>
        <v/>
      </c>
      <c r="K397" s="71">
        <f>IF($A397="","",IF(E397="",0,E397))</f>
        <v/>
      </c>
      <c r="L397" s="70">
        <f>IF($A397="","",B397-D397)</f>
        <v/>
      </c>
      <c r="M397" s="71">
        <f>IF($A397="","",J397-K397)</f>
        <v/>
      </c>
      <c r="N397" s="71">
        <f>IF($A397="","",IF(G397="",0,G397))</f>
        <v/>
      </c>
      <c r="O397" s="70">
        <f>IF($A397="","",D397+F397)</f>
        <v/>
      </c>
      <c r="P397" s="71">
        <f>IF($A397="","",K397+N397)</f>
        <v/>
      </c>
      <c r="Q397" s="70">
        <f>IF($A397="","",I397+L397-F397)</f>
        <v/>
      </c>
      <c r="R397" s="72">
        <f>IF($A397="","",IF(H397="",Q397,H397))</f>
        <v/>
      </c>
      <c r="S397" s="73">
        <f>IF($A397="","",R397-Q397)</f>
        <v/>
      </c>
      <c r="T397" s="70">
        <f>IF($A397="","",SUMIFS($B$5:$B$800,$A$5:$A$800,"&gt;="&amp;DATE(YEAR($A397),MONTH($A397),1),$A$5:$A$800,"&lt;="&amp;$A397)+IF(AND(YEAR($A397)=YEAR(Settings!$B$3),MONTH($A397)=MONTH(Settings!$B$3)),Settings!$B$6,0))</f>
        <v/>
      </c>
      <c r="U397" s="71">
        <f>IF($A397="","",SUMIFS($J$5:$J$800,$A$5:$A$800,"&gt;="&amp;DATE(YEAR($A397),MONTH($A397),1),$A$5:$A$800,"&lt;="&amp;$A397)+IF(AND(YEAR($A397)=YEAR(Settings!$B$3),MONTH($A397)=MONTH(Settings!$B$3)),Settings!$B$7,0))</f>
        <v/>
      </c>
      <c r="V397" s="70">
        <f>IF($A397="","",Settings!$B$8+SUM($B$5:B397))</f>
        <v/>
      </c>
      <c r="W397" s="71">
        <f>IF($A397="","",Settings!$B$9+SUM($J$5:J397))</f>
        <v/>
      </c>
      <c r="X397" s="71">
        <f>IF($A397="","",IF(AND(N397&gt;0,F397&gt;0),ROUND(F397/N397,0),X396))</f>
        <v/>
      </c>
      <c r="Y397" s="74">
        <f>IF($A397="","",IF(AND(M397&gt;0,L397&gt;0),ROUND(L397/M397,0),IF(AND(J397&gt;0,B397&gt;0),ROUND(B397/J397,0),Y396)))</f>
        <v/>
      </c>
    </row>
    <row r="398">
      <c r="A398" s="67" t="n"/>
      <c r="B398" s="68" t="n"/>
      <c r="C398" s="69" t="n"/>
      <c r="D398" s="68" t="n"/>
      <c r="E398" s="69" t="n"/>
      <c r="F398" s="68" t="n"/>
      <c r="G398" s="69" t="n"/>
      <c r="H398" s="68" t="n"/>
      <c r="I398" s="70">
        <f>IF($A398="","",R397)</f>
        <v/>
      </c>
      <c r="J398" s="71">
        <f>IF($A398="","",IF(C398="",0,C398))</f>
        <v/>
      </c>
      <c r="K398" s="71">
        <f>IF($A398="","",IF(E398="",0,E398))</f>
        <v/>
      </c>
      <c r="L398" s="70">
        <f>IF($A398="","",B398-D398)</f>
        <v/>
      </c>
      <c r="M398" s="71">
        <f>IF($A398="","",J398-K398)</f>
        <v/>
      </c>
      <c r="N398" s="71">
        <f>IF($A398="","",IF(G398="",0,G398))</f>
        <v/>
      </c>
      <c r="O398" s="70">
        <f>IF($A398="","",D398+F398)</f>
        <v/>
      </c>
      <c r="P398" s="71">
        <f>IF($A398="","",K398+N398)</f>
        <v/>
      </c>
      <c r="Q398" s="70">
        <f>IF($A398="","",I398+L398-F398)</f>
        <v/>
      </c>
      <c r="R398" s="72">
        <f>IF($A398="","",IF(H398="",Q398,H398))</f>
        <v/>
      </c>
      <c r="S398" s="73">
        <f>IF($A398="","",R398-Q398)</f>
        <v/>
      </c>
      <c r="T398" s="70">
        <f>IF($A398="","",SUMIFS($B$5:$B$800,$A$5:$A$800,"&gt;="&amp;DATE(YEAR($A398),MONTH($A398),1),$A$5:$A$800,"&lt;="&amp;$A398)+IF(AND(YEAR($A398)=YEAR(Settings!$B$3),MONTH($A398)=MONTH(Settings!$B$3)),Settings!$B$6,0))</f>
        <v/>
      </c>
      <c r="U398" s="71">
        <f>IF($A398="","",SUMIFS($J$5:$J$800,$A$5:$A$800,"&gt;="&amp;DATE(YEAR($A398),MONTH($A398),1),$A$5:$A$800,"&lt;="&amp;$A398)+IF(AND(YEAR($A398)=YEAR(Settings!$B$3),MONTH($A398)=MONTH(Settings!$B$3)),Settings!$B$7,0))</f>
        <v/>
      </c>
      <c r="V398" s="70">
        <f>IF($A398="","",Settings!$B$8+SUM($B$5:B398))</f>
        <v/>
      </c>
      <c r="W398" s="71">
        <f>IF($A398="","",Settings!$B$9+SUM($J$5:J398))</f>
        <v/>
      </c>
      <c r="X398" s="71">
        <f>IF($A398="","",IF(AND(N398&gt;0,F398&gt;0),ROUND(F398/N398,0),X397))</f>
        <v/>
      </c>
      <c r="Y398" s="74">
        <f>IF($A398="","",IF(AND(M398&gt;0,L398&gt;0),ROUND(L398/M398,0),IF(AND(J398&gt;0,B398&gt;0),ROUND(B398/J398,0),Y397)))</f>
        <v/>
      </c>
    </row>
    <row r="399">
      <c r="A399" s="67" t="n"/>
      <c r="B399" s="68" t="n"/>
      <c r="C399" s="69" t="n"/>
      <c r="D399" s="68" t="n"/>
      <c r="E399" s="69" t="n"/>
      <c r="F399" s="68" t="n"/>
      <c r="G399" s="69" t="n"/>
      <c r="H399" s="68" t="n"/>
      <c r="I399" s="70">
        <f>IF($A399="","",R398)</f>
        <v/>
      </c>
      <c r="J399" s="71">
        <f>IF($A399="","",IF(C399="",0,C399))</f>
        <v/>
      </c>
      <c r="K399" s="71">
        <f>IF($A399="","",IF(E399="",0,E399))</f>
        <v/>
      </c>
      <c r="L399" s="70">
        <f>IF($A399="","",B399-D399)</f>
        <v/>
      </c>
      <c r="M399" s="71">
        <f>IF($A399="","",J399-K399)</f>
        <v/>
      </c>
      <c r="N399" s="71">
        <f>IF($A399="","",IF(G399="",0,G399))</f>
        <v/>
      </c>
      <c r="O399" s="70">
        <f>IF($A399="","",D399+F399)</f>
        <v/>
      </c>
      <c r="P399" s="71">
        <f>IF($A399="","",K399+N399)</f>
        <v/>
      </c>
      <c r="Q399" s="70">
        <f>IF($A399="","",I399+L399-F399)</f>
        <v/>
      </c>
      <c r="R399" s="72">
        <f>IF($A399="","",IF(H399="",Q399,H399))</f>
        <v/>
      </c>
      <c r="S399" s="73">
        <f>IF($A399="","",R399-Q399)</f>
        <v/>
      </c>
      <c r="T399" s="70">
        <f>IF($A399="","",SUMIFS($B$5:$B$800,$A$5:$A$800,"&gt;="&amp;DATE(YEAR($A399),MONTH($A399),1),$A$5:$A$800,"&lt;="&amp;$A399)+IF(AND(YEAR($A399)=YEAR(Settings!$B$3),MONTH($A399)=MONTH(Settings!$B$3)),Settings!$B$6,0))</f>
        <v/>
      </c>
      <c r="U399" s="71">
        <f>IF($A399="","",SUMIFS($J$5:$J$800,$A$5:$A$800,"&gt;="&amp;DATE(YEAR($A399),MONTH($A399),1),$A$5:$A$800,"&lt;="&amp;$A399)+IF(AND(YEAR($A399)=YEAR(Settings!$B$3),MONTH($A399)=MONTH(Settings!$B$3)),Settings!$B$7,0))</f>
        <v/>
      </c>
      <c r="V399" s="70">
        <f>IF($A399="","",Settings!$B$8+SUM($B$5:B399))</f>
        <v/>
      </c>
      <c r="W399" s="71">
        <f>IF($A399="","",Settings!$B$9+SUM($J$5:J399))</f>
        <v/>
      </c>
      <c r="X399" s="71">
        <f>IF($A399="","",IF(AND(N399&gt;0,F399&gt;0),ROUND(F399/N399,0),X398))</f>
        <v/>
      </c>
      <c r="Y399" s="74">
        <f>IF($A399="","",IF(AND(M399&gt;0,L399&gt;0),ROUND(L399/M399,0),IF(AND(J399&gt;0,B399&gt;0),ROUND(B399/J399,0),Y398)))</f>
        <v/>
      </c>
    </row>
    <row r="400">
      <c r="A400" s="67" t="n"/>
      <c r="B400" s="68" t="n"/>
      <c r="C400" s="69" t="n"/>
      <c r="D400" s="68" t="n"/>
      <c r="E400" s="69" t="n"/>
      <c r="F400" s="68" t="n"/>
      <c r="G400" s="69" t="n"/>
      <c r="H400" s="68" t="n"/>
      <c r="I400" s="70">
        <f>IF($A400="","",R399)</f>
        <v/>
      </c>
      <c r="J400" s="71">
        <f>IF($A400="","",IF(C400="",0,C400))</f>
        <v/>
      </c>
      <c r="K400" s="71">
        <f>IF($A400="","",IF(E400="",0,E400))</f>
        <v/>
      </c>
      <c r="L400" s="70">
        <f>IF($A400="","",B400-D400)</f>
        <v/>
      </c>
      <c r="M400" s="71">
        <f>IF($A400="","",J400-K400)</f>
        <v/>
      </c>
      <c r="N400" s="71">
        <f>IF($A400="","",IF(G400="",0,G400))</f>
        <v/>
      </c>
      <c r="O400" s="70">
        <f>IF($A400="","",D400+F400)</f>
        <v/>
      </c>
      <c r="P400" s="71">
        <f>IF($A400="","",K400+N400)</f>
        <v/>
      </c>
      <c r="Q400" s="70">
        <f>IF($A400="","",I400+L400-F400)</f>
        <v/>
      </c>
      <c r="R400" s="72">
        <f>IF($A400="","",IF(H400="",Q400,H400))</f>
        <v/>
      </c>
      <c r="S400" s="73">
        <f>IF($A400="","",R400-Q400)</f>
        <v/>
      </c>
      <c r="T400" s="70">
        <f>IF($A400="","",SUMIFS($B$5:$B$800,$A$5:$A$800,"&gt;="&amp;DATE(YEAR($A400),MONTH($A400),1),$A$5:$A$800,"&lt;="&amp;$A400)+IF(AND(YEAR($A400)=YEAR(Settings!$B$3),MONTH($A400)=MONTH(Settings!$B$3)),Settings!$B$6,0))</f>
        <v/>
      </c>
      <c r="U400" s="71">
        <f>IF($A400="","",SUMIFS($J$5:$J$800,$A$5:$A$800,"&gt;="&amp;DATE(YEAR($A400),MONTH($A400),1),$A$5:$A$800,"&lt;="&amp;$A400)+IF(AND(YEAR($A400)=YEAR(Settings!$B$3),MONTH($A400)=MONTH(Settings!$B$3)),Settings!$B$7,0))</f>
        <v/>
      </c>
      <c r="V400" s="70">
        <f>IF($A400="","",Settings!$B$8+SUM($B$5:B400))</f>
        <v/>
      </c>
      <c r="W400" s="71">
        <f>IF($A400="","",Settings!$B$9+SUM($J$5:J400))</f>
        <v/>
      </c>
      <c r="X400" s="71">
        <f>IF($A400="","",IF(AND(N400&gt;0,F400&gt;0),ROUND(F400/N400,0),X399))</f>
        <v/>
      </c>
      <c r="Y400" s="74">
        <f>IF($A400="","",IF(AND(M400&gt;0,L400&gt;0),ROUND(L400/M400,0),IF(AND(J400&gt;0,B400&gt;0),ROUND(B400/J400,0),Y399)))</f>
        <v/>
      </c>
    </row>
    <row r="401">
      <c r="A401" s="67" t="n"/>
      <c r="B401" s="68" t="n"/>
      <c r="C401" s="69" t="n"/>
      <c r="D401" s="68" t="n"/>
      <c r="E401" s="69" t="n"/>
      <c r="F401" s="68" t="n"/>
      <c r="G401" s="69" t="n"/>
      <c r="H401" s="68" t="n"/>
      <c r="I401" s="70">
        <f>IF($A401="","",R400)</f>
        <v/>
      </c>
      <c r="J401" s="71">
        <f>IF($A401="","",IF(C401="",0,C401))</f>
        <v/>
      </c>
      <c r="K401" s="71">
        <f>IF($A401="","",IF(E401="",0,E401))</f>
        <v/>
      </c>
      <c r="L401" s="70">
        <f>IF($A401="","",B401-D401)</f>
        <v/>
      </c>
      <c r="M401" s="71">
        <f>IF($A401="","",J401-K401)</f>
        <v/>
      </c>
      <c r="N401" s="71">
        <f>IF($A401="","",IF(G401="",0,G401))</f>
        <v/>
      </c>
      <c r="O401" s="70">
        <f>IF($A401="","",D401+F401)</f>
        <v/>
      </c>
      <c r="P401" s="71">
        <f>IF($A401="","",K401+N401)</f>
        <v/>
      </c>
      <c r="Q401" s="70">
        <f>IF($A401="","",I401+L401-F401)</f>
        <v/>
      </c>
      <c r="R401" s="72">
        <f>IF($A401="","",IF(H401="",Q401,H401))</f>
        <v/>
      </c>
      <c r="S401" s="73">
        <f>IF($A401="","",R401-Q401)</f>
        <v/>
      </c>
      <c r="T401" s="70">
        <f>IF($A401="","",SUMIFS($B$5:$B$800,$A$5:$A$800,"&gt;="&amp;DATE(YEAR($A401),MONTH($A401),1),$A$5:$A$800,"&lt;="&amp;$A401)+IF(AND(YEAR($A401)=YEAR(Settings!$B$3),MONTH($A401)=MONTH(Settings!$B$3)),Settings!$B$6,0))</f>
        <v/>
      </c>
      <c r="U401" s="71">
        <f>IF($A401="","",SUMIFS($J$5:$J$800,$A$5:$A$800,"&gt;="&amp;DATE(YEAR($A401),MONTH($A401),1),$A$5:$A$800,"&lt;="&amp;$A401)+IF(AND(YEAR($A401)=YEAR(Settings!$B$3),MONTH($A401)=MONTH(Settings!$B$3)),Settings!$B$7,0))</f>
        <v/>
      </c>
      <c r="V401" s="70">
        <f>IF($A401="","",Settings!$B$8+SUM($B$5:B401))</f>
        <v/>
      </c>
      <c r="W401" s="71">
        <f>IF($A401="","",Settings!$B$9+SUM($J$5:J401))</f>
        <v/>
      </c>
      <c r="X401" s="71">
        <f>IF($A401="","",IF(AND(N401&gt;0,F401&gt;0),ROUND(F401/N401,0),X400))</f>
        <v/>
      </c>
      <c r="Y401" s="74">
        <f>IF($A401="","",IF(AND(M401&gt;0,L401&gt;0),ROUND(L401/M401,0),IF(AND(J401&gt;0,B401&gt;0),ROUND(B401/J401,0),Y400)))</f>
        <v/>
      </c>
    </row>
    <row r="402">
      <c r="A402" s="67" t="n"/>
      <c r="B402" s="68" t="n"/>
      <c r="C402" s="69" t="n"/>
      <c r="D402" s="68" t="n"/>
      <c r="E402" s="69" t="n"/>
      <c r="F402" s="68" t="n"/>
      <c r="G402" s="69" t="n"/>
      <c r="H402" s="68" t="n"/>
      <c r="I402" s="70">
        <f>IF($A402="","",R401)</f>
        <v/>
      </c>
      <c r="J402" s="71">
        <f>IF($A402="","",IF(C402="",0,C402))</f>
        <v/>
      </c>
      <c r="K402" s="71">
        <f>IF($A402="","",IF(E402="",0,E402))</f>
        <v/>
      </c>
      <c r="L402" s="70">
        <f>IF($A402="","",B402-D402)</f>
        <v/>
      </c>
      <c r="M402" s="71">
        <f>IF($A402="","",J402-K402)</f>
        <v/>
      </c>
      <c r="N402" s="71">
        <f>IF($A402="","",IF(G402="",0,G402))</f>
        <v/>
      </c>
      <c r="O402" s="70">
        <f>IF($A402="","",D402+F402)</f>
        <v/>
      </c>
      <c r="P402" s="71">
        <f>IF($A402="","",K402+N402)</f>
        <v/>
      </c>
      <c r="Q402" s="70">
        <f>IF($A402="","",I402+L402-F402)</f>
        <v/>
      </c>
      <c r="R402" s="72">
        <f>IF($A402="","",IF(H402="",Q402,H402))</f>
        <v/>
      </c>
      <c r="S402" s="73">
        <f>IF($A402="","",R402-Q402)</f>
        <v/>
      </c>
      <c r="T402" s="70">
        <f>IF($A402="","",SUMIFS($B$5:$B$800,$A$5:$A$800,"&gt;="&amp;DATE(YEAR($A402),MONTH($A402),1),$A$5:$A$800,"&lt;="&amp;$A402)+IF(AND(YEAR($A402)=YEAR(Settings!$B$3),MONTH($A402)=MONTH(Settings!$B$3)),Settings!$B$6,0))</f>
        <v/>
      </c>
      <c r="U402" s="71">
        <f>IF($A402="","",SUMIFS($J$5:$J$800,$A$5:$A$800,"&gt;="&amp;DATE(YEAR($A402),MONTH($A402),1),$A$5:$A$800,"&lt;="&amp;$A402)+IF(AND(YEAR($A402)=YEAR(Settings!$B$3),MONTH($A402)=MONTH(Settings!$B$3)),Settings!$B$7,0))</f>
        <v/>
      </c>
      <c r="V402" s="70">
        <f>IF($A402="","",Settings!$B$8+SUM($B$5:B402))</f>
        <v/>
      </c>
      <c r="W402" s="71">
        <f>IF($A402="","",Settings!$B$9+SUM($J$5:J402))</f>
        <v/>
      </c>
      <c r="X402" s="71">
        <f>IF($A402="","",IF(AND(N402&gt;0,F402&gt;0),ROUND(F402/N402,0),X401))</f>
        <v/>
      </c>
      <c r="Y402" s="74">
        <f>IF($A402="","",IF(AND(M402&gt;0,L402&gt;0),ROUND(L402/M402,0),IF(AND(J402&gt;0,B402&gt;0),ROUND(B402/J402,0),Y401)))</f>
        <v/>
      </c>
    </row>
    <row r="403">
      <c r="A403" s="67" t="n"/>
      <c r="B403" s="68" t="n"/>
      <c r="C403" s="69" t="n"/>
      <c r="D403" s="68" t="n"/>
      <c r="E403" s="69" t="n"/>
      <c r="F403" s="68" t="n"/>
      <c r="G403" s="69" t="n"/>
      <c r="H403" s="68" t="n"/>
      <c r="I403" s="70">
        <f>IF($A403="","",R402)</f>
        <v/>
      </c>
      <c r="J403" s="71">
        <f>IF($A403="","",IF(C403="",0,C403))</f>
        <v/>
      </c>
      <c r="K403" s="71">
        <f>IF($A403="","",IF(E403="",0,E403))</f>
        <v/>
      </c>
      <c r="L403" s="70">
        <f>IF($A403="","",B403-D403)</f>
        <v/>
      </c>
      <c r="M403" s="71">
        <f>IF($A403="","",J403-K403)</f>
        <v/>
      </c>
      <c r="N403" s="71">
        <f>IF($A403="","",IF(G403="",0,G403))</f>
        <v/>
      </c>
      <c r="O403" s="70">
        <f>IF($A403="","",D403+F403)</f>
        <v/>
      </c>
      <c r="P403" s="71">
        <f>IF($A403="","",K403+N403)</f>
        <v/>
      </c>
      <c r="Q403" s="70">
        <f>IF($A403="","",I403+L403-F403)</f>
        <v/>
      </c>
      <c r="R403" s="72">
        <f>IF($A403="","",IF(H403="",Q403,H403))</f>
        <v/>
      </c>
      <c r="S403" s="73">
        <f>IF($A403="","",R403-Q403)</f>
        <v/>
      </c>
      <c r="T403" s="70">
        <f>IF($A403="","",SUMIFS($B$5:$B$800,$A$5:$A$800,"&gt;="&amp;DATE(YEAR($A403),MONTH($A403),1),$A$5:$A$800,"&lt;="&amp;$A403)+IF(AND(YEAR($A403)=YEAR(Settings!$B$3),MONTH($A403)=MONTH(Settings!$B$3)),Settings!$B$6,0))</f>
        <v/>
      </c>
      <c r="U403" s="71">
        <f>IF($A403="","",SUMIFS($J$5:$J$800,$A$5:$A$800,"&gt;="&amp;DATE(YEAR($A403),MONTH($A403),1),$A$5:$A$800,"&lt;="&amp;$A403)+IF(AND(YEAR($A403)=YEAR(Settings!$B$3),MONTH($A403)=MONTH(Settings!$B$3)),Settings!$B$7,0))</f>
        <v/>
      </c>
      <c r="V403" s="70">
        <f>IF($A403="","",Settings!$B$8+SUM($B$5:B403))</f>
        <v/>
      </c>
      <c r="W403" s="71">
        <f>IF($A403="","",Settings!$B$9+SUM($J$5:J403))</f>
        <v/>
      </c>
      <c r="X403" s="71">
        <f>IF($A403="","",IF(AND(N403&gt;0,F403&gt;0),ROUND(F403/N403,0),X402))</f>
        <v/>
      </c>
      <c r="Y403" s="74">
        <f>IF($A403="","",IF(AND(M403&gt;0,L403&gt;0),ROUND(L403/M403,0),IF(AND(J403&gt;0,B403&gt;0),ROUND(B403/J403,0),Y402)))</f>
        <v/>
      </c>
    </row>
    <row r="404">
      <c r="A404" s="67" t="n"/>
      <c r="B404" s="68" t="n"/>
      <c r="C404" s="69" t="n"/>
      <c r="D404" s="68" t="n"/>
      <c r="E404" s="69" t="n"/>
      <c r="F404" s="68" t="n"/>
      <c r="G404" s="69" t="n"/>
      <c r="H404" s="68" t="n"/>
      <c r="I404" s="70">
        <f>IF($A404="","",R403)</f>
        <v/>
      </c>
      <c r="J404" s="71">
        <f>IF($A404="","",IF(C404="",0,C404))</f>
        <v/>
      </c>
      <c r="K404" s="71">
        <f>IF($A404="","",IF(E404="",0,E404))</f>
        <v/>
      </c>
      <c r="L404" s="70">
        <f>IF($A404="","",B404-D404)</f>
        <v/>
      </c>
      <c r="M404" s="71">
        <f>IF($A404="","",J404-K404)</f>
        <v/>
      </c>
      <c r="N404" s="71">
        <f>IF($A404="","",IF(G404="",0,G404))</f>
        <v/>
      </c>
      <c r="O404" s="70">
        <f>IF($A404="","",D404+F404)</f>
        <v/>
      </c>
      <c r="P404" s="71">
        <f>IF($A404="","",K404+N404)</f>
        <v/>
      </c>
      <c r="Q404" s="70">
        <f>IF($A404="","",I404+L404-F404)</f>
        <v/>
      </c>
      <c r="R404" s="72">
        <f>IF($A404="","",IF(H404="",Q404,H404))</f>
        <v/>
      </c>
      <c r="S404" s="73">
        <f>IF($A404="","",R404-Q404)</f>
        <v/>
      </c>
      <c r="T404" s="70">
        <f>IF($A404="","",SUMIFS($B$5:$B$800,$A$5:$A$800,"&gt;="&amp;DATE(YEAR($A404),MONTH($A404),1),$A$5:$A$800,"&lt;="&amp;$A404)+IF(AND(YEAR($A404)=YEAR(Settings!$B$3),MONTH($A404)=MONTH(Settings!$B$3)),Settings!$B$6,0))</f>
        <v/>
      </c>
      <c r="U404" s="71">
        <f>IF($A404="","",SUMIFS($J$5:$J$800,$A$5:$A$800,"&gt;="&amp;DATE(YEAR($A404),MONTH($A404),1),$A$5:$A$800,"&lt;="&amp;$A404)+IF(AND(YEAR($A404)=YEAR(Settings!$B$3),MONTH($A404)=MONTH(Settings!$B$3)),Settings!$B$7,0))</f>
        <v/>
      </c>
      <c r="V404" s="70">
        <f>IF($A404="","",Settings!$B$8+SUM($B$5:B404))</f>
        <v/>
      </c>
      <c r="W404" s="71">
        <f>IF($A404="","",Settings!$B$9+SUM($J$5:J404))</f>
        <v/>
      </c>
      <c r="X404" s="71">
        <f>IF($A404="","",IF(AND(N404&gt;0,F404&gt;0),ROUND(F404/N404,0),X403))</f>
        <v/>
      </c>
      <c r="Y404" s="74">
        <f>IF($A404="","",IF(AND(M404&gt;0,L404&gt;0),ROUND(L404/M404,0),IF(AND(J404&gt;0,B404&gt;0),ROUND(B404/J404,0),Y403)))</f>
        <v/>
      </c>
    </row>
    <row r="405">
      <c r="A405" s="67" t="n"/>
      <c r="B405" s="68" t="n"/>
      <c r="C405" s="69" t="n"/>
      <c r="D405" s="68" t="n"/>
      <c r="E405" s="69" t="n"/>
      <c r="F405" s="68" t="n"/>
      <c r="G405" s="69" t="n"/>
      <c r="H405" s="68" t="n"/>
      <c r="I405" s="70">
        <f>IF($A405="","",R404)</f>
        <v/>
      </c>
      <c r="J405" s="71">
        <f>IF($A405="","",IF(C405="",0,C405))</f>
        <v/>
      </c>
      <c r="K405" s="71">
        <f>IF($A405="","",IF(E405="",0,E405))</f>
        <v/>
      </c>
      <c r="L405" s="70">
        <f>IF($A405="","",B405-D405)</f>
        <v/>
      </c>
      <c r="M405" s="71">
        <f>IF($A405="","",J405-K405)</f>
        <v/>
      </c>
      <c r="N405" s="71">
        <f>IF($A405="","",IF(G405="",0,G405))</f>
        <v/>
      </c>
      <c r="O405" s="70">
        <f>IF($A405="","",D405+F405)</f>
        <v/>
      </c>
      <c r="P405" s="71">
        <f>IF($A405="","",K405+N405)</f>
        <v/>
      </c>
      <c r="Q405" s="70">
        <f>IF($A405="","",I405+L405-F405)</f>
        <v/>
      </c>
      <c r="R405" s="72">
        <f>IF($A405="","",IF(H405="",Q405,H405))</f>
        <v/>
      </c>
      <c r="S405" s="73">
        <f>IF($A405="","",R405-Q405)</f>
        <v/>
      </c>
      <c r="T405" s="70">
        <f>IF($A405="","",SUMIFS($B$5:$B$800,$A$5:$A$800,"&gt;="&amp;DATE(YEAR($A405),MONTH($A405),1),$A$5:$A$800,"&lt;="&amp;$A405)+IF(AND(YEAR($A405)=YEAR(Settings!$B$3),MONTH($A405)=MONTH(Settings!$B$3)),Settings!$B$6,0))</f>
        <v/>
      </c>
      <c r="U405" s="71">
        <f>IF($A405="","",SUMIFS($J$5:$J$800,$A$5:$A$800,"&gt;="&amp;DATE(YEAR($A405),MONTH($A405),1),$A$5:$A$800,"&lt;="&amp;$A405)+IF(AND(YEAR($A405)=YEAR(Settings!$B$3),MONTH($A405)=MONTH(Settings!$B$3)),Settings!$B$7,0))</f>
        <v/>
      </c>
      <c r="V405" s="70">
        <f>IF($A405="","",Settings!$B$8+SUM($B$5:B405))</f>
        <v/>
      </c>
      <c r="W405" s="71">
        <f>IF($A405="","",Settings!$B$9+SUM($J$5:J405))</f>
        <v/>
      </c>
      <c r="X405" s="71">
        <f>IF($A405="","",IF(AND(N405&gt;0,F405&gt;0),ROUND(F405/N405,0),X404))</f>
        <v/>
      </c>
      <c r="Y405" s="74">
        <f>IF($A405="","",IF(AND(M405&gt;0,L405&gt;0),ROUND(L405/M405,0),IF(AND(J405&gt;0,B405&gt;0),ROUND(B405/J405,0),Y404)))</f>
        <v/>
      </c>
    </row>
    <row r="406">
      <c r="A406" s="67" t="n"/>
      <c r="B406" s="68" t="n"/>
      <c r="C406" s="69" t="n"/>
      <c r="D406" s="68" t="n"/>
      <c r="E406" s="69" t="n"/>
      <c r="F406" s="68" t="n"/>
      <c r="G406" s="69" t="n"/>
      <c r="H406" s="68" t="n"/>
      <c r="I406" s="70">
        <f>IF($A406="","",R405)</f>
        <v/>
      </c>
      <c r="J406" s="71">
        <f>IF($A406="","",IF(C406="",0,C406))</f>
        <v/>
      </c>
      <c r="K406" s="71">
        <f>IF($A406="","",IF(E406="",0,E406))</f>
        <v/>
      </c>
      <c r="L406" s="70">
        <f>IF($A406="","",B406-D406)</f>
        <v/>
      </c>
      <c r="M406" s="71">
        <f>IF($A406="","",J406-K406)</f>
        <v/>
      </c>
      <c r="N406" s="71">
        <f>IF($A406="","",IF(G406="",0,G406))</f>
        <v/>
      </c>
      <c r="O406" s="70">
        <f>IF($A406="","",D406+F406)</f>
        <v/>
      </c>
      <c r="P406" s="71">
        <f>IF($A406="","",K406+N406)</f>
        <v/>
      </c>
      <c r="Q406" s="70">
        <f>IF($A406="","",I406+L406-F406)</f>
        <v/>
      </c>
      <c r="R406" s="72">
        <f>IF($A406="","",IF(H406="",Q406,H406))</f>
        <v/>
      </c>
      <c r="S406" s="73">
        <f>IF($A406="","",R406-Q406)</f>
        <v/>
      </c>
      <c r="T406" s="70">
        <f>IF($A406="","",SUMIFS($B$5:$B$800,$A$5:$A$800,"&gt;="&amp;DATE(YEAR($A406),MONTH($A406),1),$A$5:$A$800,"&lt;="&amp;$A406)+IF(AND(YEAR($A406)=YEAR(Settings!$B$3),MONTH($A406)=MONTH(Settings!$B$3)),Settings!$B$6,0))</f>
        <v/>
      </c>
      <c r="U406" s="71">
        <f>IF($A406="","",SUMIFS($J$5:$J$800,$A$5:$A$800,"&gt;="&amp;DATE(YEAR($A406),MONTH($A406),1),$A$5:$A$800,"&lt;="&amp;$A406)+IF(AND(YEAR($A406)=YEAR(Settings!$B$3),MONTH($A406)=MONTH(Settings!$B$3)),Settings!$B$7,0))</f>
        <v/>
      </c>
      <c r="V406" s="70">
        <f>IF($A406="","",Settings!$B$8+SUM($B$5:B406))</f>
        <v/>
      </c>
      <c r="W406" s="71">
        <f>IF($A406="","",Settings!$B$9+SUM($J$5:J406))</f>
        <v/>
      </c>
      <c r="X406" s="71">
        <f>IF($A406="","",IF(AND(N406&gt;0,F406&gt;0),ROUND(F406/N406,0),X405))</f>
        <v/>
      </c>
      <c r="Y406" s="74">
        <f>IF($A406="","",IF(AND(M406&gt;0,L406&gt;0),ROUND(L406/M406,0),IF(AND(J406&gt;0,B406&gt;0),ROUND(B406/J406,0),Y405)))</f>
        <v/>
      </c>
    </row>
    <row r="407">
      <c r="A407" s="67" t="n"/>
      <c r="B407" s="68" t="n"/>
      <c r="C407" s="69" t="n"/>
      <c r="D407" s="68" t="n"/>
      <c r="E407" s="69" t="n"/>
      <c r="F407" s="68" t="n"/>
      <c r="G407" s="69" t="n"/>
      <c r="H407" s="68" t="n"/>
      <c r="I407" s="70">
        <f>IF($A407="","",R406)</f>
        <v/>
      </c>
      <c r="J407" s="71">
        <f>IF($A407="","",IF(C407="",0,C407))</f>
        <v/>
      </c>
      <c r="K407" s="71">
        <f>IF($A407="","",IF(E407="",0,E407))</f>
        <v/>
      </c>
      <c r="L407" s="70">
        <f>IF($A407="","",B407-D407)</f>
        <v/>
      </c>
      <c r="M407" s="71">
        <f>IF($A407="","",J407-K407)</f>
        <v/>
      </c>
      <c r="N407" s="71">
        <f>IF($A407="","",IF(G407="",0,G407))</f>
        <v/>
      </c>
      <c r="O407" s="70">
        <f>IF($A407="","",D407+F407)</f>
        <v/>
      </c>
      <c r="P407" s="71">
        <f>IF($A407="","",K407+N407)</f>
        <v/>
      </c>
      <c r="Q407" s="70">
        <f>IF($A407="","",I407+L407-F407)</f>
        <v/>
      </c>
      <c r="R407" s="72">
        <f>IF($A407="","",IF(H407="",Q407,H407))</f>
        <v/>
      </c>
      <c r="S407" s="73">
        <f>IF($A407="","",R407-Q407)</f>
        <v/>
      </c>
      <c r="T407" s="70">
        <f>IF($A407="","",SUMIFS($B$5:$B$800,$A$5:$A$800,"&gt;="&amp;DATE(YEAR($A407),MONTH($A407),1),$A$5:$A$800,"&lt;="&amp;$A407)+IF(AND(YEAR($A407)=YEAR(Settings!$B$3),MONTH($A407)=MONTH(Settings!$B$3)),Settings!$B$6,0))</f>
        <v/>
      </c>
      <c r="U407" s="71">
        <f>IF($A407="","",SUMIFS($J$5:$J$800,$A$5:$A$800,"&gt;="&amp;DATE(YEAR($A407),MONTH($A407),1),$A$5:$A$800,"&lt;="&amp;$A407)+IF(AND(YEAR($A407)=YEAR(Settings!$B$3),MONTH($A407)=MONTH(Settings!$B$3)),Settings!$B$7,0))</f>
        <v/>
      </c>
      <c r="V407" s="70">
        <f>IF($A407="","",Settings!$B$8+SUM($B$5:B407))</f>
        <v/>
      </c>
      <c r="W407" s="71">
        <f>IF($A407="","",Settings!$B$9+SUM($J$5:J407))</f>
        <v/>
      </c>
      <c r="X407" s="71">
        <f>IF($A407="","",IF(AND(N407&gt;0,F407&gt;0),ROUND(F407/N407,0),X406))</f>
        <v/>
      </c>
      <c r="Y407" s="74">
        <f>IF($A407="","",IF(AND(M407&gt;0,L407&gt;0),ROUND(L407/M407,0),IF(AND(J407&gt;0,B407&gt;0),ROUND(B407/J407,0),Y406)))</f>
        <v/>
      </c>
    </row>
    <row r="408">
      <c r="A408" s="67" t="n"/>
      <c r="B408" s="68" t="n"/>
      <c r="C408" s="69" t="n"/>
      <c r="D408" s="68" t="n"/>
      <c r="E408" s="69" t="n"/>
      <c r="F408" s="68" t="n"/>
      <c r="G408" s="69" t="n"/>
      <c r="H408" s="68" t="n"/>
      <c r="I408" s="70">
        <f>IF($A408="","",R407)</f>
        <v/>
      </c>
      <c r="J408" s="71">
        <f>IF($A408="","",IF(C408="",0,C408))</f>
        <v/>
      </c>
      <c r="K408" s="71">
        <f>IF($A408="","",IF(E408="",0,E408))</f>
        <v/>
      </c>
      <c r="L408" s="70">
        <f>IF($A408="","",B408-D408)</f>
        <v/>
      </c>
      <c r="M408" s="71">
        <f>IF($A408="","",J408-K408)</f>
        <v/>
      </c>
      <c r="N408" s="71">
        <f>IF($A408="","",IF(G408="",0,G408))</f>
        <v/>
      </c>
      <c r="O408" s="70">
        <f>IF($A408="","",D408+F408)</f>
        <v/>
      </c>
      <c r="P408" s="71">
        <f>IF($A408="","",K408+N408)</f>
        <v/>
      </c>
      <c r="Q408" s="70">
        <f>IF($A408="","",I408+L408-F408)</f>
        <v/>
      </c>
      <c r="R408" s="72">
        <f>IF($A408="","",IF(H408="",Q408,H408))</f>
        <v/>
      </c>
      <c r="S408" s="73">
        <f>IF($A408="","",R408-Q408)</f>
        <v/>
      </c>
      <c r="T408" s="70">
        <f>IF($A408="","",SUMIFS($B$5:$B$800,$A$5:$A$800,"&gt;="&amp;DATE(YEAR($A408),MONTH($A408),1),$A$5:$A$800,"&lt;="&amp;$A408)+IF(AND(YEAR($A408)=YEAR(Settings!$B$3),MONTH($A408)=MONTH(Settings!$B$3)),Settings!$B$6,0))</f>
        <v/>
      </c>
      <c r="U408" s="71">
        <f>IF($A408="","",SUMIFS($J$5:$J$800,$A$5:$A$800,"&gt;="&amp;DATE(YEAR($A408),MONTH($A408),1),$A$5:$A$800,"&lt;="&amp;$A408)+IF(AND(YEAR($A408)=YEAR(Settings!$B$3),MONTH($A408)=MONTH(Settings!$B$3)),Settings!$B$7,0))</f>
        <v/>
      </c>
      <c r="V408" s="70">
        <f>IF($A408="","",Settings!$B$8+SUM($B$5:B408))</f>
        <v/>
      </c>
      <c r="W408" s="71">
        <f>IF($A408="","",Settings!$B$9+SUM($J$5:J408))</f>
        <v/>
      </c>
      <c r="X408" s="71">
        <f>IF($A408="","",IF(AND(N408&gt;0,F408&gt;0),ROUND(F408/N408,0),X407))</f>
        <v/>
      </c>
      <c r="Y408" s="74">
        <f>IF($A408="","",IF(AND(M408&gt;0,L408&gt;0),ROUND(L408/M408,0),IF(AND(J408&gt;0,B408&gt;0),ROUND(B408/J408,0),Y407)))</f>
        <v/>
      </c>
    </row>
    <row r="409">
      <c r="A409" s="67" t="n"/>
      <c r="B409" s="68" t="n"/>
      <c r="C409" s="69" t="n"/>
      <c r="D409" s="68" t="n"/>
      <c r="E409" s="69" t="n"/>
      <c r="F409" s="68" t="n"/>
      <c r="G409" s="69" t="n"/>
      <c r="H409" s="68" t="n"/>
      <c r="I409" s="70">
        <f>IF($A409="","",R408)</f>
        <v/>
      </c>
      <c r="J409" s="71">
        <f>IF($A409="","",IF(C409="",0,C409))</f>
        <v/>
      </c>
      <c r="K409" s="71">
        <f>IF($A409="","",IF(E409="",0,E409))</f>
        <v/>
      </c>
      <c r="L409" s="70">
        <f>IF($A409="","",B409-D409)</f>
        <v/>
      </c>
      <c r="M409" s="71">
        <f>IF($A409="","",J409-K409)</f>
        <v/>
      </c>
      <c r="N409" s="71">
        <f>IF($A409="","",IF(G409="",0,G409))</f>
        <v/>
      </c>
      <c r="O409" s="70">
        <f>IF($A409="","",D409+F409)</f>
        <v/>
      </c>
      <c r="P409" s="71">
        <f>IF($A409="","",K409+N409)</f>
        <v/>
      </c>
      <c r="Q409" s="70">
        <f>IF($A409="","",I409+L409-F409)</f>
        <v/>
      </c>
      <c r="R409" s="72">
        <f>IF($A409="","",IF(H409="",Q409,H409))</f>
        <v/>
      </c>
      <c r="S409" s="73">
        <f>IF($A409="","",R409-Q409)</f>
        <v/>
      </c>
      <c r="T409" s="70">
        <f>IF($A409="","",SUMIFS($B$5:$B$800,$A$5:$A$800,"&gt;="&amp;DATE(YEAR($A409),MONTH($A409),1),$A$5:$A$800,"&lt;="&amp;$A409)+IF(AND(YEAR($A409)=YEAR(Settings!$B$3),MONTH($A409)=MONTH(Settings!$B$3)),Settings!$B$6,0))</f>
        <v/>
      </c>
      <c r="U409" s="71">
        <f>IF($A409="","",SUMIFS($J$5:$J$800,$A$5:$A$800,"&gt;="&amp;DATE(YEAR($A409),MONTH($A409),1),$A$5:$A$800,"&lt;="&amp;$A409)+IF(AND(YEAR($A409)=YEAR(Settings!$B$3),MONTH($A409)=MONTH(Settings!$B$3)),Settings!$B$7,0))</f>
        <v/>
      </c>
      <c r="V409" s="70">
        <f>IF($A409="","",Settings!$B$8+SUM($B$5:B409))</f>
        <v/>
      </c>
      <c r="W409" s="71">
        <f>IF($A409="","",Settings!$B$9+SUM($J$5:J409))</f>
        <v/>
      </c>
      <c r="X409" s="71">
        <f>IF($A409="","",IF(AND(N409&gt;0,F409&gt;0),ROUND(F409/N409,0),X408))</f>
        <v/>
      </c>
      <c r="Y409" s="74">
        <f>IF($A409="","",IF(AND(M409&gt;0,L409&gt;0),ROUND(L409/M409,0),IF(AND(J409&gt;0,B409&gt;0),ROUND(B409/J409,0),Y408)))</f>
        <v/>
      </c>
    </row>
    <row r="410">
      <c r="A410" s="67" t="n"/>
      <c r="B410" s="68" t="n"/>
      <c r="C410" s="69" t="n"/>
      <c r="D410" s="68" t="n"/>
      <c r="E410" s="69" t="n"/>
      <c r="F410" s="68" t="n"/>
      <c r="G410" s="69" t="n"/>
      <c r="H410" s="68" t="n"/>
      <c r="I410" s="70">
        <f>IF($A410="","",R409)</f>
        <v/>
      </c>
      <c r="J410" s="71">
        <f>IF($A410="","",IF(C410="",0,C410))</f>
        <v/>
      </c>
      <c r="K410" s="71">
        <f>IF($A410="","",IF(E410="",0,E410))</f>
        <v/>
      </c>
      <c r="L410" s="70">
        <f>IF($A410="","",B410-D410)</f>
        <v/>
      </c>
      <c r="M410" s="71">
        <f>IF($A410="","",J410-K410)</f>
        <v/>
      </c>
      <c r="N410" s="71">
        <f>IF($A410="","",IF(G410="",0,G410))</f>
        <v/>
      </c>
      <c r="O410" s="70">
        <f>IF($A410="","",D410+F410)</f>
        <v/>
      </c>
      <c r="P410" s="71">
        <f>IF($A410="","",K410+N410)</f>
        <v/>
      </c>
      <c r="Q410" s="70">
        <f>IF($A410="","",I410+L410-F410)</f>
        <v/>
      </c>
      <c r="R410" s="72">
        <f>IF($A410="","",IF(H410="",Q410,H410))</f>
        <v/>
      </c>
      <c r="S410" s="73">
        <f>IF($A410="","",R410-Q410)</f>
        <v/>
      </c>
      <c r="T410" s="70">
        <f>IF($A410="","",SUMIFS($B$5:$B$800,$A$5:$A$800,"&gt;="&amp;DATE(YEAR($A410),MONTH($A410),1),$A$5:$A$800,"&lt;="&amp;$A410)+IF(AND(YEAR($A410)=YEAR(Settings!$B$3),MONTH($A410)=MONTH(Settings!$B$3)),Settings!$B$6,0))</f>
        <v/>
      </c>
      <c r="U410" s="71">
        <f>IF($A410="","",SUMIFS($J$5:$J$800,$A$5:$A$800,"&gt;="&amp;DATE(YEAR($A410),MONTH($A410),1),$A$5:$A$800,"&lt;="&amp;$A410)+IF(AND(YEAR($A410)=YEAR(Settings!$B$3),MONTH($A410)=MONTH(Settings!$B$3)),Settings!$B$7,0))</f>
        <v/>
      </c>
      <c r="V410" s="70">
        <f>IF($A410="","",Settings!$B$8+SUM($B$5:B410))</f>
        <v/>
      </c>
      <c r="W410" s="71">
        <f>IF($A410="","",Settings!$B$9+SUM($J$5:J410))</f>
        <v/>
      </c>
      <c r="X410" s="71">
        <f>IF($A410="","",IF(AND(N410&gt;0,F410&gt;0),ROUND(F410/N410,0),X409))</f>
        <v/>
      </c>
      <c r="Y410" s="74">
        <f>IF($A410="","",IF(AND(M410&gt;0,L410&gt;0),ROUND(L410/M410,0),IF(AND(J410&gt;0,B410&gt;0),ROUND(B410/J410,0),Y409)))</f>
        <v/>
      </c>
    </row>
    <row r="411">
      <c r="A411" s="67" t="n"/>
      <c r="B411" s="68" t="n"/>
      <c r="C411" s="69" t="n"/>
      <c r="D411" s="68" t="n"/>
      <c r="E411" s="69" t="n"/>
      <c r="F411" s="68" t="n"/>
      <c r="G411" s="69" t="n"/>
      <c r="H411" s="68" t="n"/>
      <c r="I411" s="70">
        <f>IF($A411="","",R410)</f>
        <v/>
      </c>
      <c r="J411" s="71">
        <f>IF($A411="","",IF(C411="",0,C411))</f>
        <v/>
      </c>
      <c r="K411" s="71">
        <f>IF($A411="","",IF(E411="",0,E411))</f>
        <v/>
      </c>
      <c r="L411" s="70">
        <f>IF($A411="","",B411-D411)</f>
        <v/>
      </c>
      <c r="M411" s="71">
        <f>IF($A411="","",J411-K411)</f>
        <v/>
      </c>
      <c r="N411" s="71">
        <f>IF($A411="","",IF(G411="",0,G411))</f>
        <v/>
      </c>
      <c r="O411" s="70">
        <f>IF($A411="","",D411+F411)</f>
        <v/>
      </c>
      <c r="P411" s="71">
        <f>IF($A411="","",K411+N411)</f>
        <v/>
      </c>
      <c r="Q411" s="70">
        <f>IF($A411="","",I411+L411-F411)</f>
        <v/>
      </c>
      <c r="R411" s="72">
        <f>IF($A411="","",IF(H411="",Q411,H411))</f>
        <v/>
      </c>
      <c r="S411" s="73">
        <f>IF($A411="","",R411-Q411)</f>
        <v/>
      </c>
      <c r="T411" s="70">
        <f>IF($A411="","",SUMIFS($B$5:$B$800,$A$5:$A$800,"&gt;="&amp;DATE(YEAR($A411),MONTH($A411),1),$A$5:$A$800,"&lt;="&amp;$A411)+IF(AND(YEAR($A411)=YEAR(Settings!$B$3),MONTH($A411)=MONTH(Settings!$B$3)),Settings!$B$6,0))</f>
        <v/>
      </c>
      <c r="U411" s="71">
        <f>IF($A411="","",SUMIFS($J$5:$J$800,$A$5:$A$800,"&gt;="&amp;DATE(YEAR($A411),MONTH($A411),1),$A$5:$A$800,"&lt;="&amp;$A411)+IF(AND(YEAR($A411)=YEAR(Settings!$B$3),MONTH($A411)=MONTH(Settings!$B$3)),Settings!$B$7,0))</f>
        <v/>
      </c>
      <c r="V411" s="70">
        <f>IF($A411="","",Settings!$B$8+SUM($B$5:B411))</f>
        <v/>
      </c>
      <c r="W411" s="71">
        <f>IF($A411="","",Settings!$B$9+SUM($J$5:J411))</f>
        <v/>
      </c>
      <c r="X411" s="71">
        <f>IF($A411="","",IF(AND(N411&gt;0,F411&gt;0),ROUND(F411/N411,0),X410))</f>
        <v/>
      </c>
      <c r="Y411" s="74">
        <f>IF($A411="","",IF(AND(M411&gt;0,L411&gt;0),ROUND(L411/M411,0),IF(AND(J411&gt;0,B411&gt;0),ROUND(B411/J411,0),Y410)))</f>
        <v/>
      </c>
    </row>
    <row r="412">
      <c r="A412" s="67" t="n"/>
      <c r="B412" s="68" t="n"/>
      <c r="C412" s="69" t="n"/>
      <c r="D412" s="68" t="n"/>
      <c r="E412" s="69" t="n"/>
      <c r="F412" s="68" t="n"/>
      <c r="G412" s="69" t="n"/>
      <c r="H412" s="68" t="n"/>
      <c r="I412" s="70">
        <f>IF($A412="","",R411)</f>
        <v/>
      </c>
      <c r="J412" s="71">
        <f>IF($A412="","",IF(C412="",0,C412))</f>
        <v/>
      </c>
      <c r="K412" s="71">
        <f>IF($A412="","",IF(E412="",0,E412))</f>
        <v/>
      </c>
      <c r="L412" s="70">
        <f>IF($A412="","",B412-D412)</f>
        <v/>
      </c>
      <c r="M412" s="71">
        <f>IF($A412="","",J412-K412)</f>
        <v/>
      </c>
      <c r="N412" s="71">
        <f>IF($A412="","",IF(G412="",0,G412))</f>
        <v/>
      </c>
      <c r="O412" s="70">
        <f>IF($A412="","",D412+F412)</f>
        <v/>
      </c>
      <c r="P412" s="71">
        <f>IF($A412="","",K412+N412)</f>
        <v/>
      </c>
      <c r="Q412" s="70">
        <f>IF($A412="","",I412+L412-F412)</f>
        <v/>
      </c>
      <c r="R412" s="72">
        <f>IF($A412="","",IF(H412="",Q412,H412))</f>
        <v/>
      </c>
      <c r="S412" s="73">
        <f>IF($A412="","",R412-Q412)</f>
        <v/>
      </c>
      <c r="T412" s="70">
        <f>IF($A412="","",SUMIFS($B$5:$B$800,$A$5:$A$800,"&gt;="&amp;DATE(YEAR($A412),MONTH($A412),1),$A$5:$A$800,"&lt;="&amp;$A412)+IF(AND(YEAR($A412)=YEAR(Settings!$B$3),MONTH($A412)=MONTH(Settings!$B$3)),Settings!$B$6,0))</f>
        <v/>
      </c>
      <c r="U412" s="71">
        <f>IF($A412="","",SUMIFS($J$5:$J$800,$A$5:$A$800,"&gt;="&amp;DATE(YEAR($A412),MONTH($A412),1),$A$5:$A$800,"&lt;="&amp;$A412)+IF(AND(YEAR($A412)=YEAR(Settings!$B$3),MONTH($A412)=MONTH(Settings!$B$3)),Settings!$B$7,0))</f>
        <v/>
      </c>
      <c r="V412" s="70">
        <f>IF($A412="","",Settings!$B$8+SUM($B$5:B412))</f>
        <v/>
      </c>
      <c r="W412" s="71">
        <f>IF($A412="","",Settings!$B$9+SUM($J$5:J412))</f>
        <v/>
      </c>
      <c r="X412" s="71">
        <f>IF($A412="","",IF(AND(N412&gt;0,F412&gt;0),ROUND(F412/N412,0),X411))</f>
        <v/>
      </c>
      <c r="Y412" s="74">
        <f>IF($A412="","",IF(AND(M412&gt;0,L412&gt;0),ROUND(L412/M412,0),IF(AND(J412&gt;0,B412&gt;0),ROUND(B412/J412,0),Y411)))</f>
        <v/>
      </c>
    </row>
    <row r="413">
      <c r="A413" s="67" t="n"/>
      <c r="B413" s="68" t="n"/>
      <c r="C413" s="69" t="n"/>
      <c r="D413" s="68" t="n"/>
      <c r="E413" s="69" t="n"/>
      <c r="F413" s="68" t="n"/>
      <c r="G413" s="69" t="n"/>
      <c r="H413" s="68" t="n"/>
      <c r="I413" s="70">
        <f>IF($A413="","",R412)</f>
        <v/>
      </c>
      <c r="J413" s="71">
        <f>IF($A413="","",IF(C413="",0,C413))</f>
        <v/>
      </c>
      <c r="K413" s="71">
        <f>IF($A413="","",IF(E413="",0,E413))</f>
        <v/>
      </c>
      <c r="L413" s="70">
        <f>IF($A413="","",B413-D413)</f>
        <v/>
      </c>
      <c r="M413" s="71">
        <f>IF($A413="","",J413-K413)</f>
        <v/>
      </c>
      <c r="N413" s="71">
        <f>IF($A413="","",IF(G413="",0,G413))</f>
        <v/>
      </c>
      <c r="O413" s="70">
        <f>IF($A413="","",D413+F413)</f>
        <v/>
      </c>
      <c r="P413" s="71">
        <f>IF($A413="","",K413+N413)</f>
        <v/>
      </c>
      <c r="Q413" s="70">
        <f>IF($A413="","",I413+L413-F413)</f>
        <v/>
      </c>
      <c r="R413" s="72">
        <f>IF($A413="","",IF(H413="",Q413,H413))</f>
        <v/>
      </c>
      <c r="S413" s="73">
        <f>IF($A413="","",R413-Q413)</f>
        <v/>
      </c>
      <c r="T413" s="70">
        <f>IF($A413="","",SUMIFS($B$5:$B$800,$A$5:$A$800,"&gt;="&amp;DATE(YEAR($A413),MONTH($A413),1),$A$5:$A$800,"&lt;="&amp;$A413)+IF(AND(YEAR($A413)=YEAR(Settings!$B$3),MONTH($A413)=MONTH(Settings!$B$3)),Settings!$B$6,0))</f>
        <v/>
      </c>
      <c r="U413" s="71">
        <f>IF($A413="","",SUMIFS($J$5:$J$800,$A$5:$A$800,"&gt;="&amp;DATE(YEAR($A413),MONTH($A413),1),$A$5:$A$800,"&lt;="&amp;$A413)+IF(AND(YEAR($A413)=YEAR(Settings!$B$3),MONTH($A413)=MONTH(Settings!$B$3)),Settings!$B$7,0))</f>
        <v/>
      </c>
      <c r="V413" s="70">
        <f>IF($A413="","",Settings!$B$8+SUM($B$5:B413))</f>
        <v/>
      </c>
      <c r="W413" s="71">
        <f>IF($A413="","",Settings!$B$9+SUM($J$5:J413))</f>
        <v/>
      </c>
      <c r="X413" s="71">
        <f>IF($A413="","",IF(AND(N413&gt;0,F413&gt;0),ROUND(F413/N413,0),X412))</f>
        <v/>
      </c>
      <c r="Y413" s="74">
        <f>IF($A413="","",IF(AND(M413&gt;0,L413&gt;0),ROUND(L413/M413,0),IF(AND(J413&gt;0,B413&gt;0),ROUND(B413/J413,0),Y412)))</f>
        <v/>
      </c>
    </row>
    <row r="414">
      <c r="A414" s="67" t="n"/>
      <c r="B414" s="68" t="n"/>
      <c r="C414" s="69" t="n"/>
      <c r="D414" s="68" t="n"/>
      <c r="E414" s="69" t="n"/>
      <c r="F414" s="68" t="n"/>
      <c r="G414" s="69" t="n"/>
      <c r="H414" s="68" t="n"/>
      <c r="I414" s="70">
        <f>IF($A414="","",R413)</f>
        <v/>
      </c>
      <c r="J414" s="71">
        <f>IF($A414="","",IF(C414="",0,C414))</f>
        <v/>
      </c>
      <c r="K414" s="71">
        <f>IF($A414="","",IF(E414="",0,E414))</f>
        <v/>
      </c>
      <c r="L414" s="70">
        <f>IF($A414="","",B414-D414)</f>
        <v/>
      </c>
      <c r="M414" s="71">
        <f>IF($A414="","",J414-K414)</f>
        <v/>
      </c>
      <c r="N414" s="71">
        <f>IF($A414="","",IF(G414="",0,G414))</f>
        <v/>
      </c>
      <c r="O414" s="70">
        <f>IF($A414="","",D414+F414)</f>
        <v/>
      </c>
      <c r="P414" s="71">
        <f>IF($A414="","",K414+N414)</f>
        <v/>
      </c>
      <c r="Q414" s="70">
        <f>IF($A414="","",I414+L414-F414)</f>
        <v/>
      </c>
      <c r="R414" s="72">
        <f>IF($A414="","",IF(H414="",Q414,H414))</f>
        <v/>
      </c>
      <c r="S414" s="73">
        <f>IF($A414="","",R414-Q414)</f>
        <v/>
      </c>
      <c r="T414" s="70">
        <f>IF($A414="","",SUMIFS($B$5:$B$800,$A$5:$A$800,"&gt;="&amp;DATE(YEAR($A414),MONTH($A414),1),$A$5:$A$800,"&lt;="&amp;$A414)+IF(AND(YEAR($A414)=YEAR(Settings!$B$3),MONTH($A414)=MONTH(Settings!$B$3)),Settings!$B$6,0))</f>
        <v/>
      </c>
      <c r="U414" s="71">
        <f>IF($A414="","",SUMIFS($J$5:$J$800,$A$5:$A$800,"&gt;="&amp;DATE(YEAR($A414),MONTH($A414),1),$A$5:$A$800,"&lt;="&amp;$A414)+IF(AND(YEAR($A414)=YEAR(Settings!$B$3),MONTH($A414)=MONTH(Settings!$B$3)),Settings!$B$7,0))</f>
        <v/>
      </c>
      <c r="V414" s="70">
        <f>IF($A414="","",Settings!$B$8+SUM($B$5:B414))</f>
        <v/>
      </c>
      <c r="W414" s="71">
        <f>IF($A414="","",Settings!$B$9+SUM($J$5:J414))</f>
        <v/>
      </c>
      <c r="X414" s="71">
        <f>IF($A414="","",IF(AND(N414&gt;0,F414&gt;0),ROUND(F414/N414,0),X413))</f>
        <v/>
      </c>
      <c r="Y414" s="74">
        <f>IF($A414="","",IF(AND(M414&gt;0,L414&gt;0),ROUND(L414/M414,0),IF(AND(J414&gt;0,B414&gt;0),ROUND(B414/J414,0),Y413)))</f>
        <v/>
      </c>
    </row>
    <row r="415">
      <c r="A415" s="67" t="n"/>
      <c r="B415" s="68" t="n"/>
      <c r="C415" s="69" t="n"/>
      <c r="D415" s="68" t="n"/>
      <c r="E415" s="69" t="n"/>
      <c r="F415" s="68" t="n"/>
      <c r="G415" s="69" t="n"/>
      <c r="H415" s="68" t="n"/>
      <c r="I415" s="70">
        <f>IF($A415="","",R414)</f>
        <v/>
      </c>
      <c r="J415" s="71">
        <f>IF($A415="","",IF(C415="",0,C415))</f>
        <v/>
      </c>
      <c r="K415" s="71">
        <f>IF($A415="","",IF(E415="",0,E415))</f>
        <v/>
      </c>
      <c r="L415" s="70">
        <f>IF($A415="","",B415-D415)</f>
        <v/>
      </c>
      <c r="M415" s="71">
        <f>IF($A415="","",J415-K415)</f>
        <v/>
      </c>
      <c r="N415" s="71">
        <f>IF($A415="","",IF(G415="",0,G415))</f>
        <v/>
      </c>
      <c r="O415" s="70">
        <f>IF($A415="","",D415+F415)</f>
        <v/>
      </c>
      <c r="P415" s="71">
        <f>IF($A415="","",K415+N415)</f>
        <v/>
      </c>
      <c r="Q415" s="70">
        <f>IF($A415="","",I415+L415-F415)</f>
        <v/>
      </c>
      <c r="R415" s="72">
        <f>IF($A415="","",IF(H415="",Q415,H415))</f>
        <v/>
      </c>
      <c r="S415" s="73">
        <f>IF($A415="","",R415-Q415)</f>
        <v/>
      </c>
      <c r="T415" s="70">
        <f>IF($A415="","",SUMIFS($B$5:$B$800,$A$5:$A$800,"&gt;="&amp;DATE(YEAR($A415),MONTH($A415),1),$A$5:$A$800,"&lt;="&amp;$A415)+IF(AND(YEAR($A415)=YEAR(Settings!$B$3),MONTH($A415)=MONTH(Settings!$B$3)),Settings!$B$6,0))</f>
        <v/>
      </c>
      <c r="U415" s="71">
        <f>IF($A415="","",SUMIFS($J$5:$J$800,$A$5:$A$800,"&gt;="&amp;DATE(YEAR($A415),MONTH($A415),1),$A$5:$A$800,"&lt;="&amp;$A415)+IF(AND(YEAR($A415)=YEAR(Settings!$B$3),MONTH($A415)=MONTH(Settings!$B$3)),Settings!$B$7,0))</f>
        <v/>
      </c>
      <c r="V415" s="70">
        <f>IF($A415="","",Settings!$B$8+SUM($B$5:B415))</f>
        <v/>
      </c>
      <c r="W415" s="71">
        <f>IF($A415="","",Settings!$B$9+SUM($J$5:J415))</f>
        <v/>
      </c>
      <c r="X415" s="71">
        <f>IF($A415="","",IF(AND(N415&gt;0,F415&gt;0),ROUND(F415/N415,0),X414))</f>
        <v/>
      </c>
      <c r="Y415" s="74">
        <f>IF($A415="","",IF(AND(M415&gt;0,L415&gt;0),ROUND(L415/M415,0),IF(AND(J415&gt;0,B415&gt;0),ROUND(B415/J415,0),Y414)))</f>
        <v/>
      </c>
    </row>
    <row r="416">
      <c r="A416" s="67" t="n"/>
      <c r="B416" s="68" t="n"/>
      <c r="C416" s="69" t="n"/>
      <c r="D416" s="68" t="n"/>
      <c r="E416" s="69" t="n"/>
      <c r="F416" s="68" t="n"/>
      <c r="G416" s="69" t="n"/>
      <c r="H416" s="68" t="n"/>
      <c r="I416" s="70">
        <f>IF($A416="","",R415)</f>
        <v/>
      </c>
      <c r="J416" s="71">
        <f>IF($A416="","",IF(C416="",0,C416))</f>
        <v/>
      </c>
      <c r="K416" s="71">
        <f>IF($A416="","",IF(E416="",0,E416))</f>
        <v/>
      </c>
      <c r="L416" s="70">
        <f>IF($A416="","",B416-D416)</f>
        <v/>
      </c>
      <c r="M416" s="71">
        <f>IF($A416="","",J416-K416)</f>
        <v/>
      </c>
      <c r="N416" s="71">
        <f>IF($A416="","",IF(G416="",0,G416))</f>
        <v/>
      </c>
      <c r="O416" s="70">
        <f>IF($A416="","",D416+F416)</f>
        <v/>
      </c>
      <c r="P416" s="71">
        <f>IF($A416="","",K416+N416)</f>
        <v/>
      </c>
      <c r="Q416" s="70">
        <f>IF($A416="","",I416+L416-F416)</f>
        <v/>
      </c>
      <c r="R416" s="72">
        <f>IF($A416="","",IF(H416="",Q416,H416))</f>
        <v/>
      </c>
      <c r="S416" s="73">
        <f>IF($A416="","",R416-Q416)</f>
        <v/>
      </c>
      <c r="T416" s="70">
        <f>IF($A416="","",SUMIFS($B$5:$B$800,$A$5:$A$800,"&gt;="&amp;DATE(YEAR($A416),MONTH($A416),1),$A$5:$A$800,"&lt;="&amp;$A416)+IF(AND(YEAR($A416)=YEAR(Settings!$B$3),MONTH($A416)=MONTH(Settings!$B$3)),Settings!$B$6,0))</f>
        <v/>
      </c>
      <c r="U416" s="71">
        <f>IF($A416="","",SUMIFS($J$5:$J$800,$A$5:$A$800,"&gt;="&amp;DATE(YEAR($A416),MONTH($A416),1),$A$5:$A$800,"&lt;="&amp;$A416)+IF(AND(YEAR($A416)=YEAR(Settings!$B$3),MONTH($A416)=MONTH(Settings!$B$3)),Settings!$B$7,0))</f>
        <v/>
      </c>
      <c r="V416" s="70">
        <f>IF($A416="","",Settings!$B$8+SUM($B$5:B416))</f>
        <v/>
      </c>
      <c r="W416" s="71">
        <f>IF($A416="","",Settings!$B$9+SUM($J$5:J416))</f>
        <v/>
      </c>
      <c r="X416" s="71">
        <f>IF($A416="","",IF(AND(N416&gt;0,F416&gt;0),ROUND(F416/N416,0),X415))</f>
        <v/>
      </c>
      <c r="Y416" s="74">
        <f>IF($A416="","",IF(AND(M416&gt;0,L416&gt;0),ROUND(L416/M416,0),IF(AND(J416&gt;0,B416&gt;0),ROUND(B416/J416,0),Y415)))</f>
        <v/>
      </c>
    </row>
    <row r="417">
      <c r="A417" s="67" t="n"/>
      <c r="B417" s="68" t="n"/>
      <c r="C417" s="69" t="n"/>
      <c r="D417" s="68" t="n"/>
      <c r="E417" s="69" t="n"/>
      <c r="F417" s="68" t="n"/>
      <c r="G417" s="69" t="n"/>
      <c r="H417" s="68" t="n"/>
      <c r="I417" s="70">
        <f>IF($A417="","",R416)</f>
        <v/>
      </c>
      <c r="J417" s="71">
        <f>IF($A417="","",IF(C417="",0,C417))</f>
        <v/>
      </c>
      <c r="K417" s="71">
        <f>IF($A417="","",IF(E417="",0,E417))</f>
        <v/>
      </c>
      <c r="L417" s="70">
        <f>IF($A417="","",B417-D417)</f>
        <v/>
      </c>
      <c r="M417" s="71">
        <f>IF($A417="","",J417-K417)</f>
        <v/>
      </c>
      <c r="N417" s="71">
        <f>IF($A417="","",IF(G417="",0,G417))</f>
        <v/>
      </c>
      <c r="O417" s="70">
        <f>IF($A417="","",D417+F417)</f>
        <v/>
      </c>
      <c r="P417" s="71">
        <f>IF($A417="","",K417+N417)</f>
        <v/>
      </c>
      <c r="Q417" s="70">
        <f>IF($A417="","",I417+L417-F417)</f>
        <v/>
      </c>
      <c r="R417" s="72">
        <f>IF($A417="","",IF(H417="",Q417,H417))</f>
        <v/>
      </c>
      <c r="S417" s="73">
        <f>IF($A417="","",R417-Q417)</f>
        <v/>
      </c>
      <c r="T417" s="70">
        <f>IF($A417="","",SUMIFS($B$5:$B$800,$A$5:$A$800,"&gt;="&amp;DATE(YEAR($A417),MONTH($A417),1),$A$5:$A$800,"&lt;="&amp;$A417)+IF(AND(YEAR($A417)=YEAR(Settings!$B$3),MONTH($A417)=MONTH(Settings!$B$3)),Settings!$B$6,0))</f>
        <v/>
      </c>
      <c r="U417" s="71">
        <f>IF($A417="","",SUMIFS($J$5:$J$800,$A$5:$A$800,"&gt;="&amp;DATE(YEAR($A417),MONTH($A417),1),$A$5:$A$800,"&lt;="&amp;$A417)+IF(AND(YEAR($A417)=YEAR(Settings!$B$3),MONTH($A417)=MONTH(Settings!$B$3)),Settings!$B$7,0))</f>
        <v/>
      </c>
      <c r="V417" s="70">
        <f>IF($A417="","",Settings!$B$8+SUM($B$5:B417))</f>
        <v/>
      </c>
      <c r="W417" s="71">
        <f>IF($A417="","",Settings!$B$9+SUM($J$5:J417))</f>
        <v/>
      </c>
      <c r="X417" s="71">
        <f>IF($A417="","",IF(AND(N417&gt;0,F417&gt;0),ROUND(F417/N417,0),X416))</f>
        <v/>
      </c>
      <c r="Y417" s="74">
        <f>IF($A417="","",IF(AND(M417&gt;0,L417&gt;0),ROUND(L417/M417,0),IF(AND(J417&gt;0,B417&gt;0),ROUND(B417/J417,0),Y416)))</f>
        <v/>
      </c>
    </row>
    <row r="418">
      <c r="A418" s="67" t="n"/>
      <c r="B418" s="68" t="n"/>
      <c r="C418" s="69" t="n"/>
      <c r="D418" s="68" t="n"/>
      <c r="E418" s="69" t="n"/>
      <c r="F418" s="68" t="n"/>
      <c r="G418" s="69" t="n"/>
      <c r="H418" s="68" t="n"/>
      <c r="I418" s="70">
        <f>IF($A418="","",R417)</f>
        <v/>
      </c>
      <c r="J418" s="71">
        <f>IF($A418="","",IF(C418="",0,C418))</f>
        <v/>
      </c>
      <c r="K418" s="71">
        <f>IF($A418="","",IF(E418="",0,E418))</f>
        <v/>
      </c>
      <c r="L418" s="70">
        <f>IF($A418="","",B418-D418)</f>
        <v/>
      </c>
      <c r="M418" s="71">
        <f>IF($A418="","",J418-K418)</f>
        <v/>
      </c>
      <c r="N418" s="71">
        <f>IF($A418="","",IF(G418="",0,G418))</f>
        <v/>
      </c>
      <c r="O418" s="70">
        <f>IF($A418="","",D418+F418)</f>
        <v/>
      </c>
      <c r="P418" s="71">
        <f>IF($A418="","",K418+N418)</f>
        <v/>
      </c>
      <c r="Q418" s="70">
        <f>IF($A418="","",I418+L418-F418)</f>
        <v/>
      </c>
      <c r="R418" s="72">
        <f>IF($A418="","",IF(H418="",Q418,H418))</f>
        <v/>
      </c>
      <c r="S418" s="73">
        <f>IF($A418="","",R418-Q418)</f>
        <v/>
      </c>
      <c r="T418" s="70">
        <f>IF($A418="","",SUMIFS($B$5:$B$800,$A$5:$A$800,"&gt;="&amp;DATE(YEAR($A418),MONTH($A418),1),$A$5:$A$800,"&lt;="&amp;$A418)+IF(AND(YEAR($A418)=YEAR(Settings!$B$3),MONTH($A418)=MONTH(Settings!$B$3)),Settings!$B$6,0))</f>
        <v/>
      </c>
      <c r="U418" s="71">
        <f>IF($A418="","",SUMIFS($J$5:$J$800,$A$5:$A$800,"&gt;="&amp;DATE(YEAR($A418),MONTH($A418),1),$A$5:$A$800,"&lt;="&amp;$A418)+IF(AND(YEAR($A418)=YEAR(Settings!$B$3),MONTH($A418)=MONTH(Settings!$B$3)),Settings!$B$7,0))</f>
        <v/>
      </c>
      <c r="V418" s="70">
        <f>IF($A418="","",Settings!$B$8+SUM($B$5:B418))</f>
        <v/>
      </c>
      <c r="W418" s="71">
        <f>IF($A418="","",Settings!$B$9+SUM($J$5:J418))</f>
        <v/>
      </c>
      <c r="X418" s="71">
        <f>IF($A418="","",IF(AND(N418&gt;0,F418&gt;0),ROUND(F418/N418,0),X417))</f>
        <v/>
      </c>
      <c r="Y418" s="74">
        <f>IF($A418="","",IF(AND(M418&gt;0,L418&gt;0),ROUND(L418/M418,0),IF(AND(J418&gt;0,B418&gt;0),ROUND(B418/J418,0),Y417)))</f>
        <v/>
      </c>
    </row>
    <row r="419">
      <c r="A419" s="67" t="n"/>
      <c r="B419" s="68" t="n"/>
      <c r="C419" s="69" t="n"/>
      <c r="D419" s="68" t="n"/>
      <c r="E419" s="69" t="n"/>
      <c r="F419" s="68" t="n"/>
      <c r="G419" s="69" t="n"/>
      <c r="H419" s="68" t="n"/>
      <c r="I419" s="70">
        <f>IF($A419="","",R418)</f>
        <v/>
      </c>
      <c r="J419" s="71">
        <f>IF($A419="","",IF(C419="",0,C419))</f>
        <v/>
      </c>
      <c r="K419" s="71">
        <f>IF($A419="","",IF(E419="",0,E419))</f>
        <v/>
      </c>
      <c r="L419" s="70">
        <f>IF($A419="","",B419-D419)</f>
        <v/>
      </c>
      <c r="M419" s="71">
        <f>IF($A419="","",J419-K419)</f>
        <v/>
      </c>
      <c r="N419" s="71">
        <f>IF($A419="","",IF(G419="",0,G419))</f>
        <v/>
      </c>
      <c r="O419" s="70">
        <f>IF($A419="","",D419+F419)</f>
        <v/>
      </c>
      <c r="P419" s="71">
        <f>IF($A419="","",K419+N419)</f>
        <v/>
      </c>
      <c r="Q419" s="70">
        <f>IF($A419="","",I419+L419-F419)</f>
        <v/>
      </c>
      <c r="R419" s="72">
        <f>IF($A419="","",IF(H419="",Q419,H419))</f>
        <v/>
      </c>
      <c r="S419" s="73">
        <f>IF($A419="","",R419-Q419)</f>
        <v/>
      </c>
      <c r="T419" s="70">
        <f>IF($A419="","",SUMIFS($B$5:$B$800,$A$5:$A$800,"&gt;="&amp;DATE(YEAR($A419),MONTH($A419),1),$A$5:$A$800,"&lt;="&amp;$A419)+IF(AND(YEAR($A419)=YEAR(Settings!$B$3),MONTH($A419)=MONTH(Settings!$B$3)),Settings!$B$6,0))</f>
        <v/>
      </c>
      <c r="U419" s="71">
        <f>IF($A419="","",SUMIFS($J$5:$J$800,$A$5:$A$800,"&gt;="&amp;DATE(YEAR($A419),MONTH($A419),1),$A$5:$A$800,"&lt;="&amp;$A419)+IF(AND(YEAR($A419)=YEAR(Settings!$B$3),MONTH($A419)=MONTH(Settings!$B$3)),Settings!$B$7,0))</f>
        <v/>
      </c>
      <c r="V419" s="70">
        <f>IF($A419="","",Settings!$B$8+SUM($B$5:B419))</f>
        <v/>
      </c>
      <c r="W419" s="71">
        <f>IF($A419="","",Settings!$B$9+SUM($J$5:J419))</f>
        <v/>
      </c>
      <c r="X419" s="71">
        <f>IF($A419="","",IF(AND(N419&gt;0,F419&gt;0),ROUND(F419/N419,0),X418))</f>
        <v/>
      </c>
      <c r="Y419" s="74">
        <f>IF($A419="","",IF(AND(M419&gt;0,L419&gt;0),ROUND(L419/M419,0),IF(AND(J419&gt;0,B419&gt;0),ROUND(B419/J419,0),Y418)))</f>
        <v/>
      </c>
    </row>
    <row r="420">
      <c r="A420" s="67" t="n"/>
      <c r="B420" s="68" t="n"/>
      <c r="C420" s="69" t="n"/>
      <c r="D420" s="68" t="n"/>
      <c r="E420" s="69" t="n"/>
      <c r="F420" s="68" t="n"/>
      <c r="G420" s="69" t="n"/>
      <c r="H420" s="68" t="n"/>
      <c r="I420" s="70">
        <f>IF($A420="","",R419)</f>
        <v/>
      </c>
      <c r="J420" s="71">
        <f>IF($A420="","",IF(C420="",0,C420))</f>
        <v/>
      </c>
      <c r="K420" s="71">
        <f>IF($A420="","",IF(E420="",0,E420))</f>
        <v/>
      </c>
      <c r="L420" s="70">
        <f>IF($A420="","",B420-D420)</f>
        <v/>
      </c>
      <c r="M420" s="71">
        <f>IF($A420="","",J420-K420)</f>
        <v/>
      </c>
      <c r="N420" s="71">
        <f>IF($A420="","",IF(G420="",0,G420))</f>
        <v/>
      </c>
      <c r="O420" s="70">
        <f>IF($A420="","",D420+F420)</f>
        <v/>
      </c>
      <c r="P420" s="71">
        <f>IF($A420="","",K420+N420)</f>
        <v/>
      </c>
      <c r="Q420" s="70">
        <f>IF($A420="","",I420+L420-F420)</f>
        <v/>
      </c>
      <c r="R420" s="72">
        <f>IF($A420="","",IF(H420="",Q420,H420))</f>
        <v/>
      </c>
      <c r="S420" s="73">
        <f>IF($A420="","",R420-Q420)</f>
        <v/>
      </c>
      <c r="T420" s="70">
        <f>IF($A420="","",SUMIFS($B$5:$B$800,$A$5:$A$800,"&gt;="&amp;DATE(YEAR($A420),MONTH($A420),1),$A$5:$A$800,"&lt;="&amp;$A420)+IF(AND(YEAR($A420)=YEAR(Settings!$B$3),MONTH($A420)=MONTH(Settings!$B$3)),Settings!$B$6,0))</f>
        <v/>
      </c>
      <c r="U420" s="71">
        <f>IF($A420="","",SUMIFS($J$5:$J$800,$A$5:$A$800,"&gt;="&amp;DATE(YEAR($A420),MONTH($A420),1),$A$5:$A$800,"&lt;="&amp;$A420)+IF(AND(YEAR($A420)=YEAR(Settings!$B$3),MONTH($A420)=MONTH(Settings!$B$3)),Settings!$B$7,0))</f>
        <v/>
      </c>
      <c r="V420" s="70">
        <f>IF($A420="","",Settings!$B$8+SUM($B$5:B420))</f>
        <v/>
      </c>
      <c r="W420" s="71">
        <f>IF($A420="","",Settings!$B$9+SUM($J$5:J420))</f>
        <v/>
      </c>
      <c r="X420" s="71">
        <f>IF($A420="","",IF(AND(N420&gt;0,F420&gt;0),ROUND(F420/N420,0),X419))</f>
        <v/>
      </c>
      <c r="Y420" s="74">
        <f>IF($A420="","",IF(AND(M420&gt;0,L420&gt;0),ROUND(L420/M420,0),IF(AND(J420&gt;0,B420&gt;0),ROUND(B420/J420,0),Y419)))</f>
        <v/>
      </c>
    </row>
    <row r="421">
      <c r="A421" s="67" t="n"/>
      <c r="B421" s="68" t="n"/>
      <c r="C421" s="69" t="n"/>
      <c r="D421" s="68" t="n"/>
      <c r="E421" s="69" t="n"/>
      <c r="F421" s="68" t="n"/>
      <c r="G421" s="69" t="n"/>
      <c r="H421" s="68" t="n"/>
      <c r="I421" s="70">
        <f>IF($A421="","",R420)</f>
        <v/>
      </c>
      <c r="J421" s="71">
        <f>IF($A421="","",IF(C421="",0,C421))</f>
        <v/>
      </c>
      <c r="K421" s="71">
        <f>IF($A421="","",IF(E421="",0,E421))</f>
        <v/>
      </c>
      <c r="L421" s="70">
        <f>IF($A421="","",B421-D421)</f>
        <v/>
      </c>
      <c r="M421" s="71">
        <f>IF($A421="","",J421-K421)</f>
        <v/>
      </c>
      <c r="N421" s="71">
        <f>IF($A421="","",IF(G421="",0,G421))</f>
        <v/>
      </c>
      <c r="O421" s="70">
        <f>IF($A421="","",D421+F421)</f>
        <v/>
      </c>
      <c r="P421" s="71">
        <f>IF($A421="","",K421+N421)</f>
        <v/>
      </c>
      <c r="Q421" s="70">
        <f>IF($A421="","",I421+L421-F421)</f>
        <v/>
      </c>
      <c r="R421" s="72">
        <f>IF($A421="","",IF(H421="",Q421,H421))</f>
        <v/>
      </c>
      <c r="S421" s="73">
        <f>IF($A421="","",R421-Q421)</f>
        <v/>
      </c>
      <c r="T421" s="70">
        <f>IF($A421="","",SUMIFS($B$5:$B$800,$A$5:$A$800,"&gt;="&amp;DATE(YEAR($A421),MONTH($A421),1),$A$5:$A$800,"&lt;="&amp;$A421)+IF(AND(YEAR($A421)=YEAR(Settings!$B$3),MONTH($A421)=MONTH(Settings!$B$3)),Settings!$B$6,0))</f>
        <v/>
      </c>
      <c r="U421" s="71">
        <f>IF($A421="","",SUMIFS($J$5:$J$800,$A$5:$A$800,"&gt;="&amp;DATE(YEAR($A421),MONTH($A421),1),$A$5:$A$800,"&lt;="&amp;$A421)+IF(AND(YEAR($A421)=YEAR(Settings!$B$3),MONTH($A421)=MONTH(Settings!$B$3)),Settings!$B$7,0))</f>
        <v/>
      </c>
      <c r="V421" s="70">
        <f>IF($A421="","",Settings!$B$8+SUM($B$5:B421))</f>
        <v/>
      </c>
      <c r="W421" s="71">
        <f>IF($A421="","",Settings!$B$9+SUM($J$5:J421))</f>
        <v/>
      </c>
      <c r="X421" s="71">
        <f>IF($A421="","",IF(AND(N421&gt;0,F421&gt;0),ROUND(F421/N421,0),X420))</f>
        <v/>
      </c>
      <c r="Y421" s="74">
        <f>IF($A421="","",IF(AND(M421&gt;0,L421&gt;0),ROUND(L421/M421,0),IF(AND(J421&gt;0,B421&gt;0),ROUND(B421/J421,0),Y420)))</f>
        <v/>
      </c>
    </row>
    <row r="422">
      <c r="A422" s="67" t="n"/>
      <c r="B422" s="68" t="n"/>
      <c r="C422" s="69" t="n"/>
      <c r="D422" s="68" t="n"/>
      <c r="E422" s="69" t="n"/>
      <c r="F422" s="68" t="n"/>
      <c r="G422" s="69" t="n"/>
      <c r="H422" s="68" t="n"/>
      <c r="I422" s="70">
        <f>IF($A422="","",R421)</f>
        <v/>
      </c>
      <c r="J422" s="71">
        <f>IF($A422="","",IF(C422="",0,C422))</f>
        <v/>
      </c>
      <c r="K422" s="71">
        <f>IF($A422="","",IF(E422="",0,E422))</f>
        <v/>
      </c>
      <c r="L422" s="70">
        <f>IF($A422="","",B422-D422)</f>
        <v/>
      </c>
      <c r="M422" s="71">
        <f>IF($A422="","",J422-K422)</f>
        <v/>
      </c>
      <c r="N422" s="71">
        <f>IF($A422="","",IF(G422="",0,G422))</f>
        <v/>
      </c>
      <c r="O422" s="70">
        <f>IF($A422="","",D422+F422)</f>
        <v/>
      </c>
      <c r="P422" s="71">
        <f>IF($A422="","",K422+N422)</f>
        <v/>
      </c>
      <c r="Q422" s="70">
        <f>IF($A422="","",I422+L422-F422)</f>
        <v/>
      </c>
      <c r="R422" s="72">
        <f>IF($A422="","",IF(H422="",Q422,H422))</f>
        <v/>
      </c>
      <c r="S422" s="73">
        <f>IF($A422="","",R422-Q422)</f>
        <v/>
      </c>
      <c r="T422" s="70">
        <f>IF($A422="","",SUMIFS($B$5:$B$800,$A$5:$A$800,"&gt;="&amp;DATE(YEAR($A422),MONTH($A422),1),$A$5:$A$800,"&lt;="&amp;$A422)+IF(AND(YEAR($A422)=YEAR(Settings!$B$3),MONTH($A422)=MONTH(Settings!$B$3)),Settings!$B$6,0))</f>
        <v/>
      </c>
      <c r="U422" s="71">
        <f>IF($A422="","",SUMIFS($J$5:$J$800,$A$5:$A$800,"&gt;="&amp;DATE(YEAR($A422),MONTH($A422),1),$A$5:$A$800,"&lt;="&amp;$A422)+IF(AND(YEAR($A422)=YEAR(Settings!$B$3),MONTH($A422)=MONTH(Settings!$B$3)),Settings!$B$7,0))</f>
        <v/>
      </c>
      <c r="V422" s="70">
        <f>IF($A422="","",Settings!$B$8+SUM($B$5:B422))</f>
        <v/>
      </c>
      <c r="W422" s="71">
        <f>IF($A422="","",Settings!$B$9+SUM($J$5:J422))</f>
        <v/>
      </c>
      <c r="X422" s="71">
        <f>IF($A422="","",IF(AND(N422&gt;0,F422&gt;0),ROUND(F422/N422,0),X421))</f>
        <v/>
      </c>
      <c r="Y422" s="74">
        <f>IF($A422="","",IF(AND(M422&gt;0,L422&gt;0),ROUND(L422/M422,0),IF(AND(J422&gt;0,B422&gt;0),ROUND(B422/J422,0),Y421)))</f>
        <v/>
      </c>
    </row>
    <row r="423">
      <c r="A423" s="67" t="n"/>
      <c r="B423" s="68" t="n"/>
      <c r="C423" s="69" t="n"/>
      <c r="D423" s="68" t="n"/>
      <c r="E423" s="69" t="n"/>
      <c r="F423" s="68" t="n"/>
      <c r="G423" s="69" t="n"/>
      <c r="H423" s="68" t="n"/>
      <c r="I423" s="70">
        <f>IF($A423="","",R422)</f>
        <v/>
      </c>
      <c r="J423" s="71">
        <f>IF($A423="","",IF(C423="",0,C423))</f>
        <v/>
      </c>
      <c r="K423" s="71">
        <f>IF($A423="","",IF(E423="",0,E423))</f>
        <v/>
      </c>
      <c r="L423" s="70">
        <f>IF($A423="","",B423-D423)</f>
        <v/>
      </c>
      <c r="M423" s="71">
        <f>IF($A423="","",J423-K423)</f>
        <v/>
      </c>
      <c r="N423" s="71">
        <f>IF($A423="","",IF(G423="",0,G423))</f>
        <v/>
      </c>
      <c r="O423" s="70">
        <f>IF($A423="","",D423+F423)</f>
        <v/>
      </c>
      <c r="P423" s="71">
        <f>IF($A423="","",K423+N423)</f>
        <v/>
      </c>
      <c r="Q423" s="70">
        <f>IF($A423="","",I423+L423-F423)</f>
        <v/>
      </c>
      <c r="R423" s="72">
        <f>IF($A423="","",IF(H423="",Q423,H423))</f>
        <v/>
      </c>
      <c r="S423" s="73">
        <f>IF($A423="","",R423-Q423)</f>
        <v/>
      </c>
      <c r="T423" s="70">
        <f>IF($A423="","",SUMIFS($B$5:$B$800,$A$5:$A$800,"&gt;="&amp;DATE(YEAR($A423),MONTH($A423),1),$A$5:$A$800,"&lt;="&amp;$A423)+IF(AND(YEAR($A423)=YEAR(Settings!$B$3),MONTH($A423)=MONTH(Settings!$B$3)),Settings!$B$6,0))</f>
        <v/>
      </c>
      <c r="U423" s="71">
        <f>IF($A423="","",SUMIFS($J$5:$J$800,$A$5:$A$800,"&gt;="&amp;DATE(YEAR($A423),MONTH($A423),1),$A$5:$A$800,"&lt;="&amp;$A423)+IF(AND(YEAR($A423)=YEAR(Settings!$B$3),MONTH($A423)=MONTH(Settings!$B$3)),Settings!$B$7,0))</f>
        <v/>
      </c>
      <c r="V423" s="70">
        <f>IF($A423="","",Settings!$B$8+SUM($B$5:B423))</f>
        <v/>
      </c>
      <c r="W423" s="71">
        <f>IF($A423="","",Settings!$B$9+SUM($J$5:J423))</f>
        <v/>
      </c>
      <c r="X423" s="71">
        <f>IF($A423="","",IF(AND(N423&gt;0,F423&gt;0),ROUND(F423/N423,0),X422))</f>
        <v/>
      </c>
      <c r="Y423" s="74">
        <f>IF($A423="","",IF(AND(M423&gt;0,L423&gt;0),ROUND(L423/M423,0),IF(AND(J423&gt;0,B423&gt;0),ROUND(B423/J423,0),Y422)))</f>
        <v/>
      </c>
    </row>
    <row r="424">
      <c r="A424" s="67" t="n"/>
      <c r="B424" s="68" t="n"/>
      <c r="C424" s="69" t="n"/>
      <c r="D424" s="68" t="n"/>
      <c r="E424" s="69" t="n"/>
      <c r="F424" s="68" t="n"/>
      <c r="G424" s="69" t="n"/>
      <c r="H424" s="68" t="n"/>
      <c r="I424" s="70">
        <f>IF($A424="","",R423)</f>
        <v/>
      </c>
      <c r="J424" s="71">
        <f>IF($A424="","",IF(C424="",0,C424))</f>
        <v/>
      </c>
      <c r="K424" s="71">
        <f>IF($A424="","",IF(E424="",0,E424))</f>
        <v/>
      </c>
      <c r="L424" s="70">
        <f>IF($A424="","",B424-D424)</f>
        <v/>
      </c>
      <c r="M424" s="71">
        <f>IF($A424="","",J424-K424)</f>
        <v/>
      </c>
      <c r="N424" s="71">
        <f>IF($A424="","",IF(G424="",0,G424))</f>
        <v/>
      </c>
      <c r="O424" s="70">
        <f>IF($A424="","",D424+F424)</f>
        <v/>
      </c>
      <c r="P424" s="71">
        <f>IF($A424="","",K424+N424)</f>
        <v/>
      </c>
      <c r="Q424" s="70">
        <f>IF($A424="","",I424+L424-F424)</f>
        <v/>
      </c>
      <c r="R424" s="72">
        <f>IF($A424="","",IF(H424="",Q424,H424))</f>
        <v/>
      </c>
      <c r="S424" s="73">
        <f>IF($A424="","",R424-Q424)</f>
        <v/>
      </c>
      <c r="T424" s="70">
        <f>IF($A424="","",SUMIFS($B$5:$B$800,$A$5:$A$800,"&gt;="&amp;DATE(YEAR($A424),MONTH($A424),1),$A$5:$A$800,"&lt;="&amp;$A424)+IF(AND(YEAR($A424)=YEAR(Settings!$B$3),MONTH($A424)=MONTH(Settings!$B$3)),Settings!$B$6,0))</f>
        <v/>
      </c>
      <c r="U424" s="71">
        <f>IF($A424="","",SUMIFS($J$5:$J$800,$A$5:$A$800,"&gt;="&amp;DATE(YEAR($A424),MONTH($A424),1),$A$5:$A$800,"&lt;="&amp;$A424)+IF(AND(YEAR($A424)=YEAR(Settings!$B$3),MONTH($A424)=MONTH(Settings!$B$3)),Settings!$B$7,0))</f>
        <v/>
      </c>
      <c r="V424" s="70">
        <f>IF($A424="","",Settings!$B$8+SUM($B$5:B424))</f>
        <v/>
      </c>
      <c r="W424" s="71">
        <f>IF($A424="","",Settings!$B$9+SUM($J$5:J424))</f>
        <v/>
      </c>
      <c r="X424" s="71">
        <f>IF($A424="","",IF(AND(N424&gt;0,F424&gt;0),ROUND(F424/N424,0),X423))</f>
        <v/>
      </c>
      <c r="Y424" s="74">
        <f>IF($A424="","",IF(AND(M424&gt;0,L424&gt;0),ROUND(L424/M424,0),IF(AND(J424&gt;0,B424&gt;0),ROUND(B424/J424,0),Y423)))</f>
        <v/>
      </c>
    </row>
    <row r="425">
      <c r="A425" s="67" t="n"/>
      <c r="B425" s="68" t="n"/>
      <c r="C425" s="69" t="n"/>
      <c r="D425" s="68" t="n"/>
      <c r="E425" s="69" t="n"/>
      <c r="F425" s="68" t="n"/>
      <c r="G425" s="69" t="n"/>
      <c r="H425" s="68" t="n"/>
      <c r="I425" s="70">
        <f>IF($A425="","",R424)</f>
        <v/>
      </c>
      <c r="J425" s="71">
        <f>IF($A425="","",IF(C425="",0,C425))</f>
        <v/>
      </c>
      <c r="K425" s="71">
        <f>IF($A425="","",IF(E425="",0,E425))</f>
        <v/>
      </c>
      <c r="L425" s="70">
        <f>IF($A425="","",B425-D425)</f>
        <v/>
      </c>
      <c r="M425" s="71">
        <f>IF($A425="","",J425-K425)</f>
        <v/>
      </c>
      <c r="N425" s="71">
        <f>IF($A425="","",IF(G425="",0,G425))</f>
        <v/>
      </c>
      <c r="O425" s="70">
        <f>IF($A425="","",D425+F425)</f>
        <v/>
      </c>
      <c r="P425" s="71">
        <f>IF($A425="","",K425+N425)</f>
        <v/>
      </c>
      <c r="Q425" s="70">
        <f>IF($A425="","",I425+L425-F425)</f>
        <v/>
      </c>
      <c r="R425" s="72">
        <f>IF($A425="","",IF(H425="",Q425,H425))</f>
        <v/>
      </c>
      <c r="S425" s="73">
        <f>IF($A425="","",R425-Q425)</f>
        <v/>
      </c>
      <c r="T425" s="70">
        <f>IF($A425="","",SUMIFS($B$5:$B$800,$A$5:$A$800,"&gt;="&amp;DATE(YEAR($A425),MONTH($A425),1),$A$5:$A$800,"&lt;="&amp;$A425)+IF(AND(YEAR($A425)=YEAR(Settings!$B$3),MONTH($A425)=MONTH(Settings!$B$3)),Settings!$B$6,0))</f>
        <v/>
      </c>
      <c r="U425" s="71">
        <f>IF($A425="","",SUMIFS($J$5:$J$800,$A$5:$A$800,"&gt;="&amp;DATE(YEAR($A425),MONTH($A425),1),$A$5:$A$800,"&lt;="&amp;$A425)+IF(AND(YEAR($A425)=YEAR(Settings!$B$3),MONTH($A425)=MONTH(Settings!$B$3)),Settings!$B$7,0))</f>
        <v/>
      </c>
      <c r="V425" s="70">
        <f>IF($A425="","",Settings!$B$8+SUM($B$5:B425))</f>
        <v/>
      </c>
      <c r="W425" s="71">
        <f>IF($A425="","",Settings!$B$9+SUM($J$5:J425))</f>
        <v/>
      </c>
      <c r="X425" s="71">
        <f>IF($A425="","",IF(AND(N425&gt;0,F425&gt;0),ROUND(F425/N425,0),X424))</f>
        <v/>
      </c>
      <c r="Y425" s="74">
        <f>IF($A425="","",IF(AND(M425&gt;0,L425&gt;0),ROUND(L425/M425,0),IF(AND(J425&gt;0,B425&gt;0),ROUND(B425/J425,0),Y424)))</f>
        <v/>
      </c>
    </row>
    <row r="426">
      <c r="A426" s="67" t="n"/>
      <c r="B426" s="68" t="n"/>
      <c r="C426" s="69" t="n"/>
      <c r="D426" s="68" t="n"/>
      <c r="E426" s="69" t="n"/>
      <c r="F426" s="68" t="n"/>
      <c r="G426" s="69" t="n"/>
      <c r="H426" s="68" t="n"/>
      <c r="I426" s="70">
        <f>IF($A426="","",R425)</f>
        <v/>
      </c>
      <c r="J426" s="71">
        <f>IF($A426="","",IF(C426="",0,C426))</f>
        <v/>
      </c>
      <c r="K426" s="71">
        <f>IF($A426="","",IF(E426="",0,E426))</f>
        <v/>
      </c>
      <c r="L426" s="70">
        <f>IF($A426="","",B426-D426)</f>
        <v/>
      </c>
      <c r="M426" s="71">
        <f>IF($A426="","",J426-K426)</f>
        <v/>
      </c>
      <c r="N426" s="71">
        <f>IF($A426="","",IF(G426="",0,G426))</f>
        <v/>
      </c>
      <c r="O426" s="70">
        <f>IF($A426="","",D426+F426)</f>
        <v/>
      </c>
      <c r="P426" s="71">
        <f>IF($A426="","",K426+N426)</f>
        <v/>
      </c>
      <c r="Q426" s="70">
        <f>IF($A426="","",I426+L426-F426)</f>
        <v/>
      </c>
      <c r="R426" s="72">
        <f>IF($A426="","",IF(H426="",Q426,H426))</f>
        <v/>
      </c>
      <c r="S426" s="73">
        <f>IF($A426="","",R426-Q426)</f>
        <v/>
      </c>
      <c r="T426" s="70">
        <f>IF($A426="","",SUMIFS($B$5:$B$800,$A$5:$A$800,"&gt;="&amp;DATE(YEAR($A426),MONTH($A426),1),$A$5:$A$800,"&lt;="&amp;$A426)+IF(AND(YEAR($A426)=YEAR(Settings!$B$3),MONTH($A426)=MONTH(Settings!$B$3)),Settings!$B$6,0))</f>
        <v/>
      </c>
      <c r="U426" s="71">
        <f>IF($A426="","",SUMIFS($J$5:$J$800,$A$5:$A$800,"&gt;="&amp;DATE(YEAR($A426),MONTH($A426),1),$A$5:$A$800,"&lt;="&amp;$A426)+IF(AND(YEAR($A426)=YEAR(Settings!$B$3),MONTH($A426)=MONTH(Settings!$B$3)),Settings!$B$7,0))</f>
        <v/>
      </c>
      <c r="V426" s="70">
        <f>IF($A426="","",Settings!$B$8+SUM($B$5:B426))</f>
        <v/>
      </c>
      <c r="W426" s="71">
        <f>IF($A426="","",Settings!$B$9+SUM($J$5:J426))</f>
        <v/>
      </c>
      <c r="X426" s="71">
        <f>IF($A426="","",IF(AND(N426&gt;0,F426&gt;0),ROUND(F426/N426,0),X425))</f>
        <v/>
      </c>
      <c r="Y426" s="74">
        <f>IF($A426="","",IF(AND(M426&gt;0,L426&gt;0),ROUND(L426/M426,0),IF(AND(J426&gt;0,B426&gt;0),ROUND(B426/J426,0),Y425)))</f>
        <v/>
      </c>
    </row>
    <row r="427">
      <c r="A427" s="67" t="n"/>
      <c r="B427" s="68" t="n"/>
      <c r="C427" s="69" t="n"/>
      <c r="D427" s="68" t="n"/>
      <c r="E427" s="69" t="n"/>
      <c r="F427" s="68" t="n"/>
      <c r="G427" s="69" t="n"/>
      <c r="H427" s="68" t="n"/>
      <c r="I427" s="70">
        <f>IF($A427="","",R426)</f>
        <v/>
      </c>
      <c r="J427" s="71">
        <f>IF($A427="","",IF(C427="",0,C427))</f>
        <v/>
      </c>
      <c r="K427" s="71">
        <f>IF($A427="","",IF(E427="",0,E427))</f>
        <v/>
      </c>
      <c r="L427" s="70">
        <f>IF($A427="","",B427-D427)</f>
        <v/>
      </c>
      <c r="M427" s="71">
        <f>IF($A427="","",J427-K427)</f>
        <v/>
      </c>
      <c r="N427" s="71">
        <f>IF($A427="","",IF(G427="",0,G427))</f>
        <v/>
      </c>
      <c r="O427" s="70">
        <f>IF($A427="","",D427+F427)</f>
        <v/>
      </c>
      <c r="P427" s="71">
        <f>IF($A427="","",K427+N427)</f>
        <v/>
      </c>
      <c r="Q427" s="70">
        <f>IF($A427="","",I427+L427-F427)</f>
        <v/>
      </c>
      <c r="R427" s="72">
        <f>IF($A427="","",IF(H427="",Q427,H427))</f>
        <v/>
      </c>
      <c r="S427" s="73">
        <f>IF($A427="","",R427-Q427)</f>
        <v/>
      </c>
      <c r="T427" s="70">
        <f>IF($A427="","",SUMIFS($B$5:$B$800,$A$5:$A$800,"&gt;="&amp;DATE(YEAR($A427),MONTH($A427),1),$A$5:$A$800,"&lt;="&amp;$A427)+IF(AND(YEAR($A427)=YEAR(Settings!$B$3),MONTH($A427)=MONTH(Settings!$B$3)),Settings!$B$6,0))</f>
        <v/>
      </c>
      <c r="U427" s="71">
        <f>IF($A427="","",SUMIFS($J$5:$J$800,$A$5:$A$800,"&gt;="&amp;DATE(YEAR($A427),MONTH($A427),1),$A$5:$A$800,"&lt;="&amp;$A427)+IF(AND(YEAR($A427)=YEAR(Settings!$B$3),MONTH($A427)=MONTH(Settings!$B$3)),Settings!$B$7,0))</f>
        <v/>
      </c>
      <c r="V427" s="70">
        <f>IF($A427="","",Settings!$B$8+SUM($B$5:B427))</f>
        <v/>
      </c>
      <c r="W427" s="71">
        <f>IF($A427="","",Settings!$B$9+SUM($J$5:J427))</f>
        <v/>
      </c>
      <c r="X427" s="71">
        <f>IF($A427="","",IF(AND(N427&gt;0,F427&gt;0),ROUND(F427/N427,0),X426))</f>
        <v/>
      </c>
      <c r="Y427" s="74">
        <f>IF($A427="","",IF(AND(M427&gt;0,L427&gt;0),ROUND(L427/M427,0),IF(AND(J427&gt;0,B427&gt;0),ROUND(B427/J427,0),Y426)))</f>
        <v/>
      </c>
    </row>
    <row r="428">
      <c r="A428" s="67" t="n"/>
      <c r="B428" s="68" t="n"/>
      <c r="C428" s="69" t="n"/>
      <c r="D428" s="68" t="n"/>
      <c r="E428" s="69" t="n"/>
      <c r="F428" s="68" t="n"/>
      <c r="G428" s="69" t="n"/>
      <c r="H428" s="68" t="n"/>
      <c r="I428" s="70">
        <f>IF($A428="","",R427)</f>
        <v/>
      </c>
      <c r="J428" s="71">
        <f>IF($A428="","",IF(C428="",0,C428))</f>
        <v/>
      </c>
      <c r="K428" s="71">
        <f>IF($A428="","",IF(E428="",0,E428))</f>
        <v/>
      </c>
      <c r="L428" s="70">
        <f>IF($A428="","",B428-D428)</f>
        <v/>
      </c>
      <c r="M428" s="71">
        <f>IF($A428="","",J428-K428)</f>
        <v/>
      </c>
      <c r="N428" s="71">
        <f>IF($A428="","",IF(G428="",0,G428))</f>
        <v/>
      </c>
      <c r="O428" s="70">
        <f>IF($A428="","",D428+F428)</f>
        <v/>
      </c>
      <c r="P428" s="71">
        <f>IF($A428="","",K428+N428)</f>
        <v/>
      </c>
      <c r="Q428" s="70">
        <f>IF($A428="","",I428+L428-F428)</f>
        <v/>
      </c>
      <c r="R428" s="72">
        <f>IF($A428="","",IF(H428="",Q428,H428))</f>
        <v/>
      </c>
      <c r="S428" s="73">
        <f>IF($A428="","",R428-Q428)</f>
        <v/>
      </c>
      <c r="T428" s="70">
        <f>IF($A428="","",SUMIFS($B$5:$B$800,$A$5:$A$800,"&gt;="&amp;DATE(YEAR($A428),MONTH($A428),1),$A$5:$A$800,"&lt;="&amp;$A428)+IF(AND(YEAR($A428)=YEAR(Settings!$B$3),MONTH($A428)=MONTH(Settings!$B$3)),Settings!$B$6,0))</f>
        <v/>
      </c>
      <c r="U428" s="71">
        <f>IF($A428="","",SUMIFS($J$5:$J$800,$A$5:$A$800,"&gt;="&amp;DATE(YEAR($A428),MONTH($A428),1),$A$5:$A$800,"&lt;="&amp;$A428)+IF(AND(YEAR($A428)=YEAR(Settings!$B$3),MONTH($A428)=MONTH(Settings!$B$3)),Settings!$B$7,0))</f>
        <v/>
      </c>
      <c r="V428" s="70">
        <f>IF($A428="","",Settings!$B$8+SUM($B$5:B428))</f>
        <v/>
      </c>
      <c r="W428" s="71">
        <f>IF($A428="","",Settings!$B$9+SUM($J$5:J428))</f>
        <v/>
      </c>
      <c r="X428" s="71">
        <f>IF($A428="","",IF(AND(N428&gt;0,F428&gt;0),ROUND(F428/N428,0),X427))</f>
        <v/>
      </c>
      <c r="Y428" s="74">
        <f>IF($A428="","",IF(AND(M428&gt;0,L428&gt;0),ROUND(L428/M428,0),IF(AND(J428&gt;0,B428&gt;0),ROUND(B428/J428,0),Y427)))</f>
        <v/>
      </c>
    </row>
    <row r="429">
      <c r="A429" s="67" t="n"/>
      <c r="B429" s="68" t="n"/>
      <c r="C429" s="69" t="n"/>
      <c r="D429" s="68" t="n"/>
      <c r="E429" s="69" t="n"/>
      <c r="F429" s="68" t="n"/>
      <c r="G429" s="69" t="n"/>
      <c r="H429" s="68" t="n"/>
      <c r="I429" s="70">
        <f>IF($A429="","",R428)</f>
        <v/>
      </c>
      <c r="J429" s="71">
        <f>IF($A429="","",IF(C429="",0,C429))</f>
        <v/>
      </c>
      <c r="K429" s="71">
        <f>IF($A429="","",IF(E429="",0,E429))</f>
        <v/>
      </c>
      <c r="L429" s="70">
        <f>IF($A429="","",B429-D429)</f>
        <v/>
      </c>
      <c r="M429" s="71">
        <f>IF($A429="","",J429-K429)</f>
        <v/>
      </c>
      <c r="N429" s="71">
        <f>IF($A429="","",IF(G429="",0,G429))</f>
        <v/>
      </c>
      <c r="O429" s="70">
        <f>IF($A429="","",D429+F429)</f>
        <v/>
      </c>
      <c r="P429" s="71">
        <f>IF($A429="","",K429+N429)</f>
        <v/>
      </c>
      <c r="Q429" s="70">
        <f>IF($A429="","",I429+L429-F429)</f>
        <v/>
      </c>
      <c r="R429" s="72">
        <f>IF($A429="","",IF(H429="",Q429,H429))</f>
        <v/>
      </c>
      <c r="S429" s="73">
        <f>IF($A429="","",R429-Q429)</f>
        <v/>
      </c>
      <c r="T429" s="70">
        <f>IF($A429="","",SUMIFS($B$5:$B$800,$A$5:$A$800,"&gt;="&amp;DATE(YEAR($A429),MONTH($A429),1),$A$5:$A$800,"&lt;="&amp;$A429)+IF(AND(YEAR($A429)=YEAR(Settings!$B$3),MONTH($A429)=MONTH(Settings!$B$3)),Settings!$B$6,0))</f>
        <v/>
      </c>
      <c r="U429" s="71">
        <f>IF($A429="","",SUMIFS($J$5:$J$800,$A$5:$A$800,"&gt;="&amp;DATE(YEAR($A429),MONTH($A429),1),$A$5:$A$800,"&lt;="&amp;$A429)+IF(AND(YEAR($A429)=YEAR(Settings!$B$3),MONTH($A429)=MONTH(Settings!$B$3)),Settings!$B$7,0))</f>
        <v/>
      </c>
      <c r="V429" s="70">
        <f>IF($A429="","",Settings!$B$8+SUM($B$5:B429))</f>
        <v/>
      </c>
      <c r="W429" s="71">
        <f>IF($A429="","",Settings!$B$9+SUM($J$5:J429))</f>
        <v/>
      </c>
      <c r="X429" s="71">
        <f>IF($A429="","",IF(AND(N429&gt;0,F429&gt;0),ROUND(F429/N429,0),X428))</f>
        <v/>
      </c>
      <c r="Y429" s="74">
        <f>IF($A429="","",IF(AND(M429&gt;0,L429&gt;0),ROUND(L429/M429,0),IF(AND(J429&gt;0,B429&gt;0),ROUND(B429/J429,0),Y428)))</f>
        <v/>
      </c>
    </row>
    <row r="430">
      <c r="A430" s="67" t="n"/>
      <c r="B430" s="68" t="n"/>
      <c r="C430" s="69" t="n"/>
      <c r="D430" s="68" t="n"/>
      <c r="E430" s="69" t="n"/>
      <c r="F430" s="68" t="n"/>
      <c r="G430" s="69" t="n"/>
      <c r="H430" s="68" t="n"/>
      <c r="I430" s="70">
        <f>IF($A430="","",R429)</f>
        <v/>
      </c>
      <c r="J430" s="71">
        <f>IF($A430="","",IF(C430="",0,C430))</f>
        <v/>
      </c>
      <c r="K430" s="71">
        <f>IF($A430="","",IF(E430="",0,E430))</f>
        <v/>
      </c>
      <c r="L430" s="70">
        <f>IF($A430="","",B430-D430)</f>
        <v/>
      </c>
      <c r="M430" s="71">
        <f>IF($A430="","",J430-K430)</f>
        <v/>
      </c>
      <c r="N430" s="71">
        <f>IF($A430="","",IF(G430="",0,G430))</f>
        <v/>
      </c>
      <c r="O430" s="70">
        <f>IF($A430="","",D430+F430)</f>
        <v/>
      </c>
      <c r="P430" s="71">
        <f>IF($A430="","",K430+N430)</f>
        <v/>
      </c>
      <c r="Q430" s="70">
        <f>IF($A430="","",I430+L430-F430)</f>
        <v/>
      </c>
      <c r="R430" s="72">
        <f>IF($A430="","",IF(H430="",Q430,H430))</f>
        <v/>
      </c>
      <c r="S430" s="73">
        <f>IF($A430="","",R430-Q430)</f>
        <v/>
      </c>
      <c r="T430" s="70">
        <f>IF($A430="","",SUMIFS($B$5:$B$800,$A$5:$A$800,"&gt;="&amp;DATE(YEAR($A430),MONTH($A430),1),$A$5:$A$800,"&lt;="&amp;$A430)+IF(AND(YEAR($A430)=YEAR(Settings!$B$3),MONTH($A430)=MONTH(Settings!$B$3)),Settings!$B$6,0))</f>
        <v/>
      </c>
      <c r="U430" s="71">
        <f>IF($A430="","",SUMIFS($J$5:$J$800,$A$5:$A$800,"&gt;="&amp;DATE(YEAR($A430),MONTH($A430),1),$A$5:$A$800,"&lt;="&amp;$A430)+IF(AND(YEAR($A430)=YEAR(Settings!$B$3),MONTH($A430)=MONTH(Settings!$B$3)),Settings!$B$7,0))</f>
        <v/>
      </c>
      <c r="V430" s="70">
        <f>IF($A430="","",Settings!$B$8+SUM($B$5:B430))</f>
        <v/>
      </c>
      <c r="W430" s="71">
        <f>IF($A430="","",Settings!$B$9+SUM($J$5:J430))</f>
        <v/>
      </c>
      <c r="X430" s="71">
        <f>IF($A430="","",IF(AND(N430&gt;0,F430&gt;0),ROUND(F430/N430,0),X429))</f>
        <v/>
      </c>
      <c r="Y430" s="74">
        <f>IF($A430="","",IF(AND(M430&gt;0,L430&gt;0),ROUND(L430/M430,0),IF(AND(J430&gt;0,B430&gt;0),ROUND(B430/J430,0),Y429)))</f>
        <v/>
      </c>
    </row>
    <row r="431">
      <c r="A431" s="67" t="n"/>
      <c r="B431" s="68" t="n"/>
      <c r="C431" s="69" t="n"/>
      <c r="D431" s="68" t="n"/>
      <c r="E431" s="69" t="n"/>
      <c r="F431" s="68" t="n"/>
      <c r="G431" s="69" t="n"/>
      <c r="H431" s="68" t="n"/>
      <c r="I431" s="70">
        <f>IF($A431="","",R430)</f>
        <v/>
      </c>
      <c r="J431" s="71">
        <f>IF($A431="","",IF(C431="",0,C431))</f>
        <v/>
      </c>
      <c r="K431" s="71">
        <f>IF($A431="","",IF(E431="",0,E431))</f>
        <v/>
      </c>
      <c r="L431" s="70">
        <f>IF($A431="","",B431-D431)</f>
        <v/>
      </c>
      <c r="M431" s="71">
        <f>IF($A431="","",J431-K431)</f>
        <v/>
      </c>
      <c r="N431" s="71">
        <f>IF($A431="","",IF(G431="",0,G431))</f>
        <v/>
      </c>
      <c r="O431" s="70">
        <f>IF($A431="","",D431+F431)</f>
        <v/>
      </c>
      <c r="P431" s="71">
        <f>IF($A431="","",K431+N431)</f>
        <v/>
      </c>
      <c r="Q431" s="70">
        <f>IF($A431="","",I431+L431-F431)</f>
        <v/>
      </c>
      <c r="R431" s="72">
        <f>IF($A431="","",IF(H431="",Q431,H431))</f>
        <v/>
      </c>
      <c r="S431" s="73">
        <f>IF($A431="","",R431-Q431)</f>
        <v/>
      </c>
      <c r="T431" s="70">
        <f>IF($A431="","",SUMIFS($B$5:$B$800,$A$5:$A$800,"&gt;="&amp;DATE(YEAR($A431),MONTH($A431),1),$A$5:$A$800,"&lt;="&amp;$A431)+IF(AND(YEAR($A431)=YEAR(Settings!$B$3),MONTH($A431)=MONTH(Settings!$B$3)),Settings!$B$6,0))</f>
        <v/>
      </c>
      <c r="U431" s="71">
        <f>IF($A431="","",SUMIFS($J$5:$J$800,$A$5:$A$800,"&gt;="&amp;DATE(YEAR($A431),MONTH($A431),1),$A$5:$A$800,"&lt;="&amp;$A431)+IF(AND(YEAR($A431)=YEAR(Settings!$B$3),MONTH($A431)=MONTH(Settings!$B$3)),Settings!$B$7,0))</f>
        <v/>
      </c>
      <c r="V431" s="70">
        <f>IF($A431="","",Settings!$B$8+SUM($B$5:B431))</f>
        <v/>
      </c>
      <c r="W431" s="71">
        <f>IF($A431="","",Settings!$B$9+SUM($J$5:J431))</f>
        <v/>
      </c>
      <c r="X431" s="71">
        <f>IF($A431="","",IF(AND(N431&gt;0,F431&gt;0),ROUND(F431/N431,0),X430))</f>
        <v/>
      </c>
      <c r="Y431" s="74">
        <f>IF($A431="","",IF(AND(M431&gt;0,L431&gt;0),ROUND(L431/M431,0),IF(AND(J431&gt;0,B431&gt;0),ROUND(B431/J431,0),Y430)))</f>
        <v/>
      </c>
    </row>
    <row r="432">
      <c r="A432" s="67" t="n"/>
      <c r="B432" s="68" t="n"/>
      <c r="C432" s="69" t="n"/>
      <c r="D432" s="68" t="n"/>
      <c r="E432" s="69" t="n"/>
      <c r="F432" s="68" t="n"/>
      <c r="G432" s="69" t="n"/>
      <c r="H432" s="68" t="n"/>
      <c r="I432" s="70">
        <f>IF($A432="","",R431)</f>
        <v/>
      </c>
      <c r="J432" s="71">
        <f>IF($A432="","",IF(C432="",0,C432))</f>
        <v/>
      </c>
      <c r="K432" s="71">
        <f>IF($A432="","",IF(E432="",0,E432))</f>
        <v/>
      </c>
      <c r="L432" s="70">
        <f>IF($A432="","",B432-D432)</f>
        <v/>
      </c>
      <c r="M432" s="71">
        <f>IF($A432="","",J432-K432)</f>
        <v/>
      </c>
      <c r="N432" s="71">
        <f>IF($A432="","",IF(G432="",0,G432))</f>
        <v/>
      </c>
      <c r="O432" s="70">
        <f>IF($A432="","",D432+F432)</f>
        <v/>
      </c>
      <c r="P432" s="71">
        <f>IF($A432="","",K432+N432)</f>
        <v/>
      </c>
      <c r="Q432" s="70">
        <f>IF($A432="","",I432+L432-F432)</f>
        <v/>
      </c>
      <c r="R432" s="72">
        <f>IF($A432="","",IF(H432="",Q432,H432))</f>
        <v/>
      </c>
      <c r="S432" s="73">
        <f>IF($A432="","",R432-Q432)</f>
        <v/>
      </c>
      <c r="T432" s="70">
        <f>IF($A432="","",SUMIFS($B$5:$B$800,$A$5:$A$800,"&gt;="&amp;DATE(YEAR($A432),MONTH($A432),1),$A$5:$A$800,"&lt;="&amp;$A432)+IF(AND(YEAR($A432)=YEAR(Settings!$B$3),MONTH($A432)=MONTH(Settings!$B$3)),Settings!$B$6,0))</f>
        <v/>
      </c>
      <c r="U432" s="71">
        <f>IF($A432="","",SUMIFS($J$5:$J$800,$A$5:$A$800,"&gt;="&amp;DATE(YEAR($A432),MONTH($A432),1),$A$5:$A$800,"&lt;="&amp;$A432)+IF(AND(YEAR($A432)=YEAR(Settings!$B$3),MONTH($A432)=MONTH(Settings!$B$3)),Settings!$B$7,0))</f>
        <v/>
      </c>
      <c r="V432" s="70">
        <f>IF($A432="","",Settings!$B$8+SUM($B$5:B432))</f>
        <v/>
      </c>
      <c r="W432" s="71">
        <f>IF($A432="","",Settings!$B$9+SUM($J$5:J432))</f>
        <v/>
      </c>
      <c r="X432" s="71">
        <f>IF($A432="","",IF(AND(N432&gt;0,F432&gt;0),ROUND(F432/N432,0),X431))</f>
        <v/>
      </c>
      <c r="Y432" s="74">
        <f>IF($A432="","",IF(AND(M432&gt;0,L432&gt;0),ROUND(L432/M432,0),IF(AND(J432&gt;0,B432&gt;0),ROUND(B432/J432,0),Y431)))</f>
        <v/>
      </c>
    </row>
    <row r="433">
      <c r="A433" s="67" t="n"/>
      <c r="B433" s="68" t="n"/>
      <c r="C433" s="69" t="n"/>
      <c r="D433" s="68" t="n"/>
      <c r="E433" s="69" t="n"/>
      <c r="F433" s="68" t="n"/>
      <c r="G433" s="69" t="n"/>
      <c r="H433" s="68" t="n"/>
      <c r="I433" s="70">
        <f>IF($A433="","",R432)</f>
        <v/>
      </c>
      <c r="J433" s="71">
        <f>IF($A433="","",IF(C433="",0,C433))</f>
        <v/>
      </c>
      <c r="K433" s="71">
        <f>IF($A433="","",IF(E433="",0,E433))</f>
        <v/>
      </c>
      <c r="L433" s="70">
        <f>IF($A433="","",B433-D433)</f>
        <v/>
      </c>
      <c r="M433" s="71">
        <f>IF($A433="","",J433-K433)</f>
        <v/>
      </c>
      <c r="N433" s="71">
        <f>IF($A433="","",IF(G433="",0,G433))</f>
        <v/>
      </c>
      <c r="O433" s="70">
        <f>IF($A433="","",D433+F433)</f>
        <v/>
      </c>
      <c r="P433" s="71">
        <f>IF($A433="","",K433+N433)</f>
        <v/>
      </c>
      <c r="Q433" s="70">
        <f>IF($A433="","",I433+L433-F433)</f>
        <v/>
      </c>
      <c r="R433" s="72">
        <f>IF($A433="","",IF(H433="",Q433,H433))</f>
        <v/>
      </c>
      <c r="S433" s="73">
        <f>IF($A433="","",R433-Q433)</f>
        <v/>
      </c>
      <c r="T433" s="70">
        <f>IF($A433="","",SUMIFS($B$5:$B$800,$A$5:$A$800,"&gt;="&amp;DATE(YEAR($A433),MONTH($A433),1),$A$5:$A$800,"&lt;="&amp;$A433)+IF(AND(YEAR($A433)=YEAR(Settings!$B$3),MONTH($A433)=MONTH(Settings!$B$3)),Settings!$B$6,0))</f>
        <v/>
      </c>
      <c r="U433" s="71">
        <f>IF($A433="","",SUMIFS($J$5:$J$800,$A$5:$A$800,"&gt;="&amp;DATE(YEAR($A433),MONTH($A433),1),$A$5:$A$800,"&lt;="&amp;$A433)+IF(AND(YEAR($A433)=YEAR(Settings!$B$3),MONTH($A433)=MONTH(Settings!$B$3)),Settings!$B$7,0))</f>
        <v/>
      </c>
      <c r="V433" s="70">
        <f>IF($A433="","",Settings!$B$8+SUM($B$5:B433))</f>
        <v/>
      </c>
      <c r="W433" s="71">
        <f>IF($A433="","",Settings!$B$9+SUM($J$5:J433))</f>
        <v/>
      </c>
      <c r="X433" s="71">
        <f>IF($A433="","",IF(AND(N433&gt;0,F433&gt;0),ROUND(F433/N433,0),X432))</f>
        <v/>
      </c>
      <c r="Y433" s="74">
        <f>IF($A433="","",IF(AND(M433&gt;0,L433&gt;0),ROUND(L433/M433,0),IF(AND(J433&gt;0,B433&gt;0),ROUND(B433/J433,0),Y432)))</f>
        <v/>
      </c>
    </row>
    <row r="434">
      <c r="A434" s="67" t="n"/>
      <c r="B434" s="68" t="n"/>
      <c r="C434" s="69" t="n"/>
      <c r="D434" s="68" t="n"/>
      <c r="E434" s="69" t="n"/>
      <c r="F434" s="68" t="n"/>
      <c r="G434" s="69" t="n"/>
      <c r="H434" s="68" t="n"/>
      <c r="I434" s="70">
        <f>IF($A434="","",R433)</f>
        <v/>
      </c>
      <c r="J434" s="71">
        <f>IF($A434="","",IF(C434="",0,C434))</f>
        <v/>
      </c>
      <c r="K434" s="71">
        <f>IF($A434="","",IF(E434="",0,E434))</f>
        <v/>
      </c>
      <c r="L434" s="70">
        <f>IF($A434="","",B434-D434)</f>
        <v/>
      </c>
      <c r="M434" s="71">
        <f>IF($A434="","",J434-K434)</f>
        <v/>
      </c>
      <c r="N434" s="71">
        <f>IF($A434="","",IF(G434="",0,G434))</f>
        <v/>
      </c>
      <c r="O434" s="70">
        <f>IF($A434="","",D434+F434)</f>
        <v/>
      </c>
      <c r="P434" s="71">
        <f>IF($A434="","",K434+N434)</f>
        <v/>
      </c>
      <c r="Q434" s="70">
        <f>IF($A434="","",I434+L434-F434)</f>
        <v/>
      </c>
      <c r="R434" s="72">
        <f>IF($A434="","",IF(H434="",Q434,H434))</f>
        <v/>
      </c>
      <c r="S434" s="73">
        <f>IF($A434="","",R434-Q434)</f>
        <v/>
      </c>
      <c r="T434" s="70">
        <f>IF($A434="","",SUMIFS($B$5:$B$800,$A$5:$A$800,"&gt;="&amp;DATE(YEAR($A434),MONTH($A434),1),$A$5:$A$800,"&lt;="&amp;$A434)+IF(AND(YEAR($A434)=YEAR(Settings!$B$3),MONTH($A434)=MONTH(Settings!$B$3)),Settings!$B$6,0))</f>
        <v/>
      </c>
      <c r="U434" s="71">
        <f>IF($A434="","",SUMIFS($J$5:$J$800,$A$5:$A$800,"&gt;="&amp;DATE(YEAR($A434),MONTH($A434),1),$A$5:$A$800,"&lt;="&amp;$A434)+IF(AND(YEAR($A434)=YEAR(Settings!$B$3),MONTH($A434)=MONTH(Settings!$B$3)),Settings!$B$7,0))</f>
        <v/>
      </c>
      <c r="V434" s="70">
        <f>IF($A434="","",Settings!$B$8+SUM($B$5:B434))</f>
        <v/>
      </c>
      <c r="W434" s="71">
        <f>IF($A434="","",Settings!$B$9+SUM($J$5:J434))</f>
        <v/>
      </c>
      <c r="X434" s="71">
        <f>IF($A434="","",IF(AND(N434&gt;0,F434&gt;0),ROUND(F434/N434,0),X433))</f>
        <v/>
      </c>
      <c r="Y434" s="74">
        <f>IF($A434="","",IF(AND(M434&gt;0,L434&gt;0),ROUND(L434/M434,0),IF(AND(J434&gt;0,B434&gt;0),ROUND(B434/J434,0),Y433)))</f>
        <v/>
      </c>
    </row>
    <row r="435">
      <c r="A435" s="67" t="n"/>
      <c r="B435" s="68" t="n"/>
      <c r="C435" s="69" t="n"/>
      <c r="D435" s="68" t="n"/>
      <c r="E435" s="69" t="n"/>
      <c r="F435" s="68" t="n"/>
      <c r="G435" s="69" t="n"/>
      <c r="H435" s="68" t="n"/>
      <c r="I435" s="70">
        <f>IF($A435="","",R434)</f>
        <v/>
      </c>
      <c r="J435" s="71">
        <f>IF($A435="","",IF(C435="",0,C435))</f>
        <v/>
      </c>
      <c r="K435" s="71">
        <f>IF($A435="","",IF(E435="",0,E435))</f>
        <v/>
      </c>
      <c r="L435" s="70">
        <f>IF($A435="","",B435-D435)</f>
        <v/>
      </c>
      <c r="M435" s="71">
        <f>IF($A435="","",J435-K435)</f>
        <v/>
      </c>
      <c r="N435" s="71">
        <f>IF($A435="","",IF(G435="",0,G435))</f>
        <v/>
      </c>
      <c r="O435" s="70">
        <f>IF($A435="","",D435+F435)</f>
        <v/>
      </c>
      <c r="P435" s="71">
        <f>IF($A435="","",K435+N435)</f>
        <v/>
      </c>
      <c r="Q435" s="70">
        <f>IF($A435="","",I435+L435-F435)</f>
        <v/>
      </c>
      <c r="R435" s="72">
        <f>IF($A435="","",IF(H435="",Q435,H435))</f>
        <v/>
      </c>
      <c r="S435" s="73">
        <f>IF($A435="","",R435-Q435)</f>
        <v/>
      </c>
      <c r="T435" s="70">
        <f>IF($A435="","",SUMIFS($B$5:$B$800,$A$5:$A$800,"&gt;="&amp;DATE(YEAR($A435),MONTH($A435),1),$A$5:$A$800,"&lt;="&amp;$A435)+IF(AND(YEAR($A435)=YEAR(Settings!$B$3),MONTH($A435)=MONTH(Settings!$B$3)),Settings!$B$6,0))</f>
        <v/>
      </c>
      <c r="U435" s="71">
        <f>IF($A435="","",SUMIFS($J$5:$J$800,$A$5:$A$800,"&gt;="&amp;DATE(YEAR($A435),MONTH($A435),1),$A$5:$A$800,"&lt;="&amp;$A435)+IF(AND(YEAR($A435)=YEAR(Settings!$B$3),MONTH($A435)=MONTH(Settings!$B$3)),Settings!$B$7,0))</f>
        <v/>
      </c>
      <c r="V435" s="70">
        <f>IF($A435="","",Settings!$B$8+SUM($B$5:B435))</f>
        <v/>
      </c>
      <c r="W435" s="71">
        <f>IF($A435="","",Settings!$B$9+SUM($J$5:J435))</f>
        <v/>
      </c>
      <c r="X435" s="71">
        <f>IF($A435="","",IF(AND(N435&gt;0,F435&gt;0),ROUND(F435/N435,0),X434))</f>
        <v/>
      </c>
      <c r="Y435" s="74">
        <f>IF($A435="","",IF(AND(M435&gt;0,L435&gt;0),ROUND(L435/M435,0),IF(AND(J435&gt;0,B435&gt;0),ROUND(B435/J435,0),Y434)))</f>
        <v/>
      </c>
    </row>
    <row r="436">
      <c r="A436" s="67" t="n"/>
      <c r="B436" s="68" t="n"/>
      <c r="C436" s="69" t="n"/>
      <c r="D436" s="68" t="n"/>
      <c r="E436" s="69" t="n"/>
      <c r="F436" s="68" t="n"/>
      <c r="G436" s="69" t="n"/>
      <c r="H436" s="68" t="n"/>
      <c r="I436" s="70">
        <f>IF($A436="","",R435)</f>
        <v/>
      </c>
      <c r="J436" s="71">
        <f>IF($A436="","",IF(C436="",0,C436))</f>
        <v/>
      </c>
      <c r="K436" s="71">
        <f>IF($A436="","",IF(E436="",0,E436))</f>
        <v/>
      </c>
      <c r="L436" s="70">
        <f>IF($A436="","",B436-D436)</f>
        <v/>
      </c>
      <c r="M436" s="71">
        <f>IF($A436="","",J436-K436)</f>
        <v/>
      </c>
      <c r="N436" s="71">
        <f>IF($A436="","",IF(G436="",0,G436))</f>
        <v/>
      </c>
      <c r="O436" s="70">
        <f>IF($A436="","",D436+F436)</f>
        <v/>
      </c>
      <c r="P436" s="71">
        <f>IF($A436="","",K436+N436)</f>
        <v/>
      </c>
      <c r="Q436" s="70">
        <f>IF($A436="","",I436+L436-F436)</f>
        <v/>
      </c>
      <c r="R436" s="72">
        <f>IF($A436="","",IF(H436="",Q436,H436))</f>
        <v/>
      </c>
      <c r="S436" s="73">
        <f>IF($A436="","",R436-Q436)</f>
        <v/>
      </c>
      <c r="T436" s="70">
        <f>IF($A436="","",SUMIFS($B$5:$B$800,$A$5:$A$800,"&gt;="&amp;DATE(YEAR($A436),MONTH($A436),1),$A$5:$A$800,"&lt;="&amp;$A436)+IF(AND(YEAR($A436)=YEAR(Settings!$B$3),MONTH($A436)=MONTH(Settings!$B$3)),Settings!$B$6,0))</f>
        <v/>
      </c>
      <c r="U436" s="71">
        <f>IF($A436="","",SUMIFS($J$5:$J$800,$A$5:$A$800,"&gt;="&amp;DATE(YEAR($A436),MONTH($A436),1),$A$5:$A$800,"&lt;="&amp;$A436)+IF(AND(YEAR($A436)=YEAR(Settings!$B$3),MONTH($A436)=MONTH(Settings!$B$3)),Settings!$B$7,0))</f>
        <v/>
      </c>
      <c r="V436" s="70">
        <f>IF($A436="","",Settings!$B$8+SUM($B$5:B436))</f>
        <v/>
      </c>
      <c r="W436" s="71">
        <f>IF($A436="","",Settings!$B$9+SUM($J$5:J436))</f>
        <v/>
      </c>
      <c r="X436" s="71">
        <f>IF($A436="","",IF(AND(N436&gt;0,F436&gt;0),ROUND(F436/N436,0),X435))</f>
        <v/>
      </c>
      <c r="Y436" s="74">
        <f>IF($A436="","",IF(AND(M436&gt;0,L436&gt;0),ROUND(L436/M436,0),IF(AND(J436&gt;0,B436&gt;0),ROUND(B436/J436,0),Y435)))</f>
        <v/>
      </c>
    </row>
    <row r="437">
      <c r="A437" s="67" t="n"/>
      <c r="B437" s="68" t="n"/>
      <c r="C437" s="69" t="n"/>
      <c r="D437" s="68" t="n"/>
      <c r="E437" s="69" t="n"/>
      <c r="F437" s="68" t="n"/>
      <c r="G437" s="69" t="n"/>
      <c r="H437" s="68" t="n"/>
      <c r="I437" s="70">
        <f>IF($A437="","",R436)</f>
        <v/>
      </c>
      <c r="J437" s="71">
        <f>IF($A437="","",IF(C437="",0,C437))</f>
        <v/>
      </c>
      <c r="K437" s="71">
        <f>IF($A437="","",IF(E437="",0,E437))</f>
        <v/>
      </c>
      <c r="L437" s="70">
        <f>IF($A437="","",B437-D437)</f>
        <v/>
      </c>
      <c r="M437" s="71">
        <f>IF($A437="","",J437-K437)</f>
        <v/>
      </c>
      <c r="N437" s="71">
        <f>IF($A437="","",IF(G437="",0,G437))</f>
        <v/>
      </c>
      <c r="O437" s="70">
        <f>IF($A437="","",D437+F437)</f>
        <v/>
      </c>
      <c r="P437" s="71">
        <f>IF($A437="","",K437+N437)</f>
        <v/>
      </c>
      <c r="Q437" s="70">
        <f>IF($A437="","",I437+L437-F437)</f>
        <v/>
      </c>
      <c r="R437" s="72">
        <f>IF($A437="","",IF(H437="",Q437,H437))</f>
        <v/>
      </c>
      <c r="S437" s="73">
        <f>IF($A437="","",R437-Q437)</f>
        <v/>
      </c>
      <c r="T437" s="70">
        <f>IF($A437="","",SUMIFS($B$5:$B$800,$A$5:$A$800,"&gt;="&amp;DATE(YEAR($A437),MONTH($A437),1),$A$5:$A$800,"&lt;="&amp;$A437)+IF(AND(YEAR($A437)=YEAR(Settings!$B$3),MONTH($A437)=MONTH(Settings!$B$3)),Settings!$B$6,0))</f>
        <v/>
      </c>
      <c r="U437" s="71">
        <f>IF($A437="","",SUMIFS($J$5:$J$800,$A$5:$A$800,"&gt;="&amp;DATE(YEAR($A437),MONTH($A437),1),$A$5:$A$800,"&lt;="&amp;$A437)+IF(AND(YEAR($A437)=YEAR(Settings!$B$3),MONTH($A437)=MONTH(Settings!$B$3)),Settings!$B$7,0))</f>
        <v/>
      </c>
      <c r="V437" s="70">
        <f>IF($A437="","",Settings!$B$8+SUM($B$5:B437))</f>
        <v/>
      </c>
      <c r="W437" s="71">
        <f>IF($A437="","",Settings!$B$9+SUM($J$5:J437))</f>
        <v/>
      </c>
      <c r="X437" s="71">
        <f>IF($A437="","",IF(AND(N437&gt;0,F437&gt;0),ROUND(F437/N437,0),X436))</f>
        <v/>
      </c>
      <c r="Y437" s="74">
        <f>IF($A437="","",IF(AND(M437&gt;0,L437&gt;0),ROUND(L437/M437,0),IF(AND(J437&gt;0,B437&gt;0),ROUND(B437/J437,0),Y436)))</f>
        <v/>
      </c>
    </row>
    <row r="438">
      <c r="A438" s="67" t="n"/>
      <c r="B438" s="68" t="n"/>
      <c r="C438" s="69" t="n"/>
      <c r="D438" s="68" t="n"/>
      <c r="E438" s="69" t="n"/>
      <c r="F438" s="68" t="n"/>
      <c r="G438" s="69" t="n"/>
      <c r="H438" s="68" t="n"/>
      <c r="I438" s="70">
        <f>IF($A438="","",R437)</f>
        <v/>
      </c>
      <c r="J438" s="71">
        <f>IF($A438="","",IF(C438="",0,C438))</f>
        <v/>
      </c>
      <c r="K438" s="71">
        <f>IF($A438="","",IF(E438="",0,E438))</f>
        <v/>
      </c>
      <c r="L438" s="70">
        <f>IF($A438="","",B438-D438)</f>
        <v/>
      </c>
      <c r="M438" s="71">
        <f>IF($A438="","",J438-K438)</f>
        <v/>
      </c>
      <c r="N438" s="71">
        <f>IF($A438="","",IF(G438="",0,G438))</f>
        <v/>
      </c>
      <c r="O438" s="70">
        <f>IF($A438="","",D438+F438)</f>
        <v/>
      </c>
      <c r="P438" s="71">
        <f>IF($A438="","",K438+N438)</f>
        <v/>
      </c>
      <c r="Q438" s="70">
        <f>IF($A438="","",I438+L438-F438)</f>
        <v/>
      </c>
      <c r="R438" s="72">
        <f>IF($A438="","",IF(H438="",Q438,H438))</f>
        <v/>
      </c>
      <c r="S438" s="73">
        <f>IF($A438="","",R438-Q438)</f>
        <v/>
      </c>
      <c r="T438" s="70">
        <f>IF($A438="","",SUMIFS($B$5:$B$800,$A$5:$A$800,"&gt;="&amp;DATE(YEAR($A438),MONTH($A438),1),$A$5:$A$800,"&lt;="&amp;$A438)+IF(AND(YEAR($A438)=YEAR(Settings!$B$3),MONTH($A438)=MONTH(Settings!$B$3)),Settings!$B$6,0))</f>
        <v/>
      </c>
      <c r="U438" s="71">
        <f>IF($A438="","",SUMIFS($J$5:$J$800,$A$5:$A$800,"&gt;="&amp;DATE(YEAR($A438),MONTH($A438),1),$A$5:$A$800,"&lt;="&amp;$A438)+IF(AND(YEAR($A438)=YEAR(Settings!$B$3),MONTH($A438)=MONTH(Settings!$B$3)),Settings!$B$7,0))</f>
        <v/>
      </c>
      <c r="V438" s="70">
        <f>IF($A438="","",Settings!$B$8+SUM($B$5:B438))</f>
        <v/>
      </c>
      <c r="W438" s="71">
        <f>IF($A438="","",Settings!$B$9+SUM($J$5:J438))</f>
        <v/>
      </c>
      <c r="X438" s="71">
        <f>IF($A438="","",IF(AND(N438&gt;0,F438&gt;0),ROUND(F438/N438,0),X437))</f>
        <v/>
      </c>
      <c r="Y438" s="74">
        <f>IF($A438="","",IF(AND(M438&gt;0,L438&gt;0),ROUND(L438/M438,0),IF(AND(J438&gt;0,B438&gt;0),ROUND(B438/J438,0),Y437)))</f>
        <v/>
      </c>
    </row>
    <row r="439">
      <c r="A439" s="67" t="n"/>
      <c r="B439" s="68" t="n"/>
      <c r="C439" s="69" t="n"/>
      <c r="D439" s="68" t="n"/>
      <c r="E439" s="69" t="n"/>
      <c r="F439" s="68" t="n"/>
      <c r="G439" s="69" t="n"/>
      <c r="H439" s="68" t="n"/>
      <c r="I439" s="70">
        <f>IF($A439="","",R438)</f>
        <v/>
      </c>
      <c r="J439" s="71">
        <f>IF($A439="","",IF(C439="",0,C439))</f>
        <v/>
      </c>
      <c r="K439" s="71">
        <f>IF($A439="","",IF(E439="",0,E439))</f>
        <v/>
      </c>
      <c r="L439" s="70">
        <f>IF($A439="","",B439-D439)</f>
        <v/>
      </c>
      <c r="M439" s="71">
        <f>IF($A439="","",J439-K439)</f>
        <v/>
      </c>
      <c r="N439" s="71">
        <f>IF($A439="","",IF(G439="",0,G439))</f>
        <v/>
      </c>
      <c r="O439" s="70">
        <f>IF($A439="","",D439+F439)</f>
        <v/>
      </c>
      <c r="P439" s="71">
        <f>IF($A439="","",K439+N439)</f>
        <v/>
      </c>
      <c r="Q439" s="70">
        <f>IF($A439="","",I439+L439-F439)</f>
        <v/>
      </c>
      <c r="R439" s="72">
        <f>IF($A439="","",IF(H439="",Q439,H439))</f>
        <v/>
      </c>
      <c r="S439" s="73">
        <f>IF($A439="","",R439-Q439)</f>
        <v/>
      </c>
      <c r="T439" s="70">
        <f>IF($A439="","",SUMIFS($B$5:$B$800,$A$5:$A$800,"&gt;="&amp;DATE(YEAR($A439),MONTH($A439),1),$A$5:$A$800,"&lt;="&amp;$A439)+IF(AND(YEAR($A439)=YEAR(Settings!$B$3),MONTH($A439)=MONTH(Settings!$B$3)),Settings!$B$6,0))</f>
        <v/>
      </c>
      <c r="U439" s="71">
        <f>IF($A439="","",SUMIFS($J$5:$J$800,$A$5:$A$800,"&gt;="&amp;DATE(YEAR($A439),MONTH($A439),1),$A$5:$A$800,"&lt;="&amp;$A439)+IF(AND(YEAR($A439)=YEAR(Settings!$B$3),MONTH($A439)=MONTH(Settings!$B$3)),Settings!$B$7,0))</f>
        <v/>
      </c>
      <c r="V439" s="70">
        <f>IF($A439="","",Settings!$B$8+SUM($B$5:B439))</f>
        <v/>
      </c>
      <c r="W439" s="71">
        <f>IF($A439="","",Settings!$B$9+SUM($J$5:J439))</f>
        <v/>
      </c>
      <c r="X439" s="71">
        <f>IF($A439="","",IF(AND(N439&gt;0,F439&gt;0),ROUND(F439/N439,0),X438))</f>
        <v/>
      </c>
      <c r="Y439" s="74">
        <f>IF($A439="","",IF(AND(M439&gt;0,L439&gt;0),ROUND(L439/M439,0),IF(AND(J439&gt;0,B439&gt;0),ROUND(B439/J439,0),Y438)))</f>
        <v/>
      </c>
    </row>
    <row r="440">
      <c r="A440" s="67" t="n"/>
      <c r="B440" s="68" t="n"/>
      <c r="C440" s="69" t="n"/>
      <c r="D440" s="68" t="n"/>
      <c r="E440" s="69" t="n"/>
      <c r="F440" s="68" t="n"/>
      <c r="G440" s="69" t="n"/>
      <c r="H440" s="68" t="n"/>
      <c r="I440" s="70">
        <f>IF($A440="","",R439)</f>
        <v/>
      </c>
      <c r="J440" s="71">
        <f>IF($A440="","",IF(C440="",0,C440))</f>
        <v/>
      </c>
      <c r="K440" s="71">
        <f>IF($A440="","",IF(E440="",0,E440))</f>
        <v/>
      </c>
      <c r="L440" s="70">
        <f>IF($A440="","",B440-D440)</f>
        <v/>
      </c>
      <c r="M440" s="71">
        <f>IF($A440="","",J440-K440)</f>
        <v/>
      </c>
      <c r="N440" s="71">
        <f>IF($A440="","",IF(G440="",0,G440))</f>
        <v/>
      </c>
      <c r="O440" s="70">
        <f>IF($A440="","",D440+F440)</f>
        <v/>
      </c>
      <c r="P440" s="71">
        <f>IF($A440="","",K440+N440)</f>
        <v/>
      </c>
      <c r="Q440" s="70">
        <f>IF($A440="","",I440+L440-F440)</f>
        <v/>
      </c>
      <c r="R440" s="72">
        <f>IF($A440="","",IF(H440="",Q440,H440))</f>
        <v/>
      </c>
      <c r="S440" s="73">
        <f>IF($A440="","",R440-Q440)</f>
        <v/>
      </c>
      <c r="T440" s="70">
        <f>IF($A440="","",SUMIFS($B$5:$B$800,$A$5:$A$800,"&gt;="&amp;DATE(YEAR($A440),MONTH($A440),1),$A$5:$A$800,"&lt;="&amp;$A440)+IF(AND(YEAR($A440)=YEAR(Settings!$B$3),MONTH($A440)=MONTH(Settings!$B$3)),Settings!$B$6,0))</f>
        <v/>
      </c>
      <c r="U440" s="71">
        <f>IF($A440="","",SUMIFS($J$5:$J$800,$A$5:$A$800,"&gt;="&amp;DATE(YEAR($A440),MONTH($A440),1),$A$5:$A$800,"&lt;="&amp;$A440)+IF(AND(YEAR($A440)=YEAR(Settings!$B$3),MONTH($A440)=MONTH(Settings!$B$3)),Settings!$B$7,0))</f>
        <v/>
      </c>
      <c r="V440" s="70">
        <f>IF($A440="","",Settings!$B$8+SUM($B$5:B440))</f>
        <v/>
      </c>
      <c r="W440" s="71">
        <f>IF($A440="","",Settings!$B$9+SUM($J$5:J440))</f>
        <v/>
      </c>
      <c r="X440" s="71">
        <f>IF($A440="","",IF(AND(N440&gt;0,F440&gt;0),ROUND(F440/N440,0),X439))</f>
        <v/>
      </c>
      <c r="Y440" s="74">
        <f>IF($A440="","",IF(AND(M440&gt;0,L440&gt;0),ROUND(L440/M440,0),IF(AND(J440&gt;0,B440&gt;0),ROUND(B440/J440,0),Y439)))</f>
        <v/>
      </c>
    </row>
    <row r="441">
      <c r="A441" s="67" t="n"/>
      <c r="B441" s="68" t="n"/>
      <c r="C441" s="69" t="n"/>
      <c r="D441" s="68" t="n"/>
      <c r="E441" s="69" t="n"/>
      <c r="F441" s="68" t="n"/>
      <c r="G441" s="69" t="n"/>
      <c r="H441" s="68" t="n"/>
      <c r="I441" s="70">
        <f>IF($A441="","",R440)</f>
        <v/>
      </c>
      <c r="J441" s="71">
        <f>IF($A441="","",IF(C441="",0,C441))</f>
        <v/>
      </c>
      <c r="K441" s="71">
        <f>IF($A441="","",IF(E441="",0,E441))</f>
        <v/>
      </c>
      <c r="L441" s="70">
        <f>IF($A441="","",B441-D441)</f>
        <v/>
      </c>
      <c r="M441" s="71">
        <f>IF($A441="","",J441-K441)</f>
        <v/>
      </c>
      <c r="N441" s="71">
        <f>IF($A441="","",IF(G441="",0,G441))</f>
        <v/>
      </c>
      <c r="O441" s="70">
        <f>IF($A441="","",D441+F441)</f>
        <v/>
      </c>
      <c r="P441" s="71">
        <f>IF($A441="","",K441+N441)</f>
        <v/>
      </c>
      <c r="Q441" s="70">
        <f>IF($A441="","",I441+L441-F441)</f>
        <v/>
      </c>
      <c r="R441" s="72">
        <f>IF($A441="","",IF(H441="",Q441,H441))</f>
        <v/>
      </c>
      <c r="S441" s="73">
        <f>IF($A441="","",R441-Q441)</f>
        <v/>
      </c>
      <c r="T441" s="70">
        <f>IF($A441="","",SUMIFS($B$5:$B$800,$A$5:$A$800,"&gt;="&amp;DATE(YEAR($A441),MONTH($A441),1),$A$5:$A$800,"&lt;="&amp;$A441)+IF(AND(YEAR($A441)=YEAR(Settings!$B$3),MONTH($A441)=MONTH(Settings!$B$3)),Settings!$B$6,0))</f>
        <v/>
      </c>
      <c r="U441" s="71">
        <f>IF($A441="","",SUMIFS($J$5:$J$800,$A$5:$A$800,"&gt;="&amp;DATE(YEAR($A441),MONTH($A441),1),$A$5:$A$800,"&lt;="&amp;$A441)+IF(AND(YEAR($A441)=YEAR(Settings!$B$3),MONTH($A441)=MONTH(Settings!$B$3)),Settings!$B$7,0))</f>
        <v/>
      </c>
      <c r="V441" s="70">
        <f>IF($A441="","",Settings!$B$8+SUM($B$5:B441))</f>
        <v/>
      </c>
      <c r="W441" s="71">
        <f>IF($A441="","",Settings!$B$9+SUM($J$5:J441))</f>
        <v/>
      </c>
      <c r="X441" s="71">
        <f>IF($A441="","",IF(AND(N441&gt;0,F441&gt;0),ROUND(F441/N441,0),X440))</f>
        <v/>
      </c>
      <c r="Y441" s="74">
        <f>IF($A441="","",IF(AND(M441&gt;0,L441&gt;0),ROUND(L441/M441,0),IF(AND(J441&gt;0,B441&gt;0),ROUND(B441/J441,0),Y440)))</f>
        <v/>
      </c>
    </row>
    <row r="442">
      <c r="A442" s="67" t="n"/>
      <c r="B442" s="68" t="n"/>
      <c r="C442" s="69" t="n"/>
      <c r="D442" s="68" t="n"/>
      <c r="E442" s="69" t="n"/>
      <c r="F442" s="68" t="n"/>
      <c r="G442" s="69" t="n"/>
      <c r="H442" s="68" t="n"/>
      <c r="I442" s="70">
        <f>IF($A442="","",R441)</f>
        <v/>
      </c>
      <c r="J442" s="71">
        <f>IF($A442="","",IF(C442="",0,C442))</f>
        <v/>
      </c>
      <c r="K442" s="71">
        <f>IF($A442="","",IF(E442="",0,E442))</f>
        <v/>
      </c>
      <c r="L442" s="70">
        <f>IF($A442="","",B442-D442)</f>
        <v/>
      </c>
      <c r="M442" s="71">
        <f>IF($A442="","",J442-K442)</f>
        <v/>
      </c>
      <c r="N442" s="71">
        <f>IF($A442="","",IF(G442="",0,G442))</f>
        <v/>
      </c>
      <c r="O442" s="70">
        <f>IF($A442="","",D442+F442)</f>
        <v/>
      </c>
      <c r="P442" s="71">
        <f>IF($A442="","",K442+N442)</f>
        <v/>
      </c>
      <c r="Q442" s="70">
        <f>IF($A442="","",I442+L442-F442)</f>
        <v/>
      </c>
      <c r="R442" s="72">
        <f>IF($A442="","",IF(H442="",Q442,H442))</f>
        <v/>
      </c>
      <c r="S442" s="73">
        <f>IF($A442="","",R442-Q442)</f>
        <v/>
      </c>
      <c r="T442" s="70">
        <f>IF($A442="","",SUMIFS($B$5:$B$800,$A$5:$A$800,"&gt;="&amp;DATE(YEAR($A442),MONTH($A442),1),$A$5:$A$800,"&lt;="&amp;$A442)+IF(AND(YEAR($A442)=YEAR(Settings!$B$3),MONTH($A442)=MONTH(Settings!$B$3)),Settings!$B$6,0))</f>
        <v/>
      </c>
      <c r="U442" s="71">
        <f>IF($A442="","",SUMIFS($J$5:$J$800,$A$5:$A$800,"&gt;="&amp;DATE(YEAR($A442),MONTH($A442),1),$A$5:$A$800,"&lt;="&amp;$A442)+IF(AND(YEAR($A442)=YEAR(Settings!$B$3),MONTH($A442)=MONTH(Settings!$B$3)),Settings!$B$7,0))</f>
        <v/>
      </c>
      <c r="V442" s="70">
        <f>IF($A442="","",Settings!$B$8+SUM($B$5:B442))</f>
        <v/>
      </c>
      <c r="W442" s="71">
        <f>IF($A442="","",Settings!$B$9+SUM($J$5:J442))</f>
        <v/>
      </c>
      <c r="X442" s="71">
        <f>IF($A442="","",IF(AND(N442&gt;0,F442&gt;0),ROUND(F442/N442,0),X441))</f>
        <v/>
      </c>
      <c r="Y442" s="74">
        <f>IF($A442="","",IF(AND(M442&gt;0,L442&gt;0),ROUND(L442/M442,0),IF(AND(J442&gt;0,B442&gt;0),ROUND(B442/J442,0),Y441)))</f>
        <v/>
      </c>
    </row>
    <row r="443">
      <c r="A443" s="67" t="n"/>
      <c r="B443" s="68" t="n"/>
      <c r="C443" s="69" t="n"/>
      <c r="D443" s="68" t="n"/>
      <c r="E443" s="69" t="n"/>
      <c r="F443" s="68" t="n"/>
      <c r="G443" s="69" t="n"/>
      <c r="H443" s="68" t="n"/>
      <c r="I443" s="70">
        <f>IF($A443="","",R442)</f>
        <v/>
      </c>
      <c r="J443" s="71">
        <f>IF($A443="","",IF(C443="",0,C443))</f>
        <v/>
      </c>
      <c r="K443" s="71">
        <f>IF($A443="","",IF(E443="",0,E443))</f>
        <v/>
      </c>
      <c r="L443" s="70">
        <f>IF($A443="","",B443-D443)</f>
        <v/>
      </c>
      <c r="M443" s="71">
        <f>IF($A443="","",J443-K443)</f>
        <v/>
      </c>
      <c r="N443" s="71">
        <f>IF($A443="","",IF(G443="",0,G443))</f>
        <v/>
      </c>
      <c r="O443" s="70">
        <f>IF($A443="","",D443+F443)</f>
        <v/>
      </c>
      <c r="P443" s="71">
        <f>IF($A443="","",K443+N443)</f>
        <v/>
      </c>
      <c r="Q443" s="70">
        <f>IF($A443="","",I443+L443-F443)</f>
        <v/>
      </c>
      <c r="R443" s="72">
        <f>IF($A443="","",IF(H443="",Q443,H443))</f>
        <v/>
      </c>
      <c r="S443" s="73">
        <f>IF($A443="","",R443-Q443)</f>
        <v/>
      </c>
      <c r="T443" s="70">
        <f>IF($A443="","",SUMIFS($B$5:$B$800,$A$5:$A$800,"&gt;="&amp;DATE(YEAR($A443),MONTH($A443),1),$A$5:$A$800,"&lt;="&amp;$A443)+IF(AND(YEAR($A443)=YEAR(Settings!$B$3),MONTH($A443)=MONTH(Settings!$B$3)),Settings!$B$6,0))</f>
        <v/>
      </c>
      <c r="U443" s="71">
        <f>IF($A443="","",SUMIFS($J$5:$J$800,$A$5:$A$800,"&gt;="&amp;DATE(YEAR($A443),MONTH($A443),1),$A$5:$A$800,"&lt;="&amp;$A443)+IF(AND(YEAR($A443)=YEAR(Settings!$B$3),MONTH($A443)=MONTH(Settings!$B$3)),Settings!$B$7,0))</f>
        <v/>
      </c>
      <c r="V443" s="70">
        <f>IF($A443="","",Settings!$B$8+SUM($B$5:B443))</f>
        <v/>
      </c>
      <c r="W443" s="71">
        <f>IF($A443="","",Settings!$B$9+SUM($J$5:J443))</f>
        <v/>
      </c>
      <c r="X443" s="71">
        <f>IF($A443="","",IF(AND(N443&gt;0,F443&gt;0),ROUND(F443/N443,0),X442))</f>
        <v/>
      </c>
      <c r="Y443" s="74">
        <f>IF($A443="","",IF(AND(M443&gt;0,L443&gt;0),ROUND(L443/M443,0),IF(AND(J443&gt;0,B443&gt;0),ROUND(B443/J443,0),Y442)))</f>
        <v/>
      </c>
    </row>
    <row r="444">
      <c r="A444" s="67" t="n"/>
      <c r="B444" s="68" t="n"/>
      <c r="C444" s="69" t="n"/>
      <c r="D444" s="68" t="n"/>
      <c r="E444" s="69" t="n"/>
      <c r="F444" s="68" t="n"/>
      <c r="G444" s="69" t="n"/>
      <c r="H444" s="68" t="n"/>
      <c r="I444" s="70">
        <f>IF($A444="","",R443)</f>
        <v/>
      </c>
      <c r="J444" s="71">
        <f>IF($A444="","",IF(C444="",0,C444))</f>
        <v/>
      </c>
      <c r="K444" s="71">
        <f>IF($A444="","",IF(E444="",0,E444))</f>
        <v/>
      </c>
      <c r="L444" s="70">
        <f>IF($A444="","",B444-D444)</f>
        <v/>
      </c>
      <c r="M444" s="71">
        <f>IF($A444="","",J444-K444)</f>
        <v/>
      </c>
      <c r="N444" s="71">
        <f>IF($A444="","",IF(G444="",0,G444))</f>
        <v/>
      </c>
      <c r="O444" s="70">
        <f>IF($A444="","",D444+F444)</f>
        <v/>
      </c>
      <c r="P444" s="71">
        <f>IF($A444="","",K444+N444)</f>
        <v/>
      </c>
      <c r="Q444" s="70">
        <f>IF($A444="","",I444+L444-F444)</f>
        <v/>
      </c>
      <c r="R444" s="72">
        <f>IF($A444="","",IF(H444="",Q444,H444))</f>
        <v/>
      </c>
      <c r="S444" s="73">
        <f>IF($A444="","",R444-Q444)</f>
        <v/>
      </c>
      <c r="T444" s="70">
        <f>IF($A444="","",SUMIFS($B$5:$B$800,$A$5:$A$800,"&gt;="&amp;DATE(YEAR($A444),MONTH($A444),1),$A$5:$A$800,"&lt;="&amp;$A444)+IF(AND(YEAR($A444)=YEAR(Settings!$B$3),MONTH($A444)=MONTH(Settings!$B$3)),Settings!$B$6,0))</f>
        <v/>
      </c>
      <c r="U444" s="71">
        <f>IF($A444="","",SUMIFS($J$5:$J$800,$A$5:$A$800,"&gt;="&amp;DATE(YEAR($A444),MONTH($A444),1),$A$5:$A$800,"&lt;="&amp;$A444)+IF(AND(YEAR($A444)=YEAR(Settings!$B$3),MONTH($A444)=MONTH(Settings!$B$3)),Settings!$B$7,0))</f>
        <v/>
      </c>
      <c r="V444" s="70">
        <f>IF($A444="","",Settings!$B$8+SUM($B$5:B444))</f>
        <v/>
      </c>
      <c r="W444" s="71">
        <f>IF($A444="","",Settings!$B$9+SUM($J$5:J444))</f>
        <v/>
      </c>
      <c r="X444" s="71">
        <f>IF($A444="","",IF(AND(N444&gt;0,F444&gt;0),ROUND(F444/N444,0),X443))</f>
        <v/>
      </c>
      <c r="Y444" s="74">
        <f>IF($A444="","",IF(AND(M444&gt;0,L444&gt;0),ROUND(L444/M444,0),IF(AND(J444&gt;0,B444&gt;0),ROUND(B444/J444,0),Y443)))</f>
        <v/>
      </c>
    </row>
    <row r="445">
      <c r="A445" s="67" t="n"/>
      <c r="B445" s="68" t="n"/>
      <c r="C445" s="69" t="n"/>
      <c r="D445" s="68" t="n"/>
      <c r="E445" s="69" t="n"/>
      <c r="F445" s="68" t="n"/>
      <c r="G445" s="69" t="n"/>
      <c r="H445" s="68" t="n"/>
      <c r="I445" s="70">
        <f>IF($A445="","",R444)</f>
        <v/>
      </c>
      <c r="J445" s="71">
        <f>IF($A445="","",IF(C445="",0,C445))</f>
        <v/>
      </c>
      <c r="K445" s="71">
        <f>IF($A445="","",IF(E445="",0,E445))</f>
        <v/>
      </c>
      <c r="L445" s="70">
        <f>IF($A445="","",B445-D445)</f>
        <v/>
      </c>
      <c r="M445" s="71">
        <f>IF($A445="","",J445-K445)</f>
        <v/>
      </c>
      <c r="N445" s="71">
        <f>IF($A445="","",IF(G445="",0,G445))</f>
        <v/>
      </c>
      <c r="O445" s="70">
        <f>IF($A445="","",D445+F445)</f>
        <v/>
      </c>
      <c r="P445" s="71">
        <f>IF($A445="","",K445+N445)</f>
        <v/>
      </c>
      <c r="Q445" s="70">
        <f>IF($A445="","",I445+L445-F445)</f>
        <v/>
      </c>
      <c r="R445" s="72">
        <f>IF($A445="","",IF(H445="",Q445,H445))</f>
        <v/>
      </c>
      <c r="S445" s="73">
        <f>IF($A445="","",R445-Q445)</f>
        <v/>
      </c>
      <c r="T445" s="70">
        <f>IF($A445="","",SUMIFS($B$5:$B$800,$A$5:$A$800,"&gt;="&amp;DATE(YEAR($A445),MONTH($A445),1),$A$5:$A$800,"&lt;="&amp;$A445)+IF(AND(YEAR($A445)=YEAR(Settings!$B$3),MONTH($A445)=MONTH(Settings!$B$3)),Settings!$B$6,0))</f>
        <v/>
      </c>
      <c r="U445" s="71">
        <f>IF($A445="","",SUMIFS($J$5:$J$800,$A$5:$A$800,"&gt;="&amp;DATE(YEAR($A445),MONTH($A445),1),$A$5:$A$800,"&lt;="&amp;$A445)+IF(AND(YEAR($A445)=YEAR(Settings!$B$3),MONTH($A445)=MONTH(Settings!$B$3)),Settings!$B$7,0))</f>
        <v/>
      </c>
      <c r="V445" s="70">
        <f>IF($A445="","",Settings!$B$8+SUM($B$5:B445))</f>
        <v/>
      </c>
      <c r="W445" s="71">
        <f>IF($A445="","",Settings!$B$9+SUM($J$5:J445))</f>
        <v/>
      </c>
      <c r="X445" s="71">
        <f>IF($A445="","",IF(AND(N445&gt;0,F445&gt;0),ROUND(F445/N445,0),X444))</f>
        <v/>
      </c>
      <c r="Y445" s="74">
        <f>IF($A445="","",IF(AND(M445&gt;0,L445&gt;0),ROUND(L445/M445,0),IF(AND(J445&gt;0,B445&gt;0),ROUND(B445/J445,0),Y444)))</f>
        <v/>
      </c>
    </row>
    <row r="446">
      <c r="A446" s="67" t="n"/>
      <c r="B446" s="68" t="n"/>
      <c r="C446" s="69" t="n"/>
      <c r="D446" s="68" t="n"/>
      <c r="E446" s="69" t="n"/>
      <c r="F446" s="68" t="n"/>
      <c r="G446" s="69" t="n"/>
      <c r="H446" s="68" t="n"/>
      <c r="I446" s="70">
        <f>IF($A446="","",R445)</f>
        <v/>
      </c>
      <c r="J446" s="71">
        <f>IF($A446="","",IF(C446="",0,C446))</f>
        <v/>
      </c>
      <c r="K446" s="71">
        <f>IF($A446="","",IF(E446="",0,E446))</f>
        <v/>
      </c>
      <c r="L446" s="70">
        <f>IF($A446="","",B446-D446)</f>
        <v/>
      </c>
      <c r="M446" s="71">
        <f>IF($A446="","",J446-K446)</f>
        <v/>
      </c>
      <c r="N446" s="71">
        <f>IF($A446="","",IF(G446="",0,G446))</f>
        <v/>
      </c>
      <c r="O446" s="70">
        <f>IF($A446="","",D446+F446)</f>
        <v/>
      </c>
      <c r="P446" s="71">
        <f>IF($A446="","",K446+N446)</f>
        <v/>
      </c>
      <c r="Q446" s="70">
        <f>IF($A446="","",I446+L446-F446)</f>
        <v/>
      </c>
      <c r="R446" s="72">
        <f>IF($A446="","",IF(H446="",Q446,H446))</f>
        <v/>
      </c>
      <c r="S446" s="73">
        <f>IF($A446="","",R446-Q446)</f>
        <v/>
      </c>
      <c r="T446" s="70">
        <f>IF($A446="","",SUMIFS($B$5:$B$800,$A$5:$A$800,"&gt;="&amp;DATE(YEAR($A446),MONTH($A446),1),$A$5:$A$800,"&lt;="&amp;$A446)+IF(AND(YEAR($A446)=YEAR(Settings!$B$3),MONTH($A446)=MONTH(Settings!$B$3)),Settings!$B$6,0))</f>
        <v/>
      </c>
      <c r="U446" s="71">
        <f>IF($A446="","",SUMIFS($J$5:$J$800,$A$5:$A$800,"&gt;="&amp;DATE(YEAR($A446),MONTH($A446),1),$A$5:$A$800,"&lt;="&amp;$A446)+IF(AND(YEAR($A446)=YEAR(Settings!$B$3),MONTH($A446)=MONTH(Settings!$B$3)),Settings!$B$7,0))</f>
        <v/>
      </c>
      <c r="V446" s="70">
        <f>IF($A446="","",Settings!$B$8+SUM($B$5:B446))</f>
        <v/>
      </c>
      <c r="W446" s="71">
        <f>IF($A446="","",Settings!$B$9+SUM($J$5:J446))</f>
        <v/>
      </c>
      <c r="X446" s="71">
        <f>IF($A446="","",IF(AND(N446&gt;0,F446&gt;0),ROUND(F446/N446,0),X445))</f>
        <v/>
      </c>
      <c r="Y446" s="74">
        <f>IF($A446="","",IF(AND(M446&gt;0,L446&gt;0),ROUND(L446/M446,0),IF(AND(J446&gt;0,B446&gt;0),ROUND(B446/J446,0),Y445)))</f>
        <v/>
      </c>
    </row>
    <row r="447">
      <c r="A447" s="67" t="n"/>
      <c r="B447" s="68" t="n"/>
      <c r="C447" s="69" t="n"/>
      <c r="D447" s="68" t="n"/>
      <c r="E447" s="69" t="n"/>
      <c r="F447" s="68" t="n"/>
      <c r="G447" s="69" t="n"/>
      <c r="H447" s="68" t="n"/>
      <c r="I447" s="70">
        <f>IF($A447="","",R446)</f>
        <v/>
      </c>
      <c r="J447" s="71">
        <f>IF($A447="","",IF(C447="",0,C447))</f>
        <v/>
      </c>
      <c r="K447" s="71">
        <f>IF($A447="","",IF(E447="",0,E447))</f>
        <v/>
      </c>
      <c r="L447" s="70">
        <f>IF($A447="","",B447-D447)</f>
        <v/>
      </c>
      <c r="M447" s="71">
        <f>IF($A447="","",J447-K447)</f>
        <v/>
      </c>
      <c r="N447" s="71">
        <f>IF($A447="","",IF(G447="",0,G447))</f>
        <v/>
      </c>
      <c r="O447" s="70">
        <f>IF($A447="","",D447+F447)</f>
        <v/>
      </c>
      <c r="P447" s="71">
        <f>IF($A447="","",K447+N447)</f>
        <v/>
      </c>
      <c r="Q447" s="70">
        <f>IF($A447="","",I447+L447-F447)</f>
        <v/>
      </c>
      <c r="R447" s="72">
        <f>IF($A447="","",IF(H447="",Q447,H447))</f>
        <v/>
      </c>
      <c r="S447" s="73">
        <f>IF($A447="","",R447-Q447)</f>
        <v/>
      </c>
      <c r="T447" s="70">
        <f>IF($A447="","",SUMIFS($B$5:$B$800,$A$5:$A$800,"&gt;="&amp;DATE(YEAR($A447),MONTH($A447),1),$A$5:$A$800,"&lt;="&amp;$A447)+IF(AND(YEAR($A447)=YEAR(Settings!$B$3),MONTH($A447)=MONTH(Settings!$B$3)),Settings!$B$6,0))</f>
        <v/>
      </c>
      <c r="U447" s="71">
        <f>IF($A447="","",SUMIFS($J$5:$J$800,$A$5:$A$800,"&gt;="&amp;DATE(YEAR($A447),MONTH($A447),1),$A$5:$A$800,"&lt;="&amp;$A447)+IF(AND(YEAR($A447)=YEAR(Settings!$B$3),MONTH($A447)=MONTH(Settings!$B$3)),Settings!$B$7,0))</f>
        <v/>
      </c>
      <c r="V447" s="70">
        <f>IF($A447="","",Settings!$B$8+SUM($B$5:B447))</f>
        <v/>
      </c>
      <c r="W447" s="71">
        <f>IF($A447="","",Settings!$B$9+SUM($J$5:J447))</f>
        <v/>
      </c>
      <c r="X447" s="71">
        <f>IF($A447="","",IF(AND(N447&gt;0,F447&gt;0),ROUND(F447/N447,0),X446))</f>
        <v/>
      </c>
      <c r="Y447" s="74">
        <f>IF($A447="","",IF(AND(M447&gt;0,L447&gt;0),ROUND(L447/M447,0),IF(AND(J447&gt;0,B447&gt;0),ROUND(B447/J447,0),Y446)))</f>
        <v/>
      </c>
    </row>
    <row r="448">
      <c r="A448" s="67" t="n"/>
      <c r="B448" s="68" t="n"/>
      <c r="C448" s="69" t="n"/>
      <c r="D448" s="68" t="n"/>
      <c r="E448" s="69" t="n"/>
      <c r="F448" s="68" t="n"/>
      <c r="G448" s="69" t="n"/>
      <c r="H448" s="68" t="n"/>
      <c r="I448" s="70">
        <f>IF($A448="","",R447)</f>
        <v/>
      </c>
      <c r="J448" s="71">
        <f>IF($A448="","",IF(C448="",0,C448))</f>
        <v/>
      </c>
      <c r="K448" s="71">
        <f>IF($A448="","",IF(E448="",0,E448))</f>
        <v/>
      </c>
      <c r="L448" s="70">
        <f>IF($A448="","",B448-D448)</f>
        <v/>
      </c>
      <c r="M448" s="71">
        <f>IF($A448="","",J448-K448)</f>
        <v/>
      </c>
      <c r="N448" s="71">
        <f>IF($A448="","",IF(G448="",0,G448))</f>
        <v/>
      </c>
      <c r="O448" s="70">
        <f>IF($A448="","",D448+F448)</f>
        <v/>
      </c>
      <c r="P448" s="71">
        <f>IF($A448="","",K448+N448)</f>
        <v/>
      </c>
      <c r="Q448" s="70">
        <f>IF($A448="","",I448+L448-F448)</f>
        <v/>
      </c>
      <c r="R448" s="72">
        <f>IF($A448="","",IF(H448="",Q448,H448))</f>
        <v/>
      </c>
      <c r="S448" s="73">
        <f>IF($A448="","",R448-Q448)</f>
        <v/>
      </c>
      <c r="T448" s="70">
        <f>IF($A448="","",SUMIFS($B$5:$B$800,$A$5:$A$800,"&gt;="&amp;DATE(YEAR($A448),MONTH($A448),1),$A$5:$A$800,"&lt;="&amp;$A448)+IF(AND(YEAR($A448)=YEAR(Settings!$B$3),MONTH($A448)=MONTH(Settings!$B$3)),Settings!$B$6,0))</f>
        <v/>
      </c>
      <c r="U448" s="71">
        <f>IF($A448="","",SUMIFS($J$5:$J$800,$A$5:$A$800,"&gt;="&amp;DATE(YEAR($A448),MONTH($A448),1),$A$5:$A$800,"&lt;="&amp;$A448)+IF(AND(YEAR($A448)=YEAR(Settings!$B$3),MONTH($A448)=MONTH(Settings!$B$3)),Settings!$B$7,0))</f>
        <v/>
      </c>
      <c r="V448" s="70">
        <f>IF($A448="","",Settings!$B$8+SUM($B$5:B448))</f>
        <v/>
      </c>
      <c r="W448" s="71">
        <f>IF($A448="","",Settings!$B$9+SUM($J$5:J448))</f>
        <v/>
      </c>
      <c r="X448" s="71">
        <f>IF($A448="","",IF(AND(N448&gt;0,F448&gt;0),ROUND(F448/N448,0),X447))</f>
        <v/>
      </c>
      <c r="Y448" s="74">
        <f>IF($A448="","",IF(AND(M448&gt;0,L448&gt;0),ROUND(L448/M448,0),IF(AND(J448&gt;0,B448&gt;0),ROUND(B448/J448,0),Y447)))</f>
        <v/>
      </c>
    </row>
    <row r="449">
      <c r="A449" s="67" t="n"/>
      <c r="B449" s="68" t="n"/>
      <c r="C449" s="69" t="n"/>
      <c r="D449" s="68" t="n"/>
      <c r="E449" s="69" t="n"/>
      <c r="F449" s="68" t="n"/>
      <c r="G449" s="69" t="n"/>
      <c r="H449" s="68" t="n"/>
      <c r="I449" s="70">
        <f>IF($A449="","",R448)</f>
        <v/>
      </c>
      <c r="J449" s="71">
        <f>IF($A449="","",IF(C449="",0,C449))</f>
        <v/>
      </c>
      <c r="K449" s="71">
        <f>IF($A449="","",IF(E449="",0,E449))</f>
        <v/>
      </c>
      <c r="L449" s="70">
        <f>IF($A449="","",B449-D449)</f>
        <v/>
      </c>
      <c r="M449" s="71">
        <f>IF($A449="","",J449-K449)</f>
        <v/>
      </c>
      <c r="N449" s="71">
        <f>IF($A449="","",IF(G449="",0,G449))</f>
        <v/>
      </c>
      <c r="O449" s="70">
        <f>IF($A449="","",D449+F449)</f>
        <v/>
      </c>
      <c r="P449" s="71">
        <f>IF($A449="","",K449+N449)</f>
        <v/>
      </c>
      <c r="Q449" s="70">
        <f>IF($A449="","",I449+L449-F449)</f>
        <v/>
      </c>
      <c r="R449" s="72">
        <f>IF($A449="","",IF(H449="",Q449,H449))</f>
        <v/>
      </c>
      <c r="S449" s="73">
        <f>IF($A449="","",R449-Q449)</f>
        <v/>
      </c>
      <c r="T449" s="70">
        <f>IF($A449="","",SUMIFS($B$5:$B$800,$A$5:$A$800,"&gt;="&amp;DATE(YEAR($A449),MONTH($A449),1),$A$5:$A$800,"&lt;="&amp;$A449)+IF(AND(YEAR($A449)=YEAR(Settings!$B$3),MONTH($A449)=MONTH(Settings!$B$3)),Settings!$B$6,0))</f>
        <v/>
      </c>
      <c r="U449" s="71">
        <f>IF($A449="","",SUMIFS($J$5:$J$800,$A$5:$A$800,"&gt;="&amp;DATE(YEAR($A449),MONTH($A449),1),$A$5:$A$800,"&lt;="&amp;$A449)+IF(AND(YEAR($A449)=YEAR(Settings!$B$3),MONTH($A449)=MONTH(Settings!$B$3)),Settings!$B$7,0))</f>
        <v/>
      </c>
      <c r="V449" s="70">
        <f>IF($A449="","",Settings!$B$8+SUM($B$5:B449))</f>
        <v/>
      </c>
      <c r="W449" s="71">
        <f>IF($A449="","",Settings!$B$9+SUM($J$5:J449))</f>
        <v/>
      </c>
      <c r="X449" s="71">
        <f>IF($A449="","",IF(AND(N449&gt;0,F449&gt;0),ROUND(F449/N449,0),X448))</f>
        <v/>
      </c>
      <c r="Y449" s="74">
        <f>IF($A449="","",IF(AND(M449&gt;0,L449&gt;0),ROUND(L449/M449,0),IF(AND(J449&gt;0,B449&gt;0),ROUND(B449/J449,0),Y448)))</f>
        <v/>
      </c>
    </row>
    <row r="450">
      <c r="A450" s="67" t="n"/>
      <c r="B450" s="68" t="n"/>
      <c r="C450" s="69" t="n"/>
      <c r="D450" s="68" t="n"/>
      <c r="E450" s="69" t="n"/>
      <c r="F450" s="68" t="n"/>
      <c r="G450" s="69" t="n"/>
      <c r="H450" s="68" t="n"/>
      <c r="I450" s="70">
        <f>IF($A450="","",R449)</f>
        <v/>
      </c>
      <c r="J450" s="71">
        <f>IF($A450="","",IF(C450="",0,C450))</f>
        <v/>
      </c>
      <c r="K450" s="71">
        <f>IF($A450="","",IF(E450="",0,E450))</f>
        <v/>
      </c>
      <c r="L450" s="70">
        <f>IF($A450="","",B450-D450)</f>
        <v/>
      </c>
      <c r="M450" s="71">
        <f>IF($A450="","",J450-K450)</f>
        <v/>
      </c>
      <c r="N450" s="71">
        <f>IF($A450="","",IF(G450="",0,G450))</f>
        <v/>
      </c>
      <c r="O450" s="70">
        <f>IF($A450="","",D450+F450)</f>
        <v/>
      </c>
      <c r="P450" s="71">
        <f>IF($A450="","",K450+N450)</f>
        <v/>
      </c>
      <c r="Q450" s="70">
        <f>IF($A450="","",I450+L450-F450)</f>
        <v/>
      </c>
      <c r="R450" s="72">
        <f>IF($A450="","",IF(H450="",Q450,H450))</f>
        <v/>
      </c>
      <c r="S450" s="73">
        <f>IF($A450="","",R450-Q450)</f>
        <v/>
      </c>
      <c r="T450" s="70">
        <f>IF($A450="","",SUMIFS($B$5:$B$800,$A$5:$A$800,"&gt;="&amp;DATE(YEAR($A450),MONTH($A450),1),$A$5:$A$800,"&lt;="&amp;$A450)+IF(AND(YEAR($A450)=YEAR(Settings!$B$3),MONTH($A450)=MONTH(Settings!$B$3)),Settings!$B$6,0))</f>
        <v/>
      </c>
      <c r="U450" s="71">
        <f>IF($A450="","",SUMIFS($J$5:$J$800,$A$5:$A$800,"&gt;="&amp;DATE(YEAR($A450),MONTH($A450),1),$A$5:$A$800,"&lt;="&amp;$A450)+IF(AND(YEAR($A450)=YEAR(Settings!$B$3),MONTH($A450)=MONTH(Settings!$B$3)),Settings!$B$7,0))</f>
        <v/>
      </c>
      <c r="V450" s="70">
        <f>IF($A450="","",Settings!$B$8+SUM($B$5:B450))</f>
        <v/>
      </c>
      <c r="W450" s="71">
        <f>IF($A450="","",Settings!$B$9+SUM($J$5:J450))</f>
        <v/>
      </c>
      <c r="X450" s="71">
        <f>IF($A450="","",IF(AND(N450&gt;0,F450&gt;0),ROUND(F450/N450,0),X449))</f>
        <v/>
      </c>
      <c r="Y450" s="74">
        <f>IF($A450="","",IF(AND(M450&gt;0,L450&gt;0),ROUND(L450/M450,0),IF(AND(J450&gt;0,B450&gt;0),ROUND(B450/J450,0),Y449)))</f>
        <v/>
      </c>
    </row>
    <row r="451">
      <c r="A451" s="67" t="n"/>
      <c r="B451" s="68" t="n"/>
      <c r="C451" s="69" t="n"/>
      <c r="D451" s="68" t="n"/>
      <c r="E451" s="69" t="n"/>
      <c r="F451" s="68" t="n"/>
      <c r="G451" s="69" t="n"/>
      <c r="H451" s="68" t="n"/>
      <c r="I451" s="70">
        <f>IF($A451="","",R450)</f>
        <v/>
      </c>
      <c r="J451" s="71">
        <f>IF($A451="","",IF(C451="",0,C451))</f>
        <v/>
      </c>
      <c r="K451" s="71">
        <f>IF($A451="","",IF(E451="",0,E451))</f>
        <v/>
      </c>
      <c r="L451" s="70">
        <f>IF($A451="","",B451-D451)</f>
        <v/>
      </c>
      <c r="M451" s="71">
        <f>IF($A451="","",J451-K451)</f>
        <v/>
      </c>
      <c r="N451" s="71">
        <f>IF($A451="","",IF(G451="",0,G451))</f>
        <v/>
      </c>
      <c r="O451" s="70">
        <f>IF($A451="","",D451+F451)</f>
        <v/>
      </c>
      <c r="P451" s="71">
        <f>IF($A451="","",K451+N451)</f>
        <v/>
      </c>
      <c r="Q451" s="70">
        <f>IF($A451="","",I451+L451-F451)</f>
        <v/>
      </c>
      <c r="R451" s="72">
        <f>IF($A451="","",IF(H451="",Q451,H451))</f>
        <v/>
      </c>
      <c r="S451" s="73">
        <f>IF($A451="","",R451-Q451)</f>
        <v/>
      </c>
      <c r="T451" s="70">
        <f>IF($A451="","",SUMIFS($B$5:$B$800,$A$5:$A$800,"&gt;="&amp;DATE(YEAR($A451),MONTH($A451),1),$A$5:$A$800,"&lt;="&amp;$A451)+IF(AND(YEAR($A451)=YEAR(Settings!$B$3),MONTH($A451)=MONTH(Settings!$B$3)),Settings!$B$6,0))</f>
        <v/>
      </c>
      <c r="U451" s="71">
        <f>IF($A451="","",SUMIFS($J$5:$J$800,$A$5:$A$800,"&gt;="&amp;DATE(YEAR($A451),MONTH($A451),1),$A$5:$A$800,"&lt;="&amp;$A451)+IF(AND(YEAR($A451)=YEAR(Settings!$B$3),MONTH($A451)=MONTH(Settings!$B$3)),Settings!$B$7,0))</f>
        <v/>
      </c>
      <c r="V451" s="70">
        <f>IF($A451="","",Settings!$B$8+SUM($B$5:B451))</f>
        <v/>
      </c>
      <c r="W451" s="71">
        <f>IF($A451="","",Settings!$B$9+SUM($J$5:J451))</f>
        <v/>
      </c>
      <c r="X451" s="71">
        <f>IF($A451="","",IF(AND(N451&gt;0,F451&gt;0),ROUND(F451/N451,0),X450))</f>
        <v/>
      </c>
      <c r="Y451" s="74">
        <f>IF($A451="","",IF(AND(M451&gt;0,L451&gt;0),ROUND(L451/M451,0),IF(AND(J451&gt;0,B451&gt;0),ROUND(B451/J451,0),Y450)))</f>
        <v/>
      </c>
    </row>
    <row r="452">
      <c r="A452" s="67" t="n"/>
      <c r="B452" s="68" t="n"/>
      <c r="C452" s="69" t="n"/>
      <c r="D452" s="68" t="n"/>
      <c r="E452" s="69" t="n"/>
      <c r="F452" s="68" t="n"/>
      <c r="G452" s="69" t="n"/>
      <c r="H452" s="68" t="n"/>
      <c r="I452" s="70">
        <f>IF($A452="","",R451)</f>
        <v/>
      </c>
      <c r="J452" s="71">
        <f>IF($A452="","",IF(C452="",0,C452))</f>
        <v/>
      </c>
      <c r="K452" s="71">
        <f>IF($A452="","",IF(E452="",0,E452))</f>
        <v/>
      </c>
      <c r="L452" s="70">
        <f>IF($A452="","",B452-D452)</f>
        <v/>
      </c>
      <c r="M452" s="71">
        <f>IF($A452="","",J452-K452)</f>
        <v/>
      </c>
      <c r="N452" s="71">
        <f>IF($A452="","",IF(G452="",0,G452))</f>
        <v/>
      </c>
      <c r="O452" s="70">
        <f>IF($A452="","",D452+F452)</f>
        <v/>
      </c>
      <c r="P452" s="71">
        <f>IF($A452="","",K452+N452)</f>
        <v/>
      </c>
      <c r="Q452" s="70">
        <f>IF($A452="","",I452+L452-F452)</f>
        <v/>
      </c>
      <c r="R452" s="72">
        <f>IF($A452="","",IF(H452="",Q452,H452))</f>
        <v/>
      </c>
      <c r="S452" s="73">
        <f>IF($A452="","",R452-Q452)</f>
        <v/>
      </c>
      <c r="T452" s="70">
        <f>IF($A452="","",SUMIFS($B$5:$B$800,$A$5:$A$800,"&gt;="&amp;DATE(YEAR($A452),MONTH($A452),1),$A$5:$A$800,"&lt;="&amp;$A452)+IF(AND(YEAR($A452)=YEAR(Settings!$B$3),MONTH($A452)=MONTH(Settings!$B$3)),Settings!$B$6,0))</f>
        <v/>
      </c>
      <c r="U452" s="71">
        <f>IF($A452="","",SUMIFS($J$5:$J$800,$A$5:$A$800,"&gt;="&amp;DATE(YEAR($A452),MONTH($A452),1),$A$5:$A$800,"&lt;="&amp;$A452)+IF(AND(YEAR($A452)=YEAR(Settings!$B$3),MONTH($A452)=MONTH(Settings!$B$3)),Settings!$B$7,0))</f>
        <v/>
      </c>
      <c r="V452" s="70">
        <f>IF($A452="","",Settings!$B$8+SUM($B$5:B452))</f>
        <v/>
      </c>
      <c r="W452" s="71">
        <f>IF($A452="","",Settings!$B$9+SUM($J$5:J452))</f>
        <v/>
      </c>
      <c r="X452" s="71">
        <f>IF($A452="","",IF(AND(N452&gt;0,F452&gt;0),ROUND(F452/N452,0),X451))</f>
        <v/>
      </c>
      <c r="Y452" s="74">
        <f>IF($A452="","",IF(AND(M452&gt;0,L452&gt;0),ROUND(L452/M452,0),IF(AND(J452&gt;0,B452&gt;0),ROUND(B452/J452,0),Y451)))</f>
        <v/>
      </c>
    </row>
    <row r="453">
      <c r="A453" s="67" t="n"/>
      <c r="B453" s="68" t="n"/>
      <c r="C453" s="69" t="n"/>
      <c r="D453" s="68" t="n"/>
      <c r="E453" s="69" t="n"/>
      <c r="F453" s="68" t="n"/>
      <c r="G453" s="69" t="n"/>
      <c r="H453" s="68" t="n"/>
      <c r="I453" s="70">
        <f>IF($A453="","",R452)</f>
        <v/>
      </c>
      <c r="J453" s="71">
        <f>IF($A453="","",IF(C453="",0,C453))</f>
        <v/>
      </c>
      <c r="K453" s="71">
        <f>IF($A453="","",IF(E453="",0,E453))</f>
        <v/>
      </c>
      <c r="L453" s="70">
        <f>IF($A453="","",B453-D453)</f>
        <v/>
      </c>
      <c r="M453" s="71">
        <f>IF($A453="","",J453-K453)</f>
        <v/>
      </c>
      <c r="N453" s="71">
        <f>IF($A453="","",IF(G453="",0,G453))</f>
        <v/>
      </c>
      <c r="O453" s="70">
        <f>IF($A453="","",D453+F453)</f>
        <v/>
      </c>
      <c r="P453" s="71">
        <f>IF($A453="","",K453+N453)</f>
        <v/>
      </c>
      <c r="Q453" s="70">
        <f>IF($A453="","",I453+L453-F453)</f>
        <v/>
      </c>
      <c r="R453" s="72">
        <f>IF($A453="","",IF(H453="",Q453,H453))</f>
        <v/>
      </c>
      <c r="S453" s="73">
        <f>IF($A453="","",R453-Q453)</f>
        <v/>
      </c>
      <c r="T453" s="70">
        <f>IF($A453="","",SUMIFS($B$5:$B$800,$A$5:$A$800,"&gt;="&amp;DATE(YEAR($A453),MONTH($A453),1),$A$5:$A$800,"&lt;="&amp;$A453)+IF(AND(YEAR($A453)=YEAR(Settings!$B$3),MONTH($A453)=MONTH(Settings!$B$3)),Settings!$B$6,0))</f>
        <v/>
      </c>
      <c r="U453" s="71">
        <f>IF($A453="","",SUMIFS($J$5:$J$800,$A$5:$A$800,"&gt;="&amp;DATE(YEAR($A453),MONTH($A453),1),$A$5:$A$800,"&lt;="&amp;$A453)+IF(AND(YEAR($A453)=YEAR(Settings!$B$3),MONTH($A453)=MONTH(Settings!$B$3)),Settings!$B$7,0))</f>
        <v/>
      </c>
      <c r="V453" s="70">
        <f>IF($A453="","",Settings!$B$8+SUM($B$5:B453))</f>
        <v/>
      </c>
      <c r="W453" s="71">
        <f>IF($A453="","",Settings!$B$9+SUM($J$5:J453))</f>
        <v/>
      </c>
      <c r="X453" s="71">
        <f>IF($A453="","",IF(AND(N453&gt;0,F453&gt;0),ROUND(F453/N453,0),X452))</f>
        <v/>
      </c>
      <c r="Y453" s="74">
        <f>IF($A453="","",IF(AND(M453&gt;0,L453&gt;0),ROUND(L453/M453,0),IF(AND(J453&gt;0,B453&gt;0),ROUND(B453/J453,0),Y452)))</f>
        <v/>
      </c>
    </row>
    <row r="454">
      <c r="A454" s="67" t="n"/>
      <c r="B454" s="68" t="n"/>
      <c r="C454" s="69" t="n"/>
      <c r="D454" s="68" t="n"/>
      <c r="E454" s="69" t="n"/>
      <c r="F454" s="68" t="n"/>
      <c r="G454" s="69" t="n"/>
      <c r="H454" s="68" t="n"/>
      <c r="I454" s="70">
        <f>IF($A454="","",R453)</f>
        <v/>
      </c>
      <c r="J454" s="71">
        <f>IF($A454="","",IF(C454="",0,C454))</f>
        <v/>
      </c>
      <c r="K454" s="71">
        <f>IF($A454="","",IF(E454="",0,E454))</f>
        <v/>
      </c>
      <c r="L454" s="70">
        <f>IF($A454="","",B454-D454)</f>
        <v/>
      </c>
      <c r="M454" s="71">
        <f>IF($A454="","",J454-K454)</f>
        <v/>
      </c>
      <c r="N454" s="71">
        <f>IF($A454="","",IF(G454="",0,G454))</f>
        <v/>
      </c>
      <c r="O454" s="70">
        <f>IF($A454="","",D454+F454)</f>
        <v/>
      </c>
      <c r="P454" s="71">
        <f>IF($A454="","",K454+N454)</f>
        <v/>
      </c>
      <c r="Q454" s="70">
        <f>IF($A454="","",I454+L454-F454)</f>
        <v/>
      </c>
      <c r="R454" s="72">
        <f>IF($A454="","",IF(H454="",Q454,H454))</f>
        <v/>
      </c>
      <c r="S454" s="73">
        <f>IF($A454="","",R454-Q454)</f>
        <v/>
      </c>
      <c r="T454" s="70">
        <f>IF($A454="","",SUMIFS($B$5:$B$800,$A$5:$A$800,"&gt;="&amp;DATE(YEAR($A454),MONTH($A454),1),$A$5:$A$800,"&lt;="&amp;$A454)+IF(AND(YEAR($A454)=YEAR(Settings!$B$3),MONTH($A454)=MONTH(Settings!$B$3)),Settings!$B$6,0))</f>
        <v/>
      </c>
      <c r="U454" s="71">
        <f>IF($A454="","",SUMIFS($J$5:$J$800,$A$5:$A$800,"&gt;="&amp;DATE(YEAR($A454),MONTH($A454),1),$A$5:$A$800,"&lt;="&amp;$A454)+IF(AND(YEAR($A454)=YEAR(Settings!$B$3),MONTH($A454)=MONTH(Settings!$B$3)),Settings!$B$7,0))</f>
        <v/>
      </c>
      <c r="V454" s="70">
        <f>IF($A454="","",Settings!$B$8+SUM($B$5:B454))</f>
        <v/>
      </c>
      <c r="W454" s="71">
        <f>IF($A454="","",Settings!$B$9+SUM($J$5:J454))</f>
        <v/>
      </c>
      <c r="X454" s="71">
        <f>IF($A454="","",IF(AND(N454&gt;0,F454&gt;0),ROUND(F454/N454,0),X453))</f>
        <v/>
      </c>
      <c r="Y454" s="74">
        <f>IF($A454="","",IF(AND(M454&gt;0,L454&gt;0),ROUND(L454/M454,0),IF(AND(J454&gt;0,B454&gt;0),ROUND(B454/J454,0),Y453)))</f>
        <v/>
      </c>
    </row>
    <row r="455">
      <c r="A455" s="67" t="n"/>
      <c r="B455" s="68" t="n"/>
      <c r="C455" s="69" t="n"/>
      <c r="D455" s="68" t="n"/>
      <c r="E455" s="69" t="n"/>
      <c r="F455" s="68" t="n"/>
      <c r="G455" s="69" t="n"/>
      <c r="H455" s="68" t="n"/>
      <c r="I455" s="70">
        <f>IF($A455="","",R454)</f>
        <v/>
      </c>
      <c r="J455" s="71">
        <f>IF($A455="","",IF(C455="",0,C455))</f>
        <v/>
      </c>
      <c r="K455" s="71">
        <f>IF($A455="","",IF(E455="",0,E455))</f>
        <v/>
      </c>
      <c r="L455" s="70">
        <f>IF($A455="","",B455-D455)</f>
        <v/>
      </c>
      <c r="M455" s="71">
        <f>IF($A455="","",J455-K455)</f>
        <v/>
      </c>
      <c r="N455" s="71">
        <f>IF($A455="","",IF(G455="",0,G455))</f>
        <v/>
      </c>
      <c r="O455" s="70">
        <f>IF($A455="","",D455+F455)</f>
        <v/>
      </c>
      <c r="P455" s="71">
        <f>IF($A455="","",K455+N455)</f>
        <v/>
      </c>
      <c r="Q455" s="70">
        <f>IF($A455="","",I455+L455-F455)</f>
        <v/>
      </c>
      <c r="R455" s="72">
        <f>IF($A455="","",IF(H455="",Q455,H455))</f>
        <v/>
      </c>
      <c r="S455" s="73">
        <f>IF($A455="","",R455-Q455)</f>
        <v/>
      </c>
      <c r="T455" s="70">
        <f>IF($A455="","",SUMIFS($B$5:$B$800,$A$5:$A$800,"&gt;="&amp;DATE(YEAR($A455),MONTH($A455),1),$A$5:$A$800,"&lt;="&amp;$A455)+IF(AND(YEAR($A455)=YEAR(Settings!$B$3),MONTH($A455)=MONTH(Settings!$B$3)),Settings!$B$6,0))</f>
        <v/>
      </c>
      <c r="U455" s="71">
        <f>IF($A455="","",SUMIFS($J$5:$J$800,$A$5:$A$800,"&gt;="&amp;DATE(YEAR($A455),MONTH($A455),1),$A$5:$A$800,"&lt;="&amp;$A455)+IF(AND(YEAR($A455)=YEAR(Settings!$B$3),MONTH($A455)=MONTH(Settings!$B$3)),Settings!$B$7,0))</f>
        <v/>
      </c>
      <c r="V455" s="70">
        <f>IF($A455="","",Settings!$B$8+SUM($B$5:B455))</f>
        <v/>
      </c>
      <c r="W455" s="71">
        <f>IF($A455="","",Settings!$B$9+SUM($J$5:J455))</f>
        <v/>
      </c>
      <c r="X455" s="71">
        <f>IF($A455="","",IF(AND(N455&gt;0,F455&gt;0),ROUND(F455/N455,0),X454))</f>
        <v/>
      </c>
      <c r="Y455" s="74">
        <f>IF($A455="","",IF(AND(M455&gt;0,L455&gt;0),ROUND(L455/M455,0),IF(AND(J455&gt;0,B455&gt;0),ROUND(B455/J455,0),Y454)))</f>
        <v/>
      </c>
    </row>
    <row r="456">
      <c r="A456" s="67" t="n"/>
      <c r="B456" s="68" t="n"/>
      <c r="C456" s="69" t="n"/>
      <c r="D456" s="68" t="n"/>
      <c r="E456" s="69" t="n"/>
      <c r="F456" s="68" t="n"/>
      <c r="G456" s="69" t="n"/>
      <c r="H456" s="68" t="n"/>
      <c r="I456" s="70">
        <f>IF($A456="","",R455)</f>
        <v/>
      </c>
      <c r="J456" s="71">
        <f>IF($A456="","",IF(C456="",0,C456))</f>
        <v/>
      </c>
      <c r="K456" s="71">
        <f>IF($A456="","",IF(E456="",0,E456))</f>
        <v/>
      </c>
      <c r="L456" s="70">
        <f>IF($A456="","",B456-D456)</f>
        <v/>
      </c>
      <c r="M456" s="71">
        <f>IF($A456="","",J456-K456)</f>
        <v/>
      </c>
      <c r="N456" s="71">
        <f>IF($A456="","",IF(G456="",0,G456))</f>
        <v/>
      </c>
      <c r="O456" s="70">
        <f>IF($A456="","",D456+F456)</f>
        <v/>
      </c>
      <c r="P456" s="71">
        <f>IF($A456="","",K456+N456)</f>
        <v/>
      </c>
      <c r="Q456" s="70">
        <f>IF($A456="","",I456+L456-F456)</f>
        <v/>
      </c>
      <c r="R456" s="72">
        <f>IF($A456="","",IF(H456="",Q456,H456))</f>
        <v/>
      </c>
      <c r="S456" s="73">
        <f>IF($A456="","",R456-Q456)</f>
        <v/>
      </c>
      <c r="T456" s="70">
        <f>IF($A456="","",SUMIFS($B$5:$B$800,$A$5:$A$800,"&gt;="&amp;DATE(YEAR($A456),MONTH($A456),1),$A$5:$A$800,"&lt;="&amp;$A456)+IF(AND(YEAR($A456)=YEAR(Settings!$B$3),MONTH($A456)=MONTH(Settings!$B$3)),Settings!$B$6,0))</f>
        <v/>
      </c>
      <c r="U456" s="71">
        <f>IF($A456="","",SUMIFS($J$5:$J$800,$A$5:$A$800,"&gt;="&amp;DATE(YEAR($A456),MONTH($A456),1),$A$5:$A$800,"&lt;="&amp;$A456)+IF(AND(YEAR($A456)=YEAR(Settings!$B$3),MONTH($A456)=MONTH(Settings!$B$3)),Settings!$B$7,0))</f>
        <v/>
      </c>
      <c r="V456" s="70">
        <f>IF($A456="","",Settings!$B$8+SUM($B$5:B456))</f>
        <v/>
      </c>
      <c r="W456" s="71">
        <f>IF($A456="","",Settings!$B$9+SUM($J$5:J456))</f>
        <v/>
      </c>
      <c r="X456" s="71">
        <f>IF($A456="","",IF(AND(N456&gt;0,F456&gt;0),ROUND(F456/N456,0),X455))</f>
        <v/>
      </c>
      <c r="Y456" s="74">
        <f>IF($A456="","",IF(AND(M456&gt;0,L456&gt;0),ROUND(L456/M456,0),IF(AND(J456&gt;0,B456&gt;0),ROUND(B456/J456,0),Y455)))</f>
        <v/>
      </c>
    </row>
    <row r="457">
      <c r="A457" s="67" t="n"/>
      <c r="B457" s="68" t="n"/>
      <c r="C457" s="69" t="n"/>
      <c r="D457" s="68" t="n"/>
      <c r="E457" s="69" t="n"/>
      <c r="F457" s="68" t="n"/>
      <c r="G457" s="69" t="n"/>
      <c r="H457" s="68" t="n"/>
      <c r="I457" s="70">
        <f>IF($A457="","",R456)</f>
        <v/>
      </c>
      <c r="J457" s="71">
        <f>IF($A457="","",IF(C457="",0,C457))</f>
        <v/>
      </c>
      <c r="K457" s="71">
        <f>IF($A457="","",IF(E457="",0,E457))</f>
        <v/>
      </c>
      <c r="L457" s="70">
        <f>IF($A457="","",B457-D457)</f>
        <v/>
      </c>
      <c r="M457" s="71">
        <f>IF($A457="","",J457-K457)</f>
        <v/>
      </c>
      <c r="N457" s="71">
        <f>IF($A457="","",IF(G457="",0,G457))</f>
        <v/>
      </c>
      <c r="O457" s="70">
        <f>IF($A457="","",D457+F457)</f>
        <v/>
      </c>
      <c r="P457" s="71">
        <f>IF($A457="","",K457+N457)</f>
        <v/>
      </c>
      <c r="Q457" s="70">
        <f>IF($A457="","",I457+L457-F457)</f>
        <v/>
      </c>
      <c r="R457" s="72">
        <f>IF($A457="","",IF(H457="",Q457,H457))</f>
        <v/>
      </c>
      <c r="S457" s="73">
        <f>IF($A457="","",R457-Q457)</f>
        <v/>
      </c>
      <c r="T457" s="70">
        <f>IF($A457="","",SUMIFS($B$5:$B$800,$A$5:$A$800,"&gt;="&amp;DATE(YEAR($A457),MONTH($A457),1),$A$5:$A$800,"&lt;="&amp;$A457)+IF(AND(YEAR($A457)=YEAR(Settings!$B$3),MONTH($A457)=MONTH(Settings!$B$3)),Settings!$B$6,0))</f>
        <v/>
      </c>
      <c r="U457" s="71">
        <f>IF($A457="","",SUMIFS($J$5:$J$800,$A$5:$A$800,"&gt;="&amp;DATE(YEAR($A457),MONTH($A457),1),$A$5:$A$800,"&lt;="&amp;$A457)+IF(AND(YEAR($A457)=YEAR(Settings!$B$3),MONTH($A457)=MONTH(Settings!$B$3)),Settings!$B$7,0))</f>
        <v/>
      </c>
      <c r="V457" s="70">
        <f>IF($A457="","",Settings!$B$8+SUM($B$5:B457))</f>
        <v/>
      </c>
      <c r="W457" s="71">
        <f>IF($A457="","",Settings!$B$9+SUM($J$5:J457))</f>
        <v/>
      </c>
      <c r="X457" s="71">
        <f>IF($A457="","",IF(AND(N457&gt;0,F457&gt;0),ROUND(F457/N457,0),X456))</f>
        <v/>
      </c>
      <c r="Y457" s="74">
        <f>IF($A457="","",IF(AND(M457&gt;0,L457&gt;0),ROUND(L457/M457,0),IF(AND(J457&gt;0,B457&gt;0),ROUND(B457/J457,0),Y456)))</f>
        <v/>
      </c>
    </row>
    <row r="458">
      <c r="A458" s="67" t="n"/>
      <c r="B458" s="68" t="n"/>
      <c r="C458" s="69" t="n"/>
      <c r="D458" s="68" t="n"/>
      <c r="E458" s="69" t="n"/>
      <c r="F458" s="68" t="n"/>
      <c r="G458" s="69" t="n"/>
      <c r="H458" s="68" t="n"/>
      <c r="I458" s="70">
        <f>IF($A458="","",R457)</f>
        <v/>
      </c>
      <c r="J458" s="71">
        <f>IF($A458="","",IF(C458="",0,C458))</f>
        <v/>
      </c>
      <c r="K458" s="71">
        <f>IF($A458="","",IF(E458="",0,E458))</f>
        <v/>
      </c>
      <c r="L458" s="70">
        <f>IF($A458="","",B458-D458)</f>
        <v/>
      </c>
      <c r="M458" s="71">
        <f>IF($A458="","",J458-K458)</f>
        <v/>
      </c>
      <c r="N458" s="71">
        <f>IF($A458="","",IF(G458="",0,G458))</f>
        <v/>
      </c>
      <c r="O458" s="70">
        <f>IF($A458="","",D458+F458)</f>
        <v/>
      </c>
      <c r="P458" s="71">
        <f>IF($A458="","",K458+N458)</f>
        <v/>
      </c>
      <c r="Q458" s="70">
        <f>IF($A458="","",I458+L458-F458)</f>
        <v/>
      </c>
      <c r="R458" s="72">
        <f>IF($A458="","",IF(H458="",Q458,H458))</f>
        <v/>
      </c>
      <c r="S458" s="73">
        <f>IF($A458="","",R458-Q458)</f>
        <v/>
      </c>
      <c r="T458" s="70">
        <f>IF($A458="","",SUMIFS($B$5:$B$800,$A$5:$A$800,"&gt;="&amp;DATE(YEAR($A458),MONTH($A458),1),$A$5:$A$800,"&lt;="&amp;$A458)+IF(AND(YEAR($A458)=YEAR(Settings!$B$3),MONTH($A458)=MONTH(Settings!$B$3)),Settings!$B$6,0))</f>
        <v/>
      </c>
      <c r="U458" s="71">
        <f>IF($A458="","",SUMIFS($J$5:$J$800,$A$5:$A$800,"&gt;="&amp;DATE(YEAR($A458),MONTH($A458),1),$A$5:$A$800,"&lt;="&amp;$A458)+IF(AND(YEAR($A458)=YEAR(Settings!$B$3),MONTH($A458)=MONTH(Settings!$B$3)),Settings!$B$7,0))</f>
        <v/>
      </c>
      <c r="V458" s="70">
        <f>IF($A458="","",Settings!$B$8+SUM($B$5:B458))</f>
        <v/>
      </c>
      <c r="W458" s="71">
        <f>IF($A458="","",Settings!$B$9+SUM($J$5:J458))</f>
        <v/>
      </c>
      <c r="X458" s="71">
        <f>IF($A458="","",IF(AND(N458&gt;0,F458&gt;0),ROUND(F458/N458,0),X457))</f>
        <v/>
      </c>
      <c r="Y458" s="74">
        <f>IF($A458="","",IF(AND(M458&gt;0,L458&gt;0),ROUND(L458/M458,0),IF(AND(J458&gt;0,B458&gt;0),ROUND(B458/J458,0),Y457)))</f>
        <v/>
      </c>
    </row>
    <row r="459">
      <c r="A459" s="67" t="n"/>
      <c r="B459" s="68" t="n"/>
      <c r="C459" s="69" t="n"/>
      <c r="D459" s="68" t="n"/>
      <c r="E459" s="69" t="n"/>
      <c r="F459" s="68" t="n"/>
      <c r="G459" s="69" t="n"/>
      <c r="H459" s="68" t="n"/>
      <c r="I459" s="70">
        <f>IF($A459="","",R458)</f>
        <v/>
      </c>
      <c r="J459" s="71">
        <f>IF($A459="","",IF(C459="",0,C459))</f>
        <v/>
      </c>
      <c r="K459" s="71">
        <f>IF($A459="","",IF(E459="",0,E459))</f>
        <v/>
      </c>
      <c r="L459" s="70">
        <f>IF($A459="","",B459-D459)</f>
        <v/>
      </c>
      <c r="M459" s="71">
        <f>IF($A459="","",J459-K459)</f>
        <v/>
      </c>
      <c r="N459" s="71">
        <f>IF($A459="","",IF(G459="",0,G459))</f>
        <v/>
      </c>
      <c r="O459" s="70">
        <f>IF($A459="","",D459+F459)</f>
        <v/>
      </c>
      <c r="P459" s="71">
        <f>IF($A459="","",K459+N459)</f>
        <v/>
      </c>
      <c r="Q459" s="70">
        <f>IF($A459="","",I459+L459-F459)</f>
        <v/>
      </c>
      <c r="R459" s="72">
        <f>IF($A459="","",IF(H459="",Q459,H459))</f>
        <v/>
      </c>
      <c r="S459" s="73">
        <f>IF($A459="","",R459-Q459)</f>
        <v/>
      </c>
      <c r="T459" s="70">
        <f>IF($A459="","",SUMIFS($B$5:$B$800,$A$5:$A$800,"&gt;="&amp;DATE(YEAR($A459),MONTH($A459),1),$A$5:$A$800,"&lt;="&amp;$A459)+IF(AND(YEAR($A459)=YEAR(Settings!$B$3),MONTH($A459)=MONTH(Settings!$B$3)),Settings!$B$6,0))</f>
        <v/>
      </c>
      <c r="U459" s="71">
        <f>IF($A459="","",SUMIFS($J$5:$J$800,$A$5:$A$800,"&gt;="&amp;DATE(YEAR($A459),MONTH($A459),1),$A$5:$A$800,"&lt;="&amp;$A459)+IF(AND(YEAR($A459)=YEAR(Settings!$B$3),MONTH($A459)=MONTH(Settings!$B$3)),Settings!$B$7,0))</f>
        <v/>
      </c>
      <c r="V459" s="70">
        <f>IF($A459="","",Settings!$B$8+SUM($B$5:B459))</f>
        <v/>
      </c>
      <c r="W459" s="71">
        <f>IF($A459="","",Settings!$B$9+SUM($J$5:J459))</f>
        <v/>
      </c>
      <c r="X459" s="71">
        <f>IF($A459="","",IF(AND(N459&gt;0,F459&gt;0),ROUND(F459/N459,0),X458))</f>
        <v/>
      </c>
      <c r="Y459" s="74">
        <f>IF($A459="","",IF(AND(M459&gt;0,L459&gt;0),ROUND(L459/M459,0),IF(AND(J459&gt;0,B459&gt;0),ROUND(B459/J459,0),Y458)))</f>
        <v/>
      </c>
    </row>
    <row r="460">
      <c r="A460" s="67" t="n"/>
      <c r="B460" s="68" t="n"/>
      <c r="C460" s="69" t="n"/>
      <c r="D460" s="68" t="n"/>
      <c r="E460" s="69" t="n"/>
      <c r="F460" s="68" t="n"/>
      <c r="G460" s="69" t="n"/>
      <c r="H460" s="68" t="n"/>
      <c r="I460" s="70">
        <f>IF($A460="","",R459)</f>
        <v/>
      </c>
      <c r="J460" s="71">
        <f>IF($A460="","",IF(C460="",0,C460))</f>
        <v/>
      </c>
      <c r="K460" s="71">
        <f>IF($A460="","",IF(E460="",0,E460))</f>
        <v/>
      </c>
      <c r="L460" s="70">
        <f>IF($A460="","",B460-D460)</f>
        <v/>
      </c>
      <c r="M460" s="71">
        <f>IF($A460="","",J460-K460)</f>
        <v/>
      </c>
      <c r="N460" s="71">
        <f>IF($A460="","",IF(G460="",0,G460))</f>
        <v/>
      </c>
      <c r="O460" s="70">
        <f>IF($A460="","",D460+F460)</f>
        <v/>
      </c>
      <c r="P460" s="71">
        <f>IF($A460="","",K460+N460)</f>
        <v/>
      </c>
      <c r="Q460" s="70">
        <f>IF($A460="","",I460+L460-F460)</f>
        <v/>
      </c>
      <c r="R460" s="72">
        <f>IF($A460="","",IF(H460="",Q460,H460))</f>
        <v/>
      </c>
      <c r="S460" s="73">
        <f>IF($A460="","",R460-Q460)</f>
        <v/>
      </c>
      <c r="T460" s="70">
        <f>IF($A460="","",SUMIFS($B$5:$B$800,$A$5:$A$800,"&gt;="&amp;DATE(YEAR($A460),MONTH($A460),1),$A$5:$A$800,"&lt;="&amp;$A460)+IF(AND(YEAR($A460)=YEAR(Settings!$B$3),MONTH($A460)=MONTH(Settings!$B$3)),Settings!$B$6,0))</f>
        <v/>
      </c>
      <c r="U460" s="71">
        <f>IF($A460="","",SUMIFS($J$5:$J$800,$A$5:$A$800,"&gt;="&amp;DATE(YEAR($A460),MONTH($A460),1),$A$5:$A$800,"&lt;="&amp;$A460)+IF(AND(YEAR($A460)=YEAR(Settings!$B$3),MONTH($A460)=MONTH(Settings!$B$3)),Settings!$B$7,0))</f>
        <v/>
      </c>
      <c r="V460" s="70">
        <f>IF($A460="","",Settings!$B$8+SUM($B$5:B460))</f>
        <v/>
      </c>
      <c r="W460" s="71">
        <f>IF($A460="","",Settings!$B$9+SUM($J$5:J460))</f>
        <v/>
      </c>
      <c r="X460" s="71">
        <f>IF($A460="","",IF(AND(N460&gt;0,F460&gt;0),ROUND(F460/N460,0),X459))</f>
        <v/>
      </c>
      <c r="Y460" s="74">
        <f>IF($A460="","",IF(AND(M460&gt;0,L460&gt;0),ROUND(L460/M460,0),IF(AND(J460&gt;0,B460&gt;0),ROUND(B460/J460,0),Y459)))</f>
        <v/>
      </c>
    </row>
    <row r="461">
      <c r="A461" s="67" t="n"/>
      <c r="B461" s="68" t="n"/>
      <c r="C461" s="69" t="n"/>
      <c r="D461" s="68" t="n"/>
      <c r="E461" s="69" t="n"/>
      <c r="F461" s="68" t="n"/>
      <c r="G461" s="69" t="n"/>
      <c r="H461" s="68" t="n"/>
      <c r="I461" s="70">
        <f>IF($A461="","",R460)</f>
        <v/>
      </c>
      <c r="J461" s="71">
        <f>IF($A461="","",IF(C461="",0,C461))</f>
        <v/>
      </c>
      <c r="K461" s="71">
        <f>IF($A461="","",IF(E461="",0,E461))</f>
        <v/>
      </c>
      <c r="L461" s="70">
        <f>IF($A461="","",B461-D461)</f>
        <v/>
      </c>
      <c r="M461" s="71">
        <f>IF($A461="","",J461-K461)</f>
        <v/>
      </c>
      <c r="N461" s="71">
        <f>IF($A461="","",IF(G461="",0,G461))</f>
        <v/>
      </c>
      <c r="O461" s="70">
        <f>IF($A461="","",D461+F461)</f>
        <v/>
      </c>
      <c r="P461" s="71">
        <f>IF($A461="","",K461+N461)</f>
        <v/>
      </c>
      <c r="Q461" s="70">
        <f>IF($A461="","",I461+L461-F461)</f>
        <v/>
      </c>
      <c r="R461" s="72">
        <f>IF($A461="","",IF(H461="",Q461,H461))</f>
        <v/>
      </c>
      <c r="S461" s="73">
        <f>IF($A461="","",R461-Q461)</f>
        <v/>
      </c>
      <c r="T461" s="70">
        <f>IF($A461="","",SUMIFS($B$5:$B$800,$A$5:$A$800,"&gt;="&amp;DATE(YEAR($A461),MONTH($A461),1),$A$5:$A$800,"&lt;="&amp;$A461)+IF(AND(YEAR($A461)=YEAR(Settings!$B$3),MONTH($A461)=MONTH(Settings!$B$3)),Settings!$B$6,0))</f>
        <v/>
      </c>
      <c r="U461" s="71">
        <f>IF($A461="","",SUMIFS($J$5:$J$800,$A$5:$A$800,"&gt;="&amp;DATE(YEAR($A461),MONTH($A461),1),$A$5:$A$800,"&lt;="&amp;$A461)+IF(AND(YEAR($A461)=YEAR(Settings!$B$3),MONTH($A461)=MONTH(Settings!$B$3)),Settings!$B$7,0))</f>
        <v/>
      </c>
      <c r="V461" s="70">
        <f>IF($A461="","",Settings!$B$8+SUM($B$5:B461))</f>
        <v/>
      </c>
      <c r="W461" s="71">
        <f>IF($A461="","",Settings!$B$9+SUM($J$5:J461))</f>
        <v/>
      </c>
      <c r="X461" s="71">
        <f>IF($A461="","",IF(AND(N461&gt;0,F461&gt;0),ROUND(F461/N461,0),X460))</f>
        <v/>
      </c>
      <c r="Y461" s="74">
        <f>IF($A461="","",IF(AND(M461&gt;0,L461&gt;0),ROUND(L461/M461,0),IF(AND(J461&gt;0,B461&gt;0),ROUND(B461/J461,0),Y460)))</f>
        <v/>
      </c>
    </row>
    <row r="462">
      <c r="A462" s="67" t="n"/>
      <c r="B462" s="68" t="n"/>
      <c r="C462" s="69" t="n"/>
      <c r="D462" s="68" t="n"/>
      <c r="E462" s="69" t="n"/>
      <c r="F462" s="68" t="n"/>
      <c r="G462" s="69" t="n"/>
      <c r="H462" s="68" t="n"/>
      <c r="I462" s="70">
        <f>IF($A462="","",R461)</f>
        <v/>
      </c>
      <c r="J462" s="71">
        <f>IF($A462="","",IF(C462="",0,C462))</f>
        <v/>
      </c>
      <c r="K462" s="71">
        <f>IF($A462="","",IF(E462="",0,E462))</f>
        <v/>
      </c>
      <c r="L462" s="70">
        <f>IF($A462="","",B462-D462)</f>
        <v/>
      </c>
      <c r="M462" s="71">
        <f>IF($A462="","",J462-K462)</f>
        <v/>
      </c>
      <c r="N462" s="71">
        <f>IF($A462="","",IF(G462="",0,G462))</f>
        <v/>
      </c>
      <c r="O462" s="70">
        <f>IF($A462="","",D462+F462)</f>
        <v/>
      </c>
      <c r="P462" s="71">
        <f>IF($A462="","",K462+N462)</f>
        <v/>
      </c>
      <c r="Q462" s="70">
        <f>IF($A462="","",I462+L462-F462)</f>
        <v/>
      </c>
      <c r="R462" s="72">
        <f>IF($A462="","",IF(H462="",Q462,H462))</f>
        <v/>
      </c>
      <c r="S462" s="73">
        <f>IF($A462="","",R462-Q462)</f>
        <v/>
      </c>
      <c r="T462" s="70">
        <f>IF($A462="","",SUMIFS($B$5:$B$800,$A$5:$A$800,"&gt;="&amp;DATE(YEAR($A462),MONTH($A462),1),$A$5:$A$800,"&lt;="&amp;$A462)+IF(AND(YEAR($A462)=YEAR(Settings!$B$3),MONTH($A462)=MONTH(Settings!$B$3)),Settings!$B$6,0))</f>
        <v/>
      </c>
      <c r="U462" s="71">
        <f>IF($A462="","",SUMIFS($J$5:$J$800,$A$5:$A$800,"&gt;="&amp;DATE(YEAR($A462),MONTH($A462),1),$A$5:$A$800,"&lt;="&amp;$A462)+IF(AND(YEAR($A462)=YEAR(Settings!$B$3),MONTH($A462)=MONTH(Settings!$B$3)),Settings!$B$7,0))</f>
        <v/>
      </c>
      <c r="V462" s="70">
        <f>IF($A462="","",Settings!$B$8+SUM($B$5:B462))</f>
        <v/>
      </c>
      <c r="W462" s="71">
        <f>IF($A462="","",Settings!$B$9+SUM($J$5:J462))</f>
        <v/>
      </c>
      <c r="X462" s="71">
        <f>IF($A462="","",IF(AND(N462&gt;0,F462&gt;0),ROUND(F462/N462,0),X461))</f>
        <v/>
      </c>
      <c r="Y462" s="74">
        <f>IF($A462="","",IF(AND(M462&gt;0,L462&gt;0),ROUND(L462/M462,0),IF(AND(J462&gt;0,B462&gt;0),ROUND(B462/J462,0),Y461)))</f>
        <v/>
      </c>
    </row>
    <row r="463">
      <c r="A463" s="67" t="n"/>
      <c r="B463" s="68" t="n"/>
      <c r="C463" s="69" t="n"/>
      <c r="D463" s="68" t="n"/>
      <c r="E463" s="69" t="n"/>
      <c r="F463" s="68" t="n"/>
      <c r="G463" s="69" t="n"/>
      <c r="H463" s="68" t="n"/>
      <c r="I463" s="70">
        <f>IF($A463="","",R462)</f>
        <v/>
      </c>
      <c r="J463" s="71">
        <f>IF($A463="","",IF(C463="",0,C463))</f>
        <v/>
      </c>
      <c r="K463" s="71">
        <f>IF($A463="","",IF(E463="",0,E463))</f>
        <v/>
      </c>
      <c r="L463" s="70">
        <f>IF($A463="","",B463-D463)</f>
        <v/>
      </c>
      <c r="M463" s="71">
        <f>IF($A463="","",J463-K463)</f>
        <v/>
      </c>
      <c r="N463" s="71">
        <f>IF($A463="","",IF(G463="",0,G463))</f>
        <v/>
      </c>
      <c r="O463" s="70">
        <f>IF($A463="","",D463+F463)</f>
        <v/>
      </c>
      <c r="P463" s="71">
        <f>IF($A463="","",K463+N463)</f>
        <v/>
      </c>
      <c r="Q463" s="70">
        <f>IF($A463="","",I463+L463-F463)</f>
        <v/>
      </c>
      <c r="R463" s="72">
        <f>IF($A463="","",IF(H463="",Q463,H463))</f>
        <v/>
      </c>
      <c r="S463" s="73">
        <f>IF($A463="","",R463-Q463)</f>
        <v/>
      </c>
      <c r="T463" s="70">
        <f>IF($A463="","",SUMIFS($B$5:$B$800,$A$5:$A$800,"&gt;="&amp;DATE(YEAR($A463),MONTH($A463),1),$A$5:$A$800,"&lt;="&amp;$A463)+IF(AND(YEAR($A463)=YEAR(Settings!$B$3),MONTH($A463)=MONTH(Settings!$B$3)),Settings!$B$6,0))</f>
        <v/>
      </c>
      <c r="U463" s="71">
        <f>IF($A463="","",SUMIFS($J$5:$J$800,$A$5:$A$800,"&gt;="&amp;DATE(YEAR($A463),MONTH($A463),1),$A$5:$A$800,"&lt;="&amp;$A463)+IF(AND(YEAR($A463)=YEAR(Settings!$B$3),MONTH($A463)=MONTH(Settings!$B$3)),Settings!$B$7,0))</f>
        <v/>
      </c>
      <c r="V463" s="70">
        <f>IF($A463="","",Settings!$B$8+SUM($B$5:B463))</f>
        <v/>
      </c>
      <c r="W463" s="71">
        <f>IF($A463="","",Settings!$B$9+SUM($J$5:J463))</f>
        <v/>
      </c>
      <c r="X463" s="71">
        <f>IF($A463="","",IF(AND(N463&gt;0,F463&gt;0),ROUND(F463/N463,0),X462))</f>
        <v/>
      </c>
      <c r="Y463" s="74">
        <f>IF($A463="","",IF(AND(M463&gt;0,L463&gt;0),ROUND(L463/M463,0),IF(AND(J463&gt;0,B463&gt;0),ROUND(B463/J463,0),Y462)))</f>
        <v/>
      </c>
    </row>
    <row r="464">
      <c r="A464" s="67" t="n"/>
      <c r="B464" s="68" t="n"/>
      <c r="C464" s="69" t="n"/>
      <c r="D464" s="68" t="n"/>
      <c r="E464" s="69" t="n"/>
      <c r="F464" s="68" t="n"/>
      <c r="G464" s="69" t="n"/>
      <c r="H464" s="68" t="n"/>
      <c r="I464" s="70">
        <f>IF($A464="","",R463)</f>
        <v/>
      </c>
      <c r="J464" s="71">
        <f>IF($A464="","",IF(C464="",0,C464))</f>
        <v/>
      </c>
      <c r="K464" s="71">
        <f>IF($A464="","",IF(E464="",0,E464))</f>
        <v/>
      </c>
      <c r="L464" s="70">
        <f>IF($A464="","",B464-D464)</f>
        <v/>
      </c>
      <c r="M464" s="71">
        <f>IF($A464="","",J464-K464)</f>
        <v/>
      </c>
      <c r="N464" s="71">
        <f>IF($A464="","",IF(G464="",0,G464))</f>
        <v/>
      </c>
      <c r="O464" s="70">
        <f>IF($A464="","",D464+F464)</f>
        <v/>
      </c>
      <c r="P464" s="71">
        <f>IF($A464="","",K464+N464)</f>
        <v/>
      </c>
      <c r="Q464" s="70">
        <f>IF($A464="","",I464+L464-F464)</f>
        <v/>
      </c>
      <c r="R464" s="72">
        <f>IF($A464="","",IF(H464="",Q464,H464))</f>
        <v/>
      </c>
      <c r="S464" s="73">
        <f>IF($A464="","",R464-Q464)</f>
        <v/>
      </c>
      <c r="T464" s="70">
        <f>IF($A464="","",SUMIFS($B$5:$B$800,$A$5:$A$800,"&gt;="&amp;DATE(YEAR($A464),MONTH($A464),1),$A$5:$A$800,"&lt;="&amp;$A464)+IF(AND(YEAR($A464)=YEAR(Settings!$B$3),MONTH($A464)=MONTH(Settings!$B$3)),Settings!$B$6,0))</f>
        <v/>
      </c>
      <c r="U464" s="71">
        <f>IF($A464="","",SUMIFS($J$5:$J$800,$A$5:$A$800,"&gt;="&amp;DATE(YEAR($A464),MONTH($A464),1),$A$5:$A$800,"&lt;="&amp;$A464)+IF(AND(YEAR($A464)=YEAR(Settings!$B$3),MONTH($A464)=MONTH(Settings!$B$3)),Settings!$B$7,0))</f>
        <v/>
      </c>
      <c r="V464" s="70">
        <f>IF($A464="","",Settings!$B$8+SUM($B$5:B464))</f>
        <v/>
      </c>
      <c r="W464" s="71">
        <f>IF($A464="","",Settings!$B$9+SUM($J$5:J464))</f>
        <v/>
      </c>
      <c r="X464" s="71">
        <f>IF($A464="","",IF(AND(N464&gt;0,F464&gt;0),ROUND(F464/N464,0),X463))</f>
        <v/>
      </c>
      <c r="Y464" s="74">
        <f>IF($A464="","",IF(AND(M464&gt;0,L464&gt;0),ROUND(L464/M464,0),IF(AND(J464&gt;0,B464&gt;0),ROUND(B464/J464,0),Y463)))</f>
        <v/>
      </c>
    </row>
    <row r="465">
      <c r="A465" s="67" t="n"/>
      <c r="B465" s="68" t="n"/>
      <c r="C465" s="69" t="n"/>
      <c r="D465" s="68" t="n"/>
      <c r="E465" s="69" t="n"/>
      <c r="F465" s="68" t="n"/>
      <c r="G465" s="69" t="n"/>
      <c r="H465" s="68" t="n"/>
      <c r="I465" s="70">
        <f>IF($A465="","",R464)</f>
        <v/>
      </c>
      <c r="J465" s="71">
        <f>IF($A465="","",IF(C465="",0,C465))</f>
        <v/>
      </c>
      <c r="K465" s="71">
        <f>IF($A465="","",IF(E465="",0,E465))</f>
        <v/>
      </c>
      <c r="L465" s="70">
        <f>IF($A465="","",B465-D465)</f>
        <v/>
      </c>
      <c r="M465" s="71">
        <f>IF($A465="","",J465-K465)</f>
        <v/>
      </c>
      <c r="N465" s="71">
        <f>IF($A465="","",IF(G465="",0,G465))</f>
        <v/>
      </c>
      <c r="O465" s="70">
        <f>IF($A465="","",D465+F465)</f>
        <v/>
      </c>
      <c r="P465" s="71">
        <f>IF($A465="","",K465+N465)</f>
        <v/>
      </c>
      <c r="Q465" s="70">
        <f>IF($A465="","",I465+L465-F465)</f>
        <v/>
      </c>
      <c r="R465" s="72">
        <f>IF($A465="","",IF(H465="",Q465,H465))</f>
        <v/>
      </c>
      <c r="S465" s="73">
        <f>IF($A465="","",R465-Q465)</f>
        <v/>
      </c>
      <c r="T465" s="70">
        <f>IF($A465="","",SUMIFS($B$5:$B$800,$A$5:$A$800,"&gt;="&amp;DATE(YEAR($A465),MONTH($A465),1),$A$5:$A$800,"&lt;="&amp;$A465)+IF(AND(YEAR($A465)=YEAR(Settings!$B$3),MONTH($A465)=MONTH(Settings!$B$3)),Settings!$B$6,0))</f>
        <v/>
      </c>
      <c r="U465" s="71">
        <f>IF($A465="","",SUMIFS($J$5:$J$800,$A$5:$A$800,"&gt;="&amp;DATE(YEAR($A465),MONTH($A465),1),$A$5:$A$800,"&lt;="&amp;$A465)+IF(AND(YEAR($A465)=YEAR(Settings!$B$3),MONTH($A465)=MONTH(Settings!$B$3)),Settings!$B$7,0))</f>
        <v/>
      </c>
      <c r="V465" s="70">
        <f>IF($A465="","",Settings!$B$8+SUM($B$5:B465))</f>
        <v/>
      </c>
      <c r="W465" s="71">
        <f>IF($A465="","",Settings!$B$9+SUM($J$5:J465))</f>
        <v/>
      </c>
      <c r="X465" s="71">
        <f>IF($A465="","",IF(AND(N465&gt;0,F465&gt;0),ROUND(F465/N465,0),X464))</f>
        <v/>
      </c>
      <c r="Y465" s="74">
        <f>IF($A465="","",IF(AND(M465&gt;0,L465&gt;0),ROUND(L465/M465,0),IF(AND(J465&gt;0,B465&gt;0),ROUND(B465/J465,0),Y464)))</f>
        <v/>
      </c>
    </row>
    <row r="466">
      <c r="A466" s="67" t="n"/>
      <c r="B466" s="68" t="n"/>
      <c r="C466" s="69" t="n"/>
      <c r="D466" s="68" t="n"/>
      <c r="E466" s="69" t="n"/>
      <c r="F466" s="68" t="n"/>
      <c r="G466" s="69" t="n"/>
      <c r="H466" s="68" t="n"/>
      <c r="I466" s="70">
        <f>IF($A466="","",R465)</f>
        <v/>
      </c>
      <c r="J466" s="71">
        <f>IF($A466="","",IF(C466="",0,C466))</f>
        <v/>
      </c>
      <c r="K466" s="71">
        <f>IF($A466="","",IF(E466="",0,E466))</f>
        <v/>
      </c>
      <c r="L466" s="70">
        <f>IF($A466="","",B466-D466)</f>
        <v/>
      </c>
      <c r="M466" s="71">
        <f>IF($A466="","",J466-K466)</f>
        <v/>
      </c>
      <c r="N466" s="71">
        <f>IF($A466="","",IF(G466="",0,G466))</f>
        <v/>
      </c>
      <c r="O466" s="70">
        <f>IF($A466="","",D466+F466)</f>
        <v/>
      </c>
      <c r="P466" s="71">
        <f>IF($A466="","",K466+N466)</f>
        <v/>
      </c>
      <c r="Q466" s="70">
        <f>IF($A466="","",I466+L466-F466)</f>
        <v/>
      </c>
      <c r="R466" s="72">
        <f>IF($A466="","",IF(H466="",Q466,H466))</f>
        <v/>
      </c>
      <c r="S466" s="73">
        <f>IF($A466="","",R466-Q466)</f>
        <v/>
      </c>
      <c r="T466" s="70">
        <f>IF($A466="","",SUMIFS($B$5:$B$800,$A$5:$A$800,"&gt;="&amp;DATE(YEAR($A466),MONTH($A466),1),$A$5:$A$800,"&lt;="&amp;$A466)+IF(AND(YEAR($A466)=YEAR(Settings!$B$3),MONTH($A466)=MONTH(Settings!$B$3)),Settings!$B$6,0))</f>
        <v/>
      </c>
      <c r="U466" s="71">
        <f>IF($A466="","",SUMIFS($J$5:$J$800,$A$5:$A$800,"&gt;="&amp;DATE(YEAR($A466),MONTH($A466),1),$A$5:$A$800,"&lt;="&amp;$A466)+IF(AND(YEAR($A466)=YEAR(Settings!$B$3),MONTH($A466)=MONTH(Settings!$B$3)),Settings!$B$7,0))</f>
        <v/>
      </c>
      <c r="V466" s="70">
        <f>IF($A466="","",Settings!$B$8+SUM($B$5:B466))</f>
        <v/>
      </c>
      <c r="W466" s="71">
        <f>IF($A466="","",Settings!$B$9+SUM($J$5:J466))</f>
        <v/>
      </c>
      <c r="X466" s="71">
        <f>IF($A466="","",IF(AND(N466&gt;0,F466&gt;0),ROUND(F466/N466,0),X465))</f>
        <v/>
      </c>
      <c r="Y466" s="74">
        <f>IF($A466="","",IF(AND(M466&gt;0,L466&gt;0),ROUND(L466/M466,0),IF(AND(J466&gt;0,B466&gt;0),ROUND(B466/J466,0),Y465)))</f>
        <v/>
      </c>
    </row>
    <row r="467">
      <c r="A467" s="67" t="n"/>
      <c r="B467" s="68" t="n"/>
      <c r="C467" s="69" t="n"/>
      <c r="D467" s="68" t="n"/>
      <c r="E467" s="69" t="n"/>
      <c r="F467" s="68" t="n"/>
      <c r="G467" s="69" t="n"/>
      <c r="H467" s="68" t="n"/>
      <c r="I467" s="70">
        <f>IF($A467="","",R466)</f>
        <v/>
      </c>
      <c r="J467" s="71">
        <f>IF($A467="","",IF(C467="",0,C467))</f>
        <v/>
      </c>
      <c r="K467" s="71">
        <f>IF($A467="","",IF(E467="",0,E467))</f>
        <v/>
      </c>
      <c r="L467" s="70">
        <f>IF($A467="","",B467-D467)</f>
        <v/>
      </c>
      <c r="M467" s="71">
        <f>IF($A467="","",J467-K467)</f>
        <v/>
      </c>
      <c r="N467" s="71">
        <f>IF($A467="","",IF(G467="",0,G467))</f>
        <v/>
      </c>
      <c r="O467" s="70">
        <f>IF($A467="","",D467+F467)</f>
        <v/>
      </c>
      <c r="P467" s="71">
        <f>IF($A467="","",K467+N467)</f>
        <v/>
      </c>
      <c r="Q467" s="70">
        <f>IF($A467="","",I467+L467-F467)</f>
        <v/>
      </c>
      <c r="R467" s="72">
        <f>IF($A467="","",IF(H467="",Q467,H467))</f>
        <v/>
      </c>
      <c r="S467" s="73">
        <f>IF($A467="","",R467-Q467)</f>
        <v/>
      </c>
      <c r="T467" s="70">
        <f>IF($A467="","",SUMIFS($B$5:$B$800,$A$5:$A$800,"&gt;="&amp;DATE(YEAR($A467),MONTH($A467),1),$A$5:$A$800,"&lt;="&amp;$A467)+IF(AND(YEAR($A467)=YEAR(Settings!$B$3),MONTH($A467)=MONTH(Settings!$B$3)),Settings!$B$6,0))</f>
        <v/>
      </c>
      <c r="U467" s="71">
        <f>IF($A467="","",SUMIFS($J$5:$J$800,$A$5:$A$800,"&gt;="&amp;DATE(YEAR($A467),MONTH($A467),1),$A$5:$A$800,"&lt;="&amp;$A467)+IF(AND(YEAR($A467)=YEAR(Settings!$B$3),MONTH($A467)=MONTH(Settings!$B$3)),Settings!$B$7,0))</f>
        <v/>
      </c>
      <c r="V467" s="70">
        <f>IF($A467="","",Settings!$B$8+SUM($B$5:B467))</f>
        <v/>
      </c>
      <c r="W467" s="71">
        <f>IF($A467="","",Settings!$B$9+SUM($J$5:J467))</f>
        <v/>
      </c>
      <c r="X467" s="71">
        <f>IF($A467="","",IF(AND(N467&gt;0,F467&gt;0),ROUND(F467/N467,0),X466))</f>
        <v/>
      </c>
      <c r="Y467" s="74">
        <f>IF($A467="","",IF(AND(M467&gt;0,L467&gt;0),ROUND(L467/M467,0),IF(AND(J467&gt;0,B467&gt;0),ROUND(B467/J467,0),Y466)))</f>
        <v/>
      </c>
    </row>
    <row r="468">
      <c r="A468" s="67" t="n"/>
      <c r="B468" s="68" t="n"/>
      <c r="C468" s="69" t="n"/>
      <c r="D468" s="68" t="n"/>
      <c r="E468" s="69" t="n"/>
      <c r="F468" s="68" t="n"/>
      <c r="G468" s="69" t="n"/>
      <c r="H468" s="68" t="n"/>
      <c r="I468" s="70">
        <f>IF($A468="","",R467)</f>
        <v/>
      </c>
      <c r="J468" s="71">
        <f>IF($A468="","",IF(C468="",0,C468))</f>
        <v/>
      </c>
      <c r="K468" s="71">
        <f>IF($A468="","",IF(E468="",0,E468))</f>
        <v/>
      </c>
      <c r="L468" s="70">
        <f>IF($A468="","",B468-D468)</f>
        <v/>
      </c>
      <c r="M468" s="71">
        <f>IF($A468="","",J468-K468)</f>
        <v/>
      </c>
      <c r="N468" s="71">
        <f>IF($A468="","",IF(G468="",0,G468))</f>
        <v/>
      </c>
      <c r="O468" s="70">
        <f>IF($A468="","",D468+F468)</f>
        <v/>
      </c>
      <c r="P468" s="71">
        <f>IF($A468="","",K468+N468)</f>
        <v/>
      </c>
      <c r="Q468" s="70">
        <f>IF($A468="","",I468+L468-F468)</f>
        <v/>
      </c>
      <c r="R468" s="72">
        <f>IF($A468="","",IF(H468="",Q468,H468))</f>
        <v/>
      </c>
      <c r="S468" s="73">
        <f>IF($A468="","",R468-Q468)</f>
        <v/>
      </c>
      <c r="T468" s="70">
        <f>IF($A468="","",SUMIFS($B$5:$B$800,$A$5:$A$800,"&gt;="&amp;DATE(YEAR($A468),MONTH($A468),1),$A$5:$A$800,"&lt;="&amp;$A468)+IF(AND(YEAR($A468)=YEAR(Settings!$B$3),MONTH($A468)=MONTH(Settings!$B$3)),Settings!$B$6,0))</f>
        <v/>
      </c>
      <c r="U468" s="71">
        <f>IF($A468="","",SUMIFS($J$5:$J$800,$A$5:$A$800,"&gt;="&amp;DATE(YEAR($A468),MONTH($A468),1),$A$5:$A$800,"&lt;="&amp;$A468)+IF(AND(YEAR($A468)=YEAR(Settings!$B$3),MONTH($A468)=MONTH(Settings!$B$3)),Settings!$B$7,0))</f>
        <v/>
      </c>
      <c r="V468" s="70">
        <f>IF($A468="","",Settings!$B$8+SUM($B$5:B468))</f>
        <v/>
      </c>
      <c r="W468" s="71">
        <f>IF($A468="","",Settings!$B$9+SUM($J$5:J468))</f>
        <v/>
      </c>
      <c r="X468" s="71">
        <f>IF($A468="","",IF(AND(N468&gt;0,F468&gt;0),ROUND(F468/N468,0),X467))</f>
        <v/>
      </c>
      <c r="Y468" s="74">
        <f>IF($A468="","",IF(AND(M468&gt;0,L468&gt;0),ROUND(L468/M468,0),IF(AND(J468&gt;0,B468&gt;0),ROUND(B468/J468,0),Y467)))</f>
        <v/>
      </c>
    </row>
    <row r="469">
      <c r="A469" s="67" t="n"/>
      <c r="B469" s="68" t="n"/>
      <c r="C469" s="69" t="n"/>
      <c r="D469" s="68" t="n"/>
      <c r="E469" s="69" t="n"/>
      <c r="F469" s="68" t="n"/>
      <c r="G469" s="69" t="n"/>
      <c r="H469" s="68" t="n"/>
      <c r="I469" s="70">
        <f>IF($A469="","",R468)</f>
        <v/>
      </c>
      <c r="J469" s="71">
        <f>IF($A469="","",IF(C469="",0,C469))</f>
        <v/>
      </c>
      <c r="K469" s="71">
        <f>IF($A469="","",IF(E469="",0,E469))</f>
        <v/>
      </c>
      <c r="L469" s="70">
        <f>IF($A469="","",B469-D469)</f>
        <v/>
      </c>
      <c r="M469" s="71">
        <f>IF($A469="","",J469-K469)</f>
        <v/>
      </c>
      <c r="N469" s="71">
        <f>IF($A469="","",IF(G469="",0,G469))</f>
        <v/>
      </c>
      <c r="O469" s="70">
        <f>IF($A469="","",D469+F469)</f>
        <v/>
      </c>
      <c r="P469" s="71">
        <f>IF($A469="","",K469+N469)</f>
        <v/>
      </c>
      <c r="Q469" s="70">
        <f>IF($A469="","",I469+L469-F469)</f>
        <v/>
      </c>
      <c r="R469" s="72">
        <f>IF($A469="","",IF(H469="",Q469,H469))</f>
        <v/>
      </c>
      <c r="S469" s="73">
        <f>IF($A469="","",R469-Q469)</f>
        <v/>
      </c>
      <c r="T469" s="70">
        <f>IF($A469="","",SUMIFS($B$5:$B$800,$A$5:$A$800,"&gt;="&amp;DATE(YEAR($A469),MONTH($A469),1),$A$5:$A$800,"&lt;="&amp;$A469)+IF(AND(YEAR($A469)=YEAR(Settings!$B$3),MONTH($A469)=MONTH(Settings!$B$3)),Settings!$B$6,0))</f>
        <v/>
      </c>
      <c r="U469" s="71">
        <f>IF($A469="","",SUMIFS($J$5:$J$800,$A$5:$A$800,"&gt;="&amp;DATE(YEAR($A469),MONTH($A469),1),$A$5:$A$800,"&lt;="&amp;$A469)+IF(AND(YEAR($A469)=YEAR(Settings!$B$3),MONTH($A469)=MONTH(Settings!$B$3)),Settings!$B$7,0))</f>
        <v/>
      </c>
      <c r="V469" s="70">
        <f>IF($A469="","",Settings!$B$8+SUM($B$5:B469))</f>
        <v/>
      </c>
      <c r="W469" s="71">
        <f>IF($A469="","",Settings!$B$9+SUM($J$5:J469))</f>
        <v/>
      </c>
      <c r="X469" s="71">
        <f>IF($A469="","",IF(AND(N469&gt;0,F469&gt;0),ROUND(F469/N469,0),X468))</f>
        <v/>
      </c>
      <c r="Y469" s="74">
        <f>IF($A469="","",IF(AND(M469&gt;0,L469&gt;0),ROUND(L469/M469,0),IF(AND(J469&gt;0,B469&gt;0),ROUND(B469/J469,0),Y468)))</f>
        <v/>
      </c>
    </row>
    <row r="470">
      <c r="A470" s="67" t="n"/>
      <c r="B470" s="68" t="n"/>
      <c r="C470" s="69" t="n"/>
      <c r="D470" s="68" t="n"/>
      <c r="E470" s="69" t="n"/>
      <c r="F470" s="68" t="n"/>
      <c r="G470" s="69" t="n"/>
      <c r="H470" s="68" t="n"/>
      <c r="I470" s="70">
        <f>IF($A470="","",R469)</f>
        <v/>
      </c>
      <c r="J470" s="71">
        <f>IF($A470="","",IF(C470="",0,C470))</f>
        <v/>
      </c>
      <c r="K470" s="71">
        <f>IF($A470="","",IF(E470="",0,E470))</f>
        <v/>
      </c>
      <c r="L470" s="70">
        <f>IF($A470="","",B470-D470)</f>
        <v/>
      </c>
      <c r="M470" s="71">
        <f>IF($A470="","",J470-K470)</f>
        <v/>
      </c>
      <c r="N470" s="71">
        <f>IF($A470="","",IF(G470="",0,G470))</f>
        <v/>
      </c>
      <c r="O470" s="70">
        <f>IF($A470="","",D470+F470)</f>
        <v/>
      </c>
      <c r="P470" s="71">
        <f>IF($A470="","",K470+N470)</f>
        <v/>
      </c>
      <c r="Q470" s="70">
        <f>IF($A470="","",I470+L470-F470)</f>
        <v/>
      </c>
      <c r="R470" s="72">
        <f>IF($A470="","",IF(H470="",Q470,H470))</f>
        <v/>
      </c>
      <c r="S470" s="73">
        <f>IF($A470="","",R470-Q470)</f>
        <v/>
      </c>
      <c r="T470" s="70">
        <f>IF($A470="","",SUMIFS($B$5:$B$800,$A$5:$A$800,"&gt;="&amp;DATE(YEAR($A470),MONTH($A470),1),$A$5:$A$800,"&lt;="&amp;$A470)+IF(AND(YEAR($A470)=YEAR(Settings!$B$3),MONTH($A470)=MONTH(Settings!$B$3)),Settings!$B$6,0))</f>
        <v/>
      </c>
      <c r="U470" s="71">
        <f>IF($A470="","",SUMIFS($J$5:$J$800,$A$5:$A$800,"&gt;="&amp;DATE(YEAR($A470),MONTH($A470),1),$A$5:$A$800,"&lt;="&amp;$A470)+IF(AND(YEAR($A470)=YEAR(Settings!$B$3),MONTH($A470)=MONTH(Settings!$B$3)),Settings!$B$7,0))</f>
        <v/>
      </c>
      <c r="V470" s="70">
        <f>IF($A470="","",Settings!$B$8+SUM($B$5:B470))</f>
        <v/>
      </c>
      <c r="W470" s="71">
        <f>IF($A470="","",Settings!$B$9+SUM($J$5:J470))</f>
        <v/>
      </c>
      <c r="X470" s="71">
        <f>IF($A470="","",IF(AND(N470&gt;0,F470&gt;0),ROUND(F470/N470,0),X469))</f>
        <v/>
      </c>
      <c r="Y470" s="74">
        <f>IF($A470="","",IF(AND(M470&gt;0,L470&gt;0),ROUND(L470/M470,0),IF(AND(J470&gt;0,B470&gt;0),ROUND(B470/J470,0),Y469)))</f>
        <v/>
      </c>
    </row>
    <row r="471">
      <c r="A471" s="67" t="n"/>
      <c r="B471" s="68" t="n"/>
      <c r="C471" s="69" t="n"/>
      <c r="D471" s="68" t="n"/>
      <c r="E471" s="69" t="n"/>
      <c r="F471" s="68" t="n"/>
      <c r="G471" s="69" t="n"/>
      <c r="H471" s="68" t="n"/>
      <c r="I471" s="70">
        <f>IF($A471="","",R470)</f>
        <v/>
      </c>
      <c r="J471" s="71">
        <f>IF($A471="","",IF(C471="",0,C471))</f>
        <v/>
      </c>
      <c r="K471" s="71">
        <f>IF($A471="","",IF(E471="",0,E471))</f>
        <v/>
      </c>
      <c r="L471" s="70">
        <f>IF($A471="","",B471-D471)</f>
        <v/>
      </c>
      <c r="M471" s="71">
        <f>IF($A471="","",J471-K471)</f>
        <v/>
      </c>
      <c r="N471" s="71">
        <f>IF($A471="","",IF(G471="",0,G471))</f>
        <v/>
      </c>
      <c r="O471" s="70">
        <f>IF($A471="","",D471+F471)</f>
        <v/>
      </c>
      <c r="P471" s="71">
        <f>IF($A471="","",K471+N471)</f>
        <v/>
      </c>
      <c r="Q471" s="70">
        <f>IF($A471="","",I471+L471-F471)</f>
        <v/>
      </c>
      <c r="R471" s="72">
        <f>IF($A471="","",IF(H471="",Q471,H471))</f>
        <v/>
      </c>
      <c r="S471" s="73">
        <f>IF($A471="","",R471-Q471)</f>
        <v/>
      </c>
      <c r="T471" s="70">
        <f>IF($A471="","",SUMIFS($B$5:$B$800,$A$5:$A$800,"&gt;="&amp;DATE(YEAR($A471),MONTH($A471),1),$A$5:$A$800,"&lt;="&amp;$A471)+IF(AND(YEAR($A471)=YEAR(Settings!$B$3),MONTH($A471)=MONTH(Settings!$B$3)),Settings!$B$6,0))</f>
        <v/>
      </c>
      <c r="U471" s="71">
        <f>IF($A471="","",SUMIFS($J$5:$J$800,$A$5:$A$800,"&gt;="&amp;DATE(YEAR($A471),MONTH($A471),1),$A$5:$A$800,"&lt;="&amp;$A471)+IF(AND(YEAR($A471)=YEAR(Settings!$B$3),MONTH($A471)=MONTH(Settings!$B$3)),Settings!$B$7,0))</f>
        <v/>
      </c>
      <c r="V471" s="70">
        <f>IF($A471="","",Settings!$B$8+SUM($B$5:B471))</f>
        <v/>
      </c>
      <c r="W471" s="71">
        <f>IF($A471="","",Settings!$B$9+SUM($J$5:J471))</f>
        <v/>
      </c>
      <c r="X471" s="71">
        <f>IF($A471="","",IF(AND(N471&gt;0,F471&gt;0),ROUND(F471/N471,0),X470))</f>
        <v/>
      </c>
      <c r="Y471" s="74">
        <f>IF($A471="","",IF(AND(M471&gt;0,L471&gt;0),ROUND(L471/M471,0),IF(AND(J471&gt;0,B471&gt;0),ROUND(B471/J471,0),Y470)))</f>
        <v/>
      </c>
    </row>
    <row r="472">
      <c r="A472" s="67" t="n"/>
      <c r="B472" s="68" t="n"/>
      <c r="C472" s="69" t="n"/>
      <c r="D472" s="68" t="n"/>
      <c r="E472" s="69" t="n"/>
      <c r="F472" s="68" t="n"/>
      <c r="G472" s="69" t="n"/>
      <c r="H472" s="68" t="n"/>
      <c r="I472" s="70">
        <f>IF($A472="","",R471)</f>
        <v/>
      </c>
      <c r="J472" s="71">
        <f>IF($A472="","",IF(C472="",0,C472))</f>
        <v/>
      </c>
      <c r="K472" s="71">
        <f>IF($A472="","",IF(E472="",0,E472))</f>
        <v/>
      </c>
      <c r="L472" s="70">
        <f>IF($A472="","",B472-D472)</f>
        <v/>
      </c>
      <c r="M472" s="71">
        <f>IF($A472="","",J472-K472)</f>
        <v/>
      </c>
      <c r="N472" s="71">
        <f>IF($A472="","",IF(G472="",0,G472))</f>
        <v/>
      </c>
      <c r="O472" s="70">
        <f>IF($A472="","",D472+F472)</f>
        <v/>
      </c>
      <c r="P472" s="71">
        <f>IF($A472="","",K472+N472)</f>
        <v/>
      </c>
      <c r="Q472" s="70">
        <f>IF($A472="","",I472+L472-F472)</f>
        <v/>
      </c>
      <c r="R472" s="72">
        <f>IF($A472="","",IF(H472="",Q472,H472))</f>
        <v/>
      </c>
      <c r="S472" s="73">
        <f>IF($A472="","",R472-Q472)</f>
        <v/>
      </c>
      <c r="T472" s="70">
        <f>IF($A472="","",SUMIFS($B$5:$B$800,$A$5:$A$800,"&gt;="&amp;DATE(YEAR($A472),MONTH($A472),1),$A$5:$A$800,"&lt;="&amp;$A472)+IF(AND(YEAR($A472)=YEAR(Settings!$B$3),MONTH($A472)=MONTH(Settings!$B$3)),Settings!$B$6,0))</f>
        <v/>
      </c>
      <c r="U472" s="71">
        <f>IF($A472="","",SUMIFS($J$5:$J$800,$A$5:$A$800,"&gt;="&amp;DATE(YEAR($A472),MONTH($A472),1),$A$5:$A$800,"&lt;="&amp;$A472)+IF(AND(YEAR($A472)=YEAR(Settings!$B$3),MONTH($A472)=MONTH(Settings!$B$3)),Settings!$B$7,0))</f>
        <v/>
      </c>
      <c r="V472" s="70">
        <f>IF($A472="","",Settings!$B$8+SUM($B$5:B472))</f>
        <v/>
      </c>
      <c r="W472" s="71">
        <f>IF($A472="","",Settings!$B$9+SUM($J$5:J472))</f>
        <v/>
      </c>
      <c r="X472" s="71">
        <f>IF($A472="","",IF(AND(N472&gt;0,F472&gt;0),ROUND(F472/N472,0),X471))</f>
        <v/>
      </c>
      <c r="Y472" s="74">
        <f>IF($A472="","",IF(AND(M472&gt;0,L472&gt;0),ROUND(L472/M472,0),IF(AND(J472&gt;0,B472&gt;0),ROUND(B472/J472,0),Y471)))</f>
        <v/>
      </c>
    </row>
    <row r="473">
      <c r="A473" s="67" t="n"/>
      <c r="B473" s="68" t="n"/>
      <c r="C473" s="69" t="n"/>
      <c r="D473" s="68" t="n"/>
      <c r="E473" s="69" t="n"/>
      <c r="F473" s="68" t="n"/>
      <c r="G473" s="69" t="n"/>
      <c r="H473" s="68" t="n"/>
      <c r="I473" s="70">
        <f>IF($A473="","",R472)</f>
        <v/>
      </c>
      <c r="J473" s="71">
        <f>IF($A473="","",IF(C473="",0,C473))</f>
        <v/>
      </c>
      <c r="K473" s="71">
        <f>IF($A473="","",IF(E473="",0,E473))</f>
        <v/>
      </c>
      <c r="L473" s="70">
        <f>IF($A473="","",B473-D473)</f>
        <v/>
      </c>
      <c r="M473" s="71">
        <f>IF($A473="","",J473-K473)</f>
        <v/>
      </c>
      <c r="N473" s="71">
        <f>IF($A473="","",IF(G473="",0,G473))</f>
        <v/>
      </c>
      <c r="O473" s="70">
        <f>IF($A473="","",D473+F473)</f>
        <v/>
      </c>
      <c r="P473" s="71">
        <f>IF($A473="","",K473+N473)</f>
        <v/>
      </c>
      <c r="Q473" s="70">
        <f>IF($A473="","",I473+L473-F473)</f>
        <v/>
      </c>
      <c r="R473" s="72">
        <f>IF($A473="","",IF(H473="",Q473,H473))</f>
        <v/>
      </c>
      <c r="S473" s="73">
        <f>IF($A473="","",R473-Q473)</f>
        <v/>
      </c>
      <c r="T473" s="70">
        <f>IF($A473="","",SUMIFS($B$5:$B$800,$A$5:$A$800,"&gt;="&amp;DATE(YEAR($A473),MONTH($A473),1),$A$5:$A$800,"&lt;="&amp;$A473)+IF(AND(YEAR($A473)=YEAR(Settings!$B$3),MONTH($A473)=MONTH(Settings!$B$3)),Settings!$B$6,0))</f>
        <v/>
      </c>
      <c r="U473" s="71">
        <f>IF($A473="","",SUMIFS($J$5:$J$800,$A$5:$A$800,"&gt;="&amp;DATE(YEAR($A473),MONTH($A473),1),$A$5:$A$800,"&lt;="&amp;$A473)+IF(AND(YEAR($A473)=YEAR(Settings!$B$3),MONTH($A473)=MONTH(Settings!$B$3)),Settings!$B$7,0))</f>
        <v/>
      </c>
      <c r="V473" s="70">
        <f>IF($A473="","",Settings!$B$8+SUM($B$5:B473))</f>
        <v/>
      </c>
      <c r="W473" s="71">
        <f>IF($A473="","",Settings!$B$9+SUM($J$5:J473))</f>
        <v/>
      </c>
      <c r="X473" s="71">
        <f>IF($A473="","",IF(AND(N473&gt;0,F473&gt;0),ROUND(F473/N473,0),X472))</f>
        <v/>
      </c>
      <c r="Y473" s="74">
        <f>IF($A473="","",IF(AND(M473&gt;0,L473&gt;0),ROUND(L473/M473,0),IF(AND(J473&gt;0,B473&gt;0),ROUND(B473/J473,0),Y472)))</f>
        <v/>
      </c>
    </row>
    <row r="474">
      <c r="A474" s="67" t="n"/>
      <c r="B474" s="68" t="n"/>
      <c r="C474" s="69" t="n"/>
      <c r="D474" s="68" t="n"/>
      <c r="E474" s="69" t="n"/>
      <c r="F474" s="68" t="n"/>
      <c r="G474" s="69" t="n"/>
      <c r="H474" s="68" t="n"/>
      <c r="I474" s="70">
        <f>IF($A474="","",R473)</f>
        <v/>
      </c>
      <c r="J474" s="71">
        <f>IF($A474="","",IF(C474="",0,C474))</f>
        <v/>
      </c>
      <c r="K474" s="71">
        <f>IF($A474="","",IF(E474="",0,E474))</f>
        <v/>
      </c>
      <c r="L474" s="70">
        <f>IF($A474="","",B474-D474)</f>
        <v/>
      </c>
      <c r="M474" s="71">
        <f>IF($A474="","",J474-K474)</f>
        <v/>
      </c>
      <c r="N474" s="71">
        <f>IF($A474="","",IF(G474="",0,G474))</f>
        <v/>
      </c>
      <c r="O474" s="70">
        <f>IF($A474="","",D474+F474)</f>
        <v/>
      </c>
      <c r="P474" s="71">
        <f>IF($A474="","",K474+N474)</f>
        <v/>
      </c>
      <c r="Q474" s="70">
        <f>IF($A474="","",I474+L474-F474)</f>
        <v/>
      </c>
      <c r="R474" s="72">
        <f>IF($A474="","",IF(H474="",Q474,H474))</f>
        <v/>
      </c>
      <c r="S474" s="73">
        <f>IF($A474="","",R474-Q474)</f>
        <v/>
      </c>
      <c r="T474" s="70">
        <f>IF($A474="","",SUMIFS($B$5:$B$800,$A$5:$A$800,"&gt;="&amp;DATE(YEAR($A474),MONTH($A474),1),$A$5:$A$800,"&lt;="&amp;$A474)+IF(AND(YEAR($A474)=YEAR(Settings!$B$3),MONTH($A474)=MONTH(Settings!$B$3)),Settings!$B$6,0))</f>
        <v/>
      </c>
      <c r="U474" s="71">
        <f>IF($A474="","",SUMIFS($J$5:$J$800,$A$5:$A$800,"&gt;="&amp;DATE(YEAR($A474),MONTH($A474),1),$A$5:$A$800,"&lt;="&amp;$A474)+IF(AND(YEAR($A474)=YEAR(Settings!$B$3),MONTH($A474)=MONTH(Settings!$B$3)),Settings!$B$7,0))</f>
        <v/>
      </c>
      <c r="V474" s="70">
        <f>IF($A474="","",Settings!$B$8+SUM($B$5:B474))</f>
        <v/>
      </c>
      <c r="W474" s="71">
        <f>IF($A474="","",Settings!$B$9+SUM($J$5:J474))</f>
        <v/>
      </c>
      <c r="X474" s="71">
        <f>IF($A474="","",IF(AND(N474&gt;0,F474&gt;0),ROUND(F474/N474,0),X473))</f>
        <v/>
      </c>
      <c r="Y474" s="74">
        <f>IF($A474="","",IF(AND(M474&gt;0,L474&gt;0),ROUND(L474/M474,0),IF(AND(J474&gt;0,B474&gt;0),ROUND(B474/J474,0),Y473)))</f>
        <v/>
      </c>
    </row>
    <row r="475">
      <c r="A475" s="67" t="n"/>
      <c r="B475" s="68" t="n"/>
      <c r="C475" s="69" t="n"/>
      <c r="D475" s="68" t="n"/>
      <c r="E475" s="69" t="n"/>
      <c r="F475" s="68" t="n"/>
      <c r="G475" s="69" t="n"/>
      <c r="H475" s="68" t="n"/>
      <c r="I475" s="70">
        <f>IF($A475="","",R474)</f>
        <v/>
      </c>
      <c r="J475" s="71">
        <f>IF($A475="","",IF(C475="",0,C475))</f>
        <v/>
      </c>
      <c r="K475" s="71">
        <f>IF($A475="","",IF(E475="",0,E475))</f>
        <v/>
      </c>
      <c r="L475" s="70">
        <f>IF($A475="","",B475-D475)</f>
        <v/>
      </c>
      <c r="M475" s="71">
        <f>IF($A475="","",J475-K475)</f>
        <v/>
      </c>
      <c r="N475" s="71">
        <f>IF($A475="","",IF(G475="",0,G475))</f>
        <v/>
      </c>
      <c r="O475" s="70">
        <f>IF($A475="","",D475+F475)</f>
        <v/>
      </c>
      <c r="P475" s="71">
        <f>IF($A475="","",K475+N475)</f>
        <v/>
      </c>
      <c r="Q475" s="70">
        <f>IF($A475="","",I475+L475-F475)</f>
        <v/>
      </c>
      <c r="R475" s="72">
        <f>IF($A475="","",IF(H475="",Q475,H475))</f>
        <v/>
      </c>
      <c r="S475" s="73">
        <f>IF($A475="","",R475-Q475)</f>
        <v/>
      </c>
      <c r="T475" s="70">
        <f>IF($A475="","",SUMIFS($B$5:$B$800,$A$5:$A$800,"&gt;="&amp;DATE(YEAR($A475),MONTH($A475),1),$A$5:$A$800,"&lt;="&amp;$A475)+IF(AND(YEAR($A475)=YEAR(Settings!$B$3),MONTH($A475)=MONTH(Settings!$B$3)),Settings!$B$6,0))</f>
        <v/>
      </c>
      <c r="U475" s="71">
        <f>IF($A475="","",SUMIFS($J$5:$J$800,$A$5:$A$800,"&gt;="&amp;DATE(YEAR($A475),MONTH($A475),1),$A$5:$A$800,"&lt;="&amp;$A475)+IF(AND(YEAR($A475)=YEAR(Settings!$B$3),MONTH($A475)=MONTH(Settings!$B$3)),Settings!$B$7,0))</f>
        <v/>
      </c>
      <c r="V475" s="70">
        <f>IF($A475="","",Settings!$B$8+SUM($B$5:B475))</f>
        <v/>
      </c>
      <c r="W475" s="71">
        <f>IF($A475="","",Settings!$B$9+SUM($J$5:J475))</f>
        <v/>
      </c>
      <c r="X475" s="71">
        <f>IF($A475="","",IF(AND(N475&gt;0,F475&gt;0),ROUND(F475/N475,0),X474))</f>
        <v/>
      </c>
      <c r="Y475" s="74">
        <f>IF($A475="","",IF(AND(M475&gt;0,L475&gt;0),ROUND(L475/M475,0),IF(AND(J475&gt;0,B475&gt;0),ROUND(B475/J475,0),Y474)))</f>
        <v/>
      </c>
    </row>
    <row r="476">
      <c r="A476" s="67" t="n"/>
      <c r="B476" s="68" t="n"/>
      <c r="C476" s="69" t="n"/>
      <c r="D476" s="68" t="n"/>
      <c r="E476" s="69" t="n"/>
      <c r="F476" s="68" t="n"/>
      <c r="G476" s="69" t="n"/>
      <c r="H476" s="68" t="n"/>
      <c r="I476" s="70">
        <f>IF($A476="","",R475)</f>
        <v/>
      </c>
      <c r="J476" s="71">
        <f>IF($A476="","",IF(C476="",0,C476))</f>
        <v/>
      </c>
      <c r="K476" s="71">
        <f>IF($A476="","",IF(E476="",0,E476))</f>
        <v/>
      </c>
      <c r="L476" s="70">
        <f>IF($A476="","",B476-D476)</f>
        <v/>
      </c>
      <c r="M476" s="71">
        <f>IF($A476="","",J476-K476)</f>
        <v/>
      </c>
      <c r="N476" s="71">
        <f>IF($A476="","",IF(G476="",0,G476))</f>
        <v/>
      </c>
      <c r="O476" s="70">
        <f>IF($A476="","",D476+F476)</f>
        <v/>
      </c>
      <c r="P476" s="71">
        <f>IF($A476="","",K476+N476)</f>
        <v/>
      </c>
      <c r="Q476" s="70">
        <f>IF($A476="","",I476+L476-F476)</f>
        <v/>
      </c>
      <c r="R476" s="72">
        <f>IF($A476="","",IF(H476="",Q476,H476))</f>
        <v/>
      </c>
      <c r="S476" s="73">
        <f>IF($A476="","",R476-Q476)</f>
        <v/>
      </c>
      <c r="T476" s="70">
        <f>IF($A476="","",SUMIFS($B$5:$B$800,$A$5:$A$800,"&gt;="&amp;DATE(YEAR($A476),MONTH($A476),1),$A$5:$A$800,"&lt;="&amp;$A476)+IF(AND(YEAR($A476)=YEAR(Settings!$B$3),MONTH($A476)=MONTH(Settings!$B$3)),Settings!$B$6,0))</f>
        <v/>
      </c>
      <c r="U476" s="71">
        <f>IF($A476="","",SUMIFS($J$5:$J$800,$A$5:$A$800,"&gt;="&amp;DATE(YEAR($A476),MONTH($A476),1),$A$5:$A$800,"&lt;="&amp;$A476)+IF(AND(YEAR($A476)=YEAR(Settings!$B$3),MONTH($A476)=MONTH(Settings!$B$3)),Settings!$B$7,0))</f>
        <v/>
      </c>
      <c r="V476" s="70">
        <f>IF($A476="","",Settings!$B$8+SUM($B$5:B476))</f>
        <v/>
      </c>
      <c r="W476" s="71">
        <f>IF($A476="","",Settings!$B$9+SUM($J$5:J476))</f>
        <v/>
      </c>
      <c r="X476" s="71">
        <f>IF($A476="","",IF(AND(N476&gt;0,F476&gt;0),ROUND(F476/N476,0),X475))</f>
        <v/>
      </c>
      <c r="Y476" s="74">
        <f>IF($A476="","",IF(AND(M476&gt;0,L476&gt;0),ROUND(L476/M476,0),IF(AND(J476&gt;0,B476&gt;0),ROUND(B476/J476,0),Y475)))</f>
        <v/>
      </c>
    </row>
    <row r="477">
      <c r="A477" s="67" t="n"/>
      <c r="B477" s="68" t="n"/>
      <c r="C477" s="69" t="n"/>
      <c r="D477" s="68" t="n"/>
      <c r="E477" s="69" t="n"/>
      <c r="F477" s="68" t="n"/>
      <c r="G477" s="69" t="n"/>
      <c r="H477" s="68" t="n"/>
      <c r="I477" s="70">
        <f>IF($A477="","",R476)</f>
        <v/>
      </c>
      <c r="J477" s="71">
        <f>IF($A477="","",IF(C477="",0,C477))</f>
        <v/>
      </c>
      <c r="K477" s="71">
        <f>IF($A477="","",IF(E477="",0,E477))</f>
        <v/>
      </c>
      <c r="L477" s="70">
        <f>IF($A477="","",B477-D477)</f>
        <v/>
      </c>
      <c r="M477" s="71">
        <f>IF($A477="","",J477-K477)</f>
        <v/>
      </c>
      <c r="N477" s="71">
        <f>IF($A477="","",IF(G477="",0,G477))</f>
        <v/>
      </c>
      <c r="O477" s="70">
        <f>IF($A477="","",D477+F477)</f>
        <v/>
      </c>
      <c r="P477" s="71">
        <f>IF($A477="","",K477+N477)</f>
        <v/>
      </c>
      <c r="Q477" s="70">
        <f>IF($A477="","",I477+L477-F477)</f>
        <v/>
      </c>
      <c r="R477" s="72">
        <f>IF($A477="","",IF(H477="",Q477,H477))</f>
        <v/>
      </c>
      <c r="S477" s="73">
        <f>IF($A477="","",R477-Q477)</f>
        <v/>
      </c>
      <c r="T477" s="70">
        <f>IF($A477="","",SUMIFS($B$5:$B$800,$A$5:$A$800,"&gt;="&amp;DATE(YEAR($A477),MONTH($A477),1),$A$5:$A$800,"&lt;="&amp;$A477)+IF(AND(YEAR($A477)=YEAR(Settings!$B$3),MONTH($A477)=MONTH(Settings!$B$3)),Settings!$B$6,0))</f>
        <v/>
      </c>
      <c r="U477" s="71">
        <f>IF($A477="","",SUMIFS($J$5:$J$800,$A$5:$A$800,"&gt;="&amp;DATE(YEAR($A477),MONTH($A477),1),$A$5:$A$800,"&lt;="&amp;$A477)+IF(AND(YEAR($A477)=YEAR(Settings!$B$3),MONTH($A477)=MONTH(Settings!$B$3)),Settings!$B$7,0))</f>
        <v/>
      </c>
      <c r="V477" s="70">
        <f>IF($A477="","",Settings!$B$8+SUM($B$5:B477))</f>
        <v/>
      </c>
      <c r="W477" s="71">
        <f>IF($A477="","",Settings!$B$9+SUM($J$5:J477))</f>
        <v/>
      </c>
      <c r="X477" s="71">
        <f>IF($A477="","",IF(AND(N477&gt;0,F477&gt;0),ROUND(F477/N477,0),X476))</f>
        <v/>
      </c>
      <c r="Y477" s="74">
        <f>IF($A477="","",IF(AND(M477&gt;0,L477&gt;0),ROUND(L477/M477,0),IF(AND(J477&gt;0,B477&gt;0),ROUND(B477/J477,0),Y476)))</f>
        <v/>
      </c>
    </row>
    <row r="478">
      <c r="A478" s="67" t="n"/>
      <c r="B478" s="68" t="n"/>
      <c r="C478" s="69" t="n"/>
      <c r="D478" s="68" t="n"/>
      <c r="E478" s="69" t="n"/>
      <c r="F478" s="68" t="n"/>
      <c r="G478" s="69" t="n"/>
      <c r="H478" s="68" t="n"/>
      <c r="I478" s="70">
        <f>IF($A478="","",R477)</f>
        <v/>
      </c>
      <c r="J478" s="71">
        <f>IF($A478="","",IF(C478="",0,C478))</f>
        <v/>
      </c>
      <c r="K478" s="71">
        <f>IF($A478="","",IF(E478="",0,E478))</f>
        <v/>
      </c>
      <c r="L478" s="70">
        <f>IF($A478="","",B478-D478)</f>
        <v/>
      </c>
      <c r="M478" s="71">
        <f>IF($A478="","",J478-K478)</f>
        <v/>
      </c>
      <c r="N478" s="71">
        <f>IF($A478="","",IF(G478="",0,G478))</f>
        <v/>
      </c>
      <c r="O478" s="70">
        <f>IF($A478="","",D478+F478)</f>
        <v/>
      </c>
      <c r="P478" s="71">
        <f>IF($A478="","",K478+N478)</f>
        <v/>
      </c>
      <c r="Q478" s="70">
        <f>IF($A478="","",I478+L478-F478)</f>
        <v/>
      </c>
      <c r="R478" s="72">
        <f>IF($A478="","",IF(H478="",Q478,H478))</f>
        <v/>
      </c>
      <c r="S478" s="73">
        <f>IF($A478="","",R478-Q478)</f>
        <v/>
      </c>
      <c r="T478" s="70">
        <f>IF($A478="","",SUMIFS($B$5:$B$800,$A$5:$A$800,"&gt;="&amp;DATE(YEAR($A478),MONTH($A478),1),$A$5:$A$800,"&lt;="&amp;$A478)+IF(AND(YEAR($A478)=YEAR(Settings!$B$3),MONTH($A478)=MONTH(Settings!$B$3)),Settings!$B$6,0))</f>
        <v/>
      </c>
      <c r="U478" s="71">
        <f>IF($A478="","",SUMIFS($J$5:$J$800,$A$5:$A$800,"&gt;="&amp;DATE(YEAR($A478),MONTH($A478),1),$A$5:$A$800,"&lt;="&amp;$A478)+IF(AND(YEAR($A478)=YEAR(Settings!$B$3),MONTH($A478)=MONTH(Settings!$B$3)),Settings!$B$7,0))</f>
        <v/>
      </c>
      <c r="V478" s="70">
        <f>IF($A478="","",Settings!$B$8+SUM($B$5:B478))</f>
        <v/>
      </c>
      <c r="W478" s="71">
        <f>IF($A478="","",Settings!$B$9+SUM($J$5:J478))</f>
        <v/>
      </c>
      <c r="X478" s="71">
        <f>IF($A478="","",IF(AND(N478&gt;0,F478&gt;0),ROUND(F478/N478,0),X477))</f>
        <v/>
      </c>
      <c r="Y478" s="74">
        <f>IF($A478="","",IF(AND(M478&gt;0,L478&gt;0),ROUND(L478/M478,0),IF(AND(J478&gt;0,B478&gt;0),ROUND(B478/J478,0),Y477)))</f>
        <v/>
      </c>
    </row>
    <row r="479">
      <c r="A479" s="67" t="n"/>
      <c r="B479" s="68" t="n"/>
      <c r="C479" s="69" t="n"/>
      <c r="D479" s="68" t="n"/>
      <c r="E479" s="69" t="n"/>
      <c r="F479" s="68" t="n"/>
      <c r="G479" s="69" t="n"/>
      <c r="H479" s="68" t="n"/>
      <c r="I479" s="70">
        <f>IF($A479="","",R478)</f>
        <v/>
      </c>
      <c r="J479" s="71">
        <f>IF($A479="","",IF(C479="",0,C479))</f>
        <v/>
      </c>
      <c r="K479" s="71">
        <f>IF($A479="","",IF(E479="",0,E479))</f>
        <v/>
      </c>
      <c r="L479" s="70">
        <f>IF($A479="","",B479-D479)</f>
        <v/>
      </c>
      <c r="M479" s="71">
        <f>IF($A479="","",J479-K479)</f>
        <v/>
      </c>
      <c r="N479" s="71">
        <f>IF($A479="","",IF(G479="",0,G479))</f>
        <v/>
      </c>
      <c r="O479" s="70">
        <f>IF($A479="","",D479+F479)</f>
        <v/>
      </c>
      <c r="P479" s="71">
        <f>IF($A479="","",K479+N479)</f>
        <v/>
      </c>
      <c r="Q479" s="70">
        <f>IF($A479="","",I479+L479-F479)</f>
        <v/>
      </c>
      <c r="R479" s="72">
        <f>IF($A479="","",IF(H479="",Q479,H479))</f>
        <v/>
      </c>
      <c r="S479" s="73">
        <f>IF($A479="","",R479-Q479)</f>
        <v/>
      </c>
      <c r="T479" s="70">
        <f>IF($A479="","",SUMIFS($B$5:$B$800,$A$5:$A$800,"&gt;="&amp;DATE(YEAR($A479),MONTH($A479),1),$A$5:$A$800,"&lt;="&amp;$A479)+IF(AND(YEAR($A479)=YEAR(Settings!$B$3),MONTH($A479)=MONTH(Settings!$B$3)),Settings!$B$6,0))</f>
        <v/>
      </c>
      <c r="U479" s="71">
        <f>IF($A479="","",SUMIFS($J$5:$J$800,$A$5:$A$800,"&gt;="&amp;DATE(YEAR($A479),MONTH($A479),1),$A$5:$A$800,"&lt;="&amp;$A479)+IF(AND(YEAR($A479)=YEAR(Settings!$B$3),MONTH($A479)=MONTH(Settings!$B$3)),Settings!$B$7,0))</f>
        <v/>
      </c>
      <c r="V479" s="70">
        <f>IF($A479="","",Settings!$B$8+SUM($B$5:B479))</f>
        <v/>
      </c>
      <c r="W479" s="71">
        <f>IF($A479="","",Settings!$B$9+SUM($J$5:J479))</f>
        <v/>
      </c>
      <c r="X479" s="71">
        <f>IF($A479="","",IF(AND(N479&gt;0,F479&gt;0),ROUND(F479/N479,0),X478))</f>
        <v/>
      </c>
      <c r="Y479" s="74">
        <f>IF($A479="","",IF(AND(M479&gt;0,L479&gt;0),ROUND(L479/M479,0),IF(AND(J479&gt;0,B479&gt;0),ROUND(B479/J479,0),Y478)))</f>
        <v/>
      </c>
    </row>
    <row r="480">
      <c r="A480" s="67" t="n"/>
      <c r="B480" s="68" t="n"/>
      <c r="C480" s="69" t="n"/>
      <c r="D480" s="68" t="n"/>
      <c r="E480" s="69" t="n"/>
      <c r="F480" s="68" t="n"/>
      <c r="G480" s="69" t="n"/>
      <c r="H480" s="68" t="n"/>
      <c r="I480" s="70">
        <f>IF($A480="","",R479)</f>
        <v/>
      </c>
      <c r="J480" s="71">
        <f>IF($A480="","",IF(C480="",0,C480))</f>
        <v/>
      </c>
      <c r="K480" s="71">
        <f>IF($A480="","",IF(E480="",0,E480))</f>
        <v/>
      </c>
      <c r="L480" s="70">
        <f>IF($A480="","",B480-D480)</f>
        <v/>
      </c>
      <c r="M480" s="71">
        <f>IF($A480="","",J480-K480)</f>
        <v/>
      </c>
      <c r="N480" s="71">
        <f>IF($A480="","",IF(G480="",0,G480))</f>
        <v/>
      </c>
      <c r="O480" s="70">
        <f>IF($A480="","",D480+F480)</f>
        <v/>
      </c>
      <c r="P480" s="71">
        <f>IF($A480="","",K480+N480)</f>
        <v/>
      </c>
      <c r="Q480" s="70">
        <f>IF($A480="","",I480+L480-F480)</f>
        <v/>
      </c>
      <c r="R480" s="72">
        <f>IF($A480="","",IF(H480="",Q480,H480))</f>
        <v/>
      </c>
      <c r="S480" s="73">
        <f>IF($A480="","",R480-Q480)</f>
        <v/>
      </c>
      <c r="T480" s="70">
        <f>IF($A480="","",SUMIFS($B$5:$B$800,$A$5:$A$800,"&gt;="&amp;DATE(YEAR($A480),MONTH($A480),1),$A$5:$A$800,"&lt;="&amp;$A480)+IF(AND(YEAR($A480)=YEAR(Settings!$B$3),MONTH($A480)=MONTH(Settings!$B$3)),Settings!$B$6,0))</f>
        <v/>
      </c>
      <c r="U480" s="71">
        <f>IF($A480="","",SUMIFS($J$5:$J$800,$A$5:$A$800,"&gt;="&amp;DATE(YEAR($A480),MONTH($A480),1),$A$5:$A$800,"&lt;="&amp;$A480)+IF(AND(YEAR($A480)=YEAR(Settings!$B$3),MONTH($A480)=MONTH(Settings!$B$3)),Settings!$B$7,0))</f>
        <v/>
      </c>
      <c r="V480" s="70">
        <f>IF($A480="","",Settings!$B$8+SUM($B$5:B480))</f>
        <v/>
      </c>
      <c r="W480" s="71">
        <f>IF($A480="","",Settings!$B$9+SUM($J$5:J480))</f>
        <v/>
      </c>
      <c r="X480" s="71">
        <f>IF($A480="","",IF(AND(N480&gt;0,F480&gt;0),ROUND(F480/N480,0),X479))</f>
        <v/>
      </c>
      <c r="Y480" s="74">
        <f>IF($A480="","",IF(AND(M480&gt;0,L480&gt;0),ROUND(L480/M480,0),IF(AND(J480&gt;0,B480&gt;0),ROUND(B480/J480,0),Y479)))</f>
        <v/>
      </c>
    </row>
    <row r="481">
      <c r="A481" s="67" t="n"/>
      <c r="B481" s="68" t="n"/>
      <c r="C481" s="69" t="n"/>
      <c r="D481" s="68" t="n"/>
      <c r="E481" s="69" t="n"/>
      <c r="F481" s="68" t="n"/>
      <c r="G481" s="69" t="n"/>
      <c r="H481" s="68" t="n"/>
      <c r="I481" s="70">
        <f>IF($A481="","",R480)</f>
        <v/>
      </c>
      <c r="J481" s="71">
        <f>IF($A481="","",IF(C481="",0,C481))</f>
        <v/>
      </c>
      <c r="K481" s="71">
        <f>IF($A481="","",IF(E481="",0,E481))</f>
        <v/>
      </c>
      <c r="L481" s="70">
        <f>IF($A481="","",B481-D481)</f>
        <v/>
      </c>
      <c r="M481" s="71">
        <f>IF($A481="","",J481-K481)</f>
        <v/>
      </c>
      <c r="N481" s="71">
        <f>IF($A481="","",IF(G481="",0,G481))</f>
        <v/>
      </c>
      <c r="O481" s="70">
        <f>IF($A481="","",D481+F481)</f>
        <v/>
      </c>
      <c r="P481" s="71">
        <f>IF($A481="","",K481+N481)</f>
        <v/>
      </c>
      <c r="Q481" s="70">
        <f>IF($A481="","",I481+L481-F481)</f>
        <v/>
      </c>
      <c r="R481" s="72">
        <f>IF($A481="","",IF(H481="",Q481,H481))</f>
        <v/>
      </c>
      <c r="S481" s="73">
        <f>IF($A481="","",R481-Q481)</f>
        <v/>
      </c>
      <c r="T481" s="70">
        <f>IF($A481="","",SUMIFS($B$5:$B$800,$A$5:$A$800,"&gt;="&amp;DATE(YEAR($A481),MONTH($A481),1),$A$5:$A$800,"&lt;="&amp;$A481)+IF(AND(YEAR($A481)=YEAR(Settings!$B$3),MONTH($A481)=MONTH(Settings!$B$3)),Settings!$B$6,0))</f>
        <v/>
      </c>
      <c r="U481" s="71">
        <f>IF($A481="","",SUMIFS($J$5:$J$800,$A$5:$A$800,"&gt;="&amp;DATE(YEAR($A481),MONTH($A481),1),$A$5:$A$800,"&lt;="&amp;$A481)+IF(AND(YEAR($A481)=YEAR(Settings!$B$3),MONTH($A481)=MONTH(Settings!$B$3)),Settings!$B$7,0))</f>
        <v/>
      </c>
      <c r="V481" s="70">
        <f>IF($A481="","",Settings!$B$8+SUM($B$5:B481))</f>
        <v/>
      </c>
      <c r="W481" s="71">
        <f>IF($A481="","",Settings!$B$9+SUM($J$5:J481))</f>
        <v/>
      </c>
      <c r="X481" s="71">
        <f>IF($A481="","",IF(AND(N481&gt;0,F481&gt;0),ROUND(F481/N481,0),X480))</f>
        <v/>
      </c>
      <c r="Y481" s="74">
        <f>IF($A481="","",IF(AND(M481&gt;0,L481&gt;0),ROUND(L481/M481,0),IF(AND(J481&gt;0,B481&gt;0),ROUND(B481/J481,0),Y480)))</f>
        <v/>
      </c>
    </row>
    <row r="482">
      <c r="A482" s="67" t="n"/>
      <c r="B482" s="68" t="n"/>
      <c r="C482" s="69" t="n"/>
      <c r="D482" s="68" t="n"/>
      <c r="E482" s="69" t="n"/>
      <c r="F482" s="68" t="n"/>
      <c r="G482" s="69" t="n"/>
      <c r="H482" s="68" t="n"/>
      <c r="I482" s="70">
        <f>IF($A482="","",R481)</f>
        <v/>
      </c>
      <c r="J482" s="71">
        <f>IF($A482="","",IF(C482="",0,C482))</f>
        <v/>
      </c>
      <c r="K482" s="71">
        <f>IF($A482="","",IF(E482="",0,E482))</f>
        <v/>
      </c>
      <c r="L482" s="70">
        <f>IF($A482="","",B482-D482)</f>
        <v/>
      </c>
      <c r="M482" s="71">
        <f>IF($A482="","",J482-K482)</f>
        <v/>
      </c>
      <c r="N482" s="71">
        <f>IF($A482="","",IF(G482="",0,G482))</f>
        <v/>
      </c>
      <c r="O482" s="70">
        <f>IF($A482="","",D482+F482)</f>
        <v/>
      </c>
      <c r="P482" s="71">
        <f>IF($A482="","",K482+N482)</f>
        <v/>
      </c>
      <c r="Q482" s="70">
        <f>IF($A482="","",I482+L482-F482)</f>
        <v/>
      </c>
      <c r="R482" s="72">
        <f>IF($A482="","",IF(H482="",Q482,H482))</f>
        <v/>
      </c>
      <c r="S482" s="73">
        <f>IF($A482="","",R482-Q482)</f>
        <v/>
      </c>
      <c r="T482" s="70">
        <f>IF($A482="","",SUMIFS($B$5:$B$800,$A$5:$A$800,"&gt;="&amp;DATE(YEAR($A482),MONTH($A482),1),$A$5:$A$800,"&lt;="&amp;$A482)+IF(AND(YEAR($A482)=YEAR(Settings!$B$3),MONTH($A482)=MONTH(Settings!$B$3)),Settings!$B$6,0))</f>
        <v/>
      </c>
      <c r="U482" s="71">
        <f>IF($A482="","",SUMIFS($J$5:$J$800,$A$5:$A$800,"&gt;="&amp;DATE(YEAR($A482),MONTH($A482),1),$A$5:$A$800,"&lt;="&amp;$A482)+IF(AND(YEAR($A482)=YEAR(Settings!$B$3),MONTH($A482)=MONTH(Settings!$B$3)),Settings!$B$7,0))</f>
        <v/>
      </c>
      <c r="V482" s="70">
        <f>IF($A482="","",Settings!$B$8+SUM($B$5:B482))</f>
        <v/>
      </c>
      <c r="W482" s="71">
        <f>IF($A482="","",Settings!$B$9+SUM($J$5:J482))</f>
        <v/>
      </c>
      <c r="X482" s="71">
        <f>IF($A482="","",IF(AND(N482&gt;0,F482&gt;0),ROUND(F482/N482,0),X481))</f>
        <v/>
      </c>
      <c r="Y482" s="74">
        <f>IF($A482="","",IF(AND(M482&gt;0,L482&gt;0),ROUND(L482/M482,0),IF(AND(J482&gt;0,B482&gt;0),ROUND(B482/J482,0),Y481)))</f>
        <v/>
      </c>
    </row>
    <row r="483">
      <c r="A483" s="67" t="n"/>
      <c r="B483" s="68" t="n"/>
      <c r="C483" s="69" t="n"/>
      <c r="D483" s="68" t="n"/>
      <c r="E483" s="69" t="n"/>
      <c r="F483" s="68" t="n"/>
      <c r="G483" s="69" t="n"/>
      <c r="H483" s="68" t="n"/>
      <c r="I483" s="70">
        <f>IF($A483="","",R482)</f>
        <v/>
      </c>
      <c r="J483" s="71">
        <f>IF($A483="","",IF(C483="",0,C483))</f>
        <v/>
      </c>
      <c r="K483" s="71">
        <f>IF($A483="","",IF(E483="",0,E483))</f>
        <v/>
      </c>
      <c r="L483" s="70">
        <f>IF($A483="","",B483-D483)</f>
        <v/>
      </c>
      <c r="M483" s="71">
        <f>IF($A483="","",J483-K483)</f>
        <v/>
      </c>
      <c r="N483" s="71">
        <f>IF($A483="","",IF(G483="",0,G483))</f>
        <v/>
      </c>
      <c r="O483" s="70">
        <f>IF($A483="","",D483+F483)</f>
        <v/>
      </c>
      <c r="P483" s="71">
        <f>IF($A483="","",K483+N483)</f>
        <v/>
      </c>
      <c r="Q483" s="70">
        <f>IF($A483="","",I483+L483-F483)</f>
        <v/>
      </c>
      <c r="R483" s="72">
        <f>IF($A483="","",IF(H483="",Q483,H483))</f>
        <v/>
      </c>
      <c r="S483" s="73">
        <f>IF($A483="","",R483-Q483)</f>
        <v/>
      </c>
      <c r="T483" s="70">
        <f>IF($A483="","",SUMIFS($B$5:$B$800,$A$5:$A$800,"&gt;="&amp;DATE(YEAR($A483),MONTH($A483),1),$A$5:$A$800,"&lt;="&amp;$A483)+IF(AND(YEAR($A483)=YEAR(Settings!$B$3),MONTH($A483)=MONTH(Settings!$B$3)),Settings!$B$6,0))</f>
        <v/>
      </c>
      <c r="U483" s="71">
        <f>IF($A483="","",SUMIFS($J$5:$J$800,$A$5:$A$800,"&gt;="&amp;DATE(YEAR($A483),MONTH($A483),1),$A$5:$A$800,"&lt;="&amp;$A483)+IF(AND(YEAR($A483)=YEAR(Settings!$B$3),MONTH($A483)=MONTH(Settings!$B$3)),Settings!$B$7,0))</f>
        <v/>
      </c>
      <c r="V483" s="70">
        <f>IF($A483="","",Settings!$B$8+SUM($B$5:B483))</f>
        <v/>
      </c>
      <c r="W483" s="71">
        <f>IF($A483="","",Settings!$B$9+SUM($J$5:J483))</f>
        <v/>
      </c>
      <c r="X483" s="71">
        <f>IF($A483="","",IF(AND(N483&gt;0,F483&gt;0),ROUND(F483/N483,0),X482))</f>
        <v/>
      </c>
      <c r="Y483" s="74">
        <f>IF($A483="","",IF(AND(M483&gt;0,L483&gt;0),ROUND(L483/M483,0),IF(AND(J483&gt;0,B483&gt;0),ROUND(B483/J483,0),Y482)))</f>
        <v/>
      </c>
    </row>
    <row r="484">
      <c r="A484" s="67" t="n"/>
      <c r="B484" s="68" t="n"/>
      <c r="C484" s="69" t="n"/>
      <c r="D484" s="68" t="n"/>
      <c r="E484" s="69" t="n"/>
      <c r="F484" s="68" t="n"/>
      <c r="G484" s="69" t="n"/>
      <c r="H484" s="68" t="n"/>
      <c r="I484" s="70">
        <f>IF($A484="","",R483)</f>
        <v/>
      </c>
      <c r="J484" s="71">
        <f>IF($A484="","",IF(C484="",0,C484))</f>
        <v/>
      </c>
      <c r="K484" s="71">
        <f>IF($A484="","",IF(E484="",0,E484))</f>
        <v/>
      </c>
      <c r="L484" s="70">
        <f>IF($A484="","",B484-D484)</f>
        <v/>
      </c>
      <c r="M484" s="71">
        <f>IF($A484="","",J484-K484)</f>
        <v/>
      </c>
      <c r="N484" s="71">
        <f>IF($A484="","",IF(G484="",0,G484))</f>
        <v/>
      </c>
      <c r="O484" s="70">
        <f>IF($A484="","",D484+F484)</f>
        <v/>
      </c>
      <c r="P484" s="71">
        <f>IF($A484="","",K484+N484)</f>
        <v/>
      </c>
      <c r="Q484" s="70">
        <f>IF($A484="","",I484+L484-F484)</f>
        <v/>
      </c>
      <c r="R484" s="72">
        <f>IF($A484="","",IF(H484="",Q484,H484))</f>
        <v/>
      </c>
      <c r="S484" s="73">
        <f>IF($A484="","",R484-Q484)</f>
        <v/>
      </c>
      <c r="T484" s="70">
        <f>IF($A484="","",SUMIFS($B$5:$B$800,$A$5:$A$800,"&gt;="&amp;DATE(YEAR($A484),MONTH($A484),1),$A$5:$A$800,"&lt;="&amp;$A484)+IF(AND(YEAR($A484)=YEAR(Settings!$B$3),MONTH($A484)=MONTH(Settings!$B$3)),Settings!$B$6,0))</f>
        <v/>
      </c>
      <c r="U484" s="71">
        <f>IF($A484="","",SUMIFS($J$5:$J$800,$A$5:$A$800,"&gt;="&amp;DATE(YEAR($A484),MONTH($A484),1),$A$5:$A$800,"&lt;="&amp;$A484)+IF(AND(YEAR($A484)=YEAR(Settings!$B$3),MONTH($A484)=MONTH(Settings!$B$3)),Settings!$B$7,0))</f>
        <v/>
      </c>
      <c r="V484" s="70">
        <f>IF($A484="","",Settings!$B$8+SUM($B$5:B484))</f>
        <v/>
      </c>
      <c r="W484" s="71">
        <f>IF($A484="","",Settings!$B$9+SUM($J$5:J484))</f>
        <v/>
      </c>
      <c r="X484" s="71">
        <f>IF($A484="","",IF(AND(N484&gt;0,F484&gt;0),ROUND(F484/N484,0),X483))</f>
        <v/>
      </c>
      <c r="Y484" s="74">
        <f>IF($A484="","",IF(AND(M484&gt;0,L484&gt;0),ROUND(L484/M484,0),IF(AND(J484&gt;0,B484&gt;0),ROUND(B484/J484,0),Y483)))</f>
        <v/>
      </c>
    </row>
    <row r="485">
      <c r="A485" s="67" t="n"/>
      <c r="B485" s="68" t="n"/>
      <c r="C485" s="69" t="n"/>
      <c r="D485" s="68" t="n"/>
      <c r="E485" s="69" t="n"/>
      <c r="F485" s="68" t="n"/>
      <c r="G485" s="69" t="n"/>
      <c r="H485" s="68" t="n"/>
      <c r="I485" s="70">
        <f>IF($A485="","",R484)</f>
        <v/>
      </c>
      <c r="J485" s="71">
        <f>IF($A485="","",IF(C485="",0,C485))</f>
        <v/>
      </c>
      <c r="K485" s="71">
        <f>IF($A485="","",IF(E485="",0,E485))</f>
        <v/>
      </c>
      <c r="L485" s="70">
        <f>IF($A485="","",B485-D485)</f>
        <v/>
      </c>
      <c r="M485" s="71">
        <f>IF($A485="","",J485-K485)</f>
        <v/>
      </c>
      <c r="N485" s="71">
        <f>IF($A485="","",IF(G485="",0,G485))</f>
        <v/>
      </c>
      <c r="O485" s="70">
        <f>IF($A485="","",D485+F485)</f>
        <v/>
      </c>
      <c r="P485" s="71">
        <f>IF($A485="","",K485+N485)</f>
        <v/>
      </c>
      <c r="Q485" s="70">
        <f>IF($A485="","",I485+L485-F485)</f>
        <v/>
      </c>
      <c r="R485" s="72">
        <f>IF($A485="","",IF(H485="",Q485,H485))</f>
        <v/>
      </c>
      <c r="S485" s="73">
        <f>IF($A485="","",R485-Q485)</f>
        <v/>
      </c>
      <c r="T485" s="70">
        <f>IF($A485="","",SUMIFS($B$5:$B$800,$A$5:$A$800,"&gt;="&amp;DATE(YEAR($A485),MONTH($A485),1),$A$5:$A$800,"&lt;="&amp;$A485)+IF(AND(YEAR($A485)=YEAR(Settings!$B$3),MONTH($A485)=MONTH(Settings!$B$3)),Settings!$B$6,0))</f>
        <v/>
      </c>
      <c r="U485" s="71">
        <f>IF($A485="","",SUMIFS($J$5:$J$800,$A$5:$A$800,"&gt;="&amp;DATE(YEAR($A485),MONTH($A485),1),$A$5:$A$800,"&lt;="&amp;$A485)+IF(AND(YEAR($A485)=YEAR(Settings!$B$3),MONTH($A485)=MONTH(Settings!$B$3)),Settings!$B$7,0))</f>
        <v/>
      </c>
      <c r="V485" s="70">
        <f>IF($A485="","",Settings!$B$8+SUM($B$5:B485))</f>
        <v/>
      </c>
      <c r="W485" s="71">
        <f>IF($A485="","",Settings!$B$9+SUM($J$5:J485))</f>
        <v/>
      </c>
      <c r="X485" s="71">
        <f>IF($A485="","",IF(AND(N485&gt;0,F485&gt;0),ROUND(F485/N485,0),X484))</f>
        <v/>
      </c>
      <c r="Y485" s="74">
        <f>IF($A485="","",IF(AND(M485&gt;0,L485&gt;0),ROUND(L485/M485,0),IF(AND(J485&gt;0,B485&gt;0),ROUND(B485/J485,0),Y484)))</f>
        <v/>
      </c>
    </row>
    <row r="486">
      <c r="A486" s="67" t="n"/>
      <c r="B486" s="68" t="n"/>
      <c r="C486" s="69" t="n"/>
      <c r="D486" s="68" t="n"/>
      <c r="E486" s="69" t="n"/>
      <c r="F486" s="68" t="n"/>
      <c r="G486" s="69" t="n"/>
      <c r="H486" s="68" t="n"/>
      <c r="I486" s="70">
        <f>IF($A486="","",R485)</f>
        <v/>
      </c>
      <c r="J486" s="71">
        <f>IF($A486="","",IF(C486="",0,C486))</f>
        <v/>
      </c>
      <c r="K486" s="71">
        <f>IF($A486="","",IF(E486="",0,E486))</f>
        <v/>
      </c>
      <c r="L486" s="70">
        <f>IF($A486="","",B486-D486)</f>
        <v/>
      </c>
      <c r="M486" s="71">
        <f>IF($A486="","",J486-K486)</f>
        <v/>
      </c>
      <c r="N486" s="71">
        <f>IF($A486="","",IF(G486="",0,G486))</f>
        <v/>
      </c>
      <c r="O486" s="70">
        <f>IF($A486="","",D486+F486)</f>
        <v/>
      </c>
      <c r="P486" s="71">
        <f>IF($A486="","",K486+N486)</f>
        <v/>
      </c>
      <c r="Q486" s="70">
        <f>IF($A486="","",I486+L486-F486)</f>
        <v/>
      </c>
      <c r="R486" s="72">
        <f>IF($A486="","",IF(H486="",Q486,H486))</f>
        <v/>
      </c>
      <c r="S486" s="73">
        <f>IF($A486="","",R486-Q486)</f>
        <v/>
      </c>
      <c r="T486" s="70">
        <f>IF($A486="","",SUMIFS($B$5:$B$800,$A$5:$A$800,"&gt;="&amp;DATE(YEAR($A486),MONTH($A486),1),$A$5:$A$800,"&lt;="&amp;$A486)+IF(AND(YEAR($A486)=YEAR(Settings!$B$3),MONTH($A486)=MONTH(Settings!$B$3)),Settings!$B$6,0))</f>
        <v/>
      </c>
      <c r="U486" s="71">
        <f>IF($A486="","",SUMIFS($J$5:$J$800,$A$5:$A$800,"&gt;="&amp;DATE(YEAR($A486),MONTH($A486),1),$A$5:$A$800,"&lt;="&amp;$A486)+IF(AND(YEAR($A486)=YEAR(Settings!$B$3),MONTH($A486)=MONTH(Settings!$B$3)),Settings!$B$7,0))</f>
        <v/>
      </c>
      <c r="V486" s="70">
        <f>IF($A486="","",Settings!$B$8+SUM($B$5:B486))</f>
        <v/>
      </c>
      <c r="W486" s="71">
        <f>IF($A486="","",Settings!$B$9+SUM($J$5:J486))</f>
        <v/>
      </c>
      <c r="X486" s="71">
        <f>IF($A486="","",IF(AND(N486&gt;0,F486&gt;0),ROUND(F486/N486,0),X485))</f>
        <v/>
      </c>
      <c r="Y486" s="74">
        <f>IF($A486="","",IF(AND(M486&gt;0,L486&gt;0),ROUND(L486/M486,0),IF(AND(J486&gt;0,B486&gt;0),ROUND(B486/J486,0),Y485)))</f>
        <v/>
      </c>
    </row>
    <row r="487">
      <c r="A487" s="67" t="n"/>
      <c r="B487" s="68" t="n"/>
      <c r="C487" s="69" t="n"/>
      <c r="D487" s="68" t="n"/>
      <c r="E487" s="69" t="n"/>
      <c r="F487" s="68" t="n"/>
      <c r="G487" s="69" t="n"/>
      <c r="H487" s="68" t="n"/>
      <c r="I487" s="70">
        <f>IF($A487="","",R486)</f>
        <v/>
      </c>
      <c r="J487" s="71">
        <f>IF($A487="","",IF(C487="",0,C487))</f>
        <v/>
      </c>
      <c r="K487" s="71">
        <f>IF($A487="","",IF(E487="",0,E487))</f>
        <v/>
      </c>
      <c r="L487" s="70">
        <f>IF($A487="","",B487-D487)</f>
        <v/>
      </c>
      <c r="M487" s="71">
        <f>IF($A487="","",J487-K487)</f>
        <v/>
      </c>
      <c r="N487" s="71">
        <f>IF($A487="","",IF(G487="",0,G487))</f>
        <v/>
      </c>
      <c r="O487" s="70">
        <f>IF($A487="","",D487+F487)</f>
        <v/>
      </c>
      <c r="P487" s="71">
        <f>IF($A487="","",K487+N487)</f>
        <v/>
      </c>
      <c r="Q487" s="70">
        <f>IF($A487="","",I487+L487-F487)</f>
        <v/>
      </c>
      <c r="R487" s="72">
        <f>IF($A487="","",IF(H487="",Q487,H487))</f>
        <v/>
      </c>
      <c r="S487" s="73">
        <f>IF($A487="","",R487-Q487)</f>
        <v/>
      </c>
      <c r="T487" s="70">
        <f>IF($A487="","",SUMIFS($B$5:$B$800,$A$5:$A$800,"&gt;="&amp;DATE(YEAR($A487),MONTH($A487),1),$A$5:$A$800,"&lt;="&amp;$A487)+IF(AND(YEAR($A487)=YEAR(Settings!$B$3),MONTH($A487)=MONTH(Settings!$B$3)),Settings!$B$6,0))</f>
        <v/>
      </c>
      <c r="U487" s="71">
        <f>IF($A487="","",SUMIFS($J$5:$J$800,$A$5:$A$800,"&gt;="&amp;DATE(YEAR($A487),MONTH($A487),1),$A$5:$A$800,"&lt;="&amp;$A487)+IF(AND(YEAR($A487)=YEAR(Settings!$B$3),MONTH($A487)=MONTH(Settings!$B$3)),Settings!$B$7,0))</f>
        <v/>
      </c>
      <c r="V487" s="70">
        <f>IF($A487="","",Settings!$B$8+SUM($B$5:B487))</f>
        <v/>
      </c>
      <c r="W487" s="71">
        <f>IF($A487="","",Settings!$B$9+SUM($J$5:J487))</f>
        <v/>
      </c>
      <c r="X487" s="71">
        <f>IF($A487="","",IF(AND(N487&gt;0,F487&gt;0),ROUND(F487/N487,0),X486))</f>
        <v/>
      </c>
      <c r="Y487" s="74">
        <f>IF($A487="","",IF(AND(M487&gt;0,L487&gt;0),ROUND(L487/M487,0),IF(AND(J487&gt;0,B487&gt;0),ROUND(B487/J487,0),Y486)))</f>
        <v/>
      </c>
    </row>
    <row r="488">
      <c r="A488" s="67" t="n"/>
      <c r="B488" s="68" t="n"/>
      <c r="C488" s="69" t="n"/>
      <c r="D488" s="68" t="n"/>
      <c r="E488" s="69" t="n"/>
      <c r="F488" s="68" t="n"/>
      <c r="G488" s="69" t="n"/>
      <c r="H488" s="68" t="n"/>
      <c r="I488" s="70">
        <f>IF($A488="","",R487)</f>
        <v/>
      </c>
      <c r="J488" s="71">
        <f>IF($A488="","",IF(C488="",0,C488))</f>
        <v/>
      </c>
      <c r="K488" s="71">
        <f>IF($A488="","",IF(E488="",0,E488))</f>
        <v/>
      </c>
      <c r="L488" s="70">
        <f>IF($A488="","",B488-D488)</f>
        <v/>
      </c>
      <c r="M488" s="71">
        <f>IF($A488="","",J488-K488)</f>
        <v/>
      </c>
      <c r="N488" s="71">
        <f>IF($A488="","",IF(G488="",0,G488))</f>
        <v/>
      </c>
      <c r="O488" s="70">
        <f>IF($A488="","",D488+F488)</f>
        <v/>
      </c>
      <c r="P488" s="71">
        <f>IF($A488="","",K488+N488)</f>
        <v/>
      </c>
      <c r="Q488" s="70">
        <f>IF($A488="","",I488+L488-F488)</f>
        <v/>
      </c>
      <c r="R488" s="72">
        <f>IF($A488="","",IF(H488="",Q488,H488))</f>
        <v/>
      </c>
      <c r="S488" s="73">
        <f>IF($A488="","",R488-Q488)</f>
        <v/>
      </c>
      <c r="T488" s="70">
        <f>IF($A488="","",SUMIFS($B$5:$B$800,$A$5:$A$800,"&gt;="&amp;DATE(YEAR($A488),MONTH($A488),1),$A$5:$A$800,"&lt;="&amp;$A488)+IF(AND(YEAR($A488)=YEAR(Settings!$B$3),MONTH($A488)=MONTH(Settings!$B$3)),Settings!$B$6,0))</f>
        <v/>
      </c>
      <c r="U488" s="71">
        <f>IF($A488="","",SUMIFS($J$5:$J$800,$A$5:$A$800,"&gt;="&amp;DATE(YEAR($A488),MONTH($A488),1),$A$5:$A$800,"&lt;="&amp;$A488)+IF(AND(YEAR($A488)=YEAR(Settings!$B$3),MONTH($A488)=MONTH(Settings!$B$3)),Settings!$B$7,0))</f>
        <v/>
      </c>
      <c r="V488" s="70">
        <f>IF($A488="","",Settings!$B$8+SUM($B$5:B488))</f>
        <v/>
      </c>
      <c r="W488" s="71">
        <f>IF($A488="","",Settings!$B$9+SUM($J$5:J488))</f>
        <v/>
      </c>
      <c r="X488" s="71">
        <f>IF($A488="","",IF(AND(N488&gt;0,F488&gt;0),ROUND(F488/N488,0),X487))</f>
        <v/>
      </c>
      <c r="Y488" s="74">
        <f>IF($A488="","",IF(AND(M488&gt;0,L488&gt;0),ROUND(L488/M488,0),IF(AND(J488&gt;0,B488&gt;0),ROUND(B488/J488,0),Y487)))</f>
        <v/>
      </c>
    </row>
    <row r="489">
      <c r="A489" s="67" t="n"/>
      <c r="B489" s="68" t="n"/>
      <c r="C489" s="69" t="n"/>
      <c r="D489" s="68" t="n"/>
      <c r="E489" s="69" t="n"/>
      <c r="F489" s="68" t="n"/>
      <c r="G489" s="69" t="n"/>
      <c r="H489" s="68" t="n"/>
      <c r="I489" s="70">
        <f>IF($A489="","",R488)</f>
        <v/>
      </c>
      <c r="J489" s="71">
        <f>IF($A489="","",IF(C489="",0,C489))</f>
        <v/>
      </c>
      <c r="K489" s="71">
        <f>IF($A489="","",IF(E489="",0,E489))</f>
        <v/>
      </c>
      <c r="L489" s="70">
        <f>IF($A489="","",B489-D489)</f>
        <v/>
      </c>
      <c r="M489" s="71">
        <f>IF($A489="","",J489-K489)</f>
        <v/>
      </c>
      <c r="N489" s="71">
        <f>IF($A489="","",IF(G489="",0,G489))</f>
        <v/>
      </c>
      <c r="O489" s="70">
        <f>IF($A489="","",D489+F489)</f>
        <v/>
      </c>
      <c r="P489" s="71">
        <f>IF($A489="","",K489+N489)</f>
        <v/>
      </c>
      <c r="Q489" s="70">
        <f>IF($A489="","",I489+L489-F489)</f>
        <v/>
      </c>
      <c r="R489" s="72">
        <f>IF($A489="","",IF(H489="",Q489,H489))</f>
        <v/>
      </c>
      <c r="S489" s="73">
        <f>IF($A489="","",R489-Q489)</f>
        <v/>
      </c>
      <c r="T489" s="70">
        <f>IF($A489="","",SUMIFS($B$5:$B$800,$A$5:$A$800,"&gt;="&amp;DATE(YEAR($A489),MONTH($A489),1),$A$5:$A$800,"&lt;="&amp;$A489)+IF(AND(YEAR($A489)=YEAR(Settings!$B$3),MONTH($A489)=MONTH(Settings!$B$3)),Settings!$B$6,0))</f>
        <v/>
      </c>
      <c r="U489" s="71">
        <f>IF($A489="","",SUMIFS($J$5:$J$800,$A$5:$A$800,"&gt;="&amp;DATE(YEAR($A489),MONTH($A489),1),$A$5:$A$800,"&lt;="&amp;$A489)+IF(AND(YEAR($A489)=YEAR(Settings!$B$3),MONTH($A489)=MONTH(Settings!$B$3)),Settings!$B$7,0))</f>
        <v/>
      </c>
      <c r="V489" s="70">
        <f>IF($A489="","",Settings!$B$8+SUM($B$5:B489))</f>
        <v/>
      </c>
      <c r="W489" s="71">
        <f>IF($A489="","",Settings!$B$9+SUM($J$5:J489))</f>
        <v/>
      </c>
      <c r="X489" s="71">
        <f>IF($A489="","",IF(AND(N489&gt;0,F489&gt;0),ROUND(F489/N489,0),X488))</f>
        <v/>
      </c>
      <c r="Y489" s="74">
        <f>IF($A489="","",IF(AND(M489&gt;0,L489&gt;0),ROUND(L489/M489,0),IF(AND(J489&gt;0,B489&gt;0),ROUND(B489/J489,0),Y488)))</f>
        <v/>
      </c>
    </row>
    <row r="490">
      <c r="A490" s="67" t="n"/>
      <c r="B490" s="68" t="n"/>
      <c r="C490" s="69" t="n"/>
      <c r="D490" s="68" t="n"/>
      <c r="E490" s="69" t="n"/>
      <c r="F490" s="68" t="n"/>
      <c r="G490" s="69" t="n"/>
      <c r="H490" s="68" t="n"/>
      <c r="I490" s="70">
        <f>IF($A490="","",R489)</f>
        <v/>
      </c>
      <c r="J490" s="71">
        <f>IF($A490="","",IF(C490="",0,C490))</f>
        <v/>
      </c>
      <c r="K490" s="71">
        <f>IF($A490="","",IF(E490="",0,E490))</f>
        <v/>
      </c>
      <c r="L490" s="70">
        <f>IF($A490="","",B490-D490)</f>
        <v/>
      </c>
      <c r="M490" s="71">
        <f>IF($A490="","",J490-K490)</f>
        <v/>
      </c>
      <c r="N490" s="71">
        <f>IF($A490="","",IF(G490="",0,G490))</f>
        <v/>
      </c>
      <c r="O490" s="70">
        <f>IF($A490="","",D490+F490)</f>
        <v/>
      </c>
      <c r="P490" s="71">
        <f>IF($A490="","",K490+N490)</f>
        <v/>
      </c>
      <c r="Q490" s="70">
        <f>IF($A490="","",I490+L490-F490)</f>
        <v/>
      </c>
      <c r="R490" s="72">
        <f>IF($A490="","",IF(H490="",Q490,H490))</f>
        <v/>
      </c>
      <c r="S490" s="73">
        <f>IF($A490="","",R490-Q490)</f>
        <v/>
      </c>
      <c r="T490" s="70">
        <f>IF($A490="","",SUMIFS($B$5:$B$800,$A$5:$A$800,"&gt;="&amp;DATE(YEAR($A490),MONTH($A490),1),$A$5:$A$800,"&lt;="&amp;$A490)+IF(AND(YEAR($A490)=YEAR(Settings!$B$3),MONTH($A490)=MONTH(Settings!$B$3)),Settings!$B$6,0))</f>
        <v/>
      </c>
      <c r="U490" s="71">
        <f>IF($A490="","",SUMIFS($J$5:$J$800,$A$5:$A$800,"&gt;="&amp;DATE(YEAR($A490),MONTH($A490),1),$A$5:$A$800,"&lt;="&amp;$A490)+IF(AND(YEAR($A490)=YEAR(Settings!$B$3),MONTH($A490)=MONTH(Settings!$B$3)),Settings!$B$7,0))</f>
        <v/>
      </c>
      <c r="V490" s="70">
        <f>IF($A490="","",Settings!$B$8+SUM($B$5:B490))</f>
        <v/>
      </c>
      <c r="W490" s="71">
        <f>IF($A490="","",Settings!$B$9+SUM($J$5:J490))</f>
        <v/>
      </c>
      <c r="X490" s="71">
        <f>IF($A490="","",IF(AND(N490&gt;0,F490&gt;0),ROUND(F490/N490,0),X489))</f>
        <v/>
      </c>
      <c r="Y490" s="74">
        <f>IF($A490="","",IF(AND(M490&gt;0,L490&gt;0),ROUND(L490/M490,0),IF(AND(J490&gt;0,B490&gt;0),ROUND(B490/J490,0),Y489)))</f>
        <v/>
      </c>
    </row>
    <row r="491">
      <c r="A491" s="67" t="n"/>
      <c r="B491" s="68" t="n"/>
      <c r="C491" s="69" t="n"/>
      <c r="D491" s="68" t="n"/>
      <c r="E491" s="69" t="n"/>
      <c r="F491" s="68" t="n"/>
      <c r="G491" s="69" t="n"/>
      <c r="H491" s="68" t="n"/>
      <c r="I491" s="70">
        <f>IF($A491="","",R490)</f>
        <v/>
      </c>
      <c r="J491" s="71">
        <f>IF($A491="","",IF(C491="",0,C491))</f>
        <v/>
      </c>
      <c r="K491" s="71">
        <f>IF($A491="","",IF(E491="",0,E491))</f>
        <v/>
      </c>
      <c r="L491" s="70">
        <f>IF($A491="","",B491-D491)</f>
        <v/>
      </c>
      <c r="M491" s="71">
        <f>IF($A491="","",J491-K491)</f>
        <v/>
      </c>
      <c r="N491" s="71">
        <f>IF($A491="","",IF(G491="",0,G491))</f>
        <v/>
      </c>
      <c r="O491" s="70">
        <f>IF($A491="","",D491+F491)</f>
        <v/>
      </c>
      <c r="P491" s="71">
        <f>IF($A491="","",K491+N491)</f>
        <v/>
      </c>
      <c r="Q491" s="70">
        <f>IF($A491="","",I491+L491-F491)</f>
        <v/>
      </c>
      <c r="R491" s="72">
        <f>IF($A491="","",IF(H491="",Q491,H491))</f>
        <v/>
      </c>
      <c r="S491" s="73">
        <f>IF($A491="","",R491-Q491)</f>
        <v/>
      </c>
      <c r="T491" s="70">
        <f>IF($A491="","",SUMIFS($B$5:$B$800,$A$5:$A$800,"&gt;="&amp;DATE(YEAR($A491),MONTH($A491),1),$A$5:$A$800,"&lt;="&amp;$A491)+IF(AND(YEAR($A491)=YEAR(Settings!$B$3),MONTH($A491)=MONTH(Settings!$B$3)),Settings!$B$6,0))</f>
        <v/>
      </c>
      <c r="U491" s="71">
        <f>IF($A491="","",SUMIFS($J$5:$J$800,$A$5:$A$800,"&gt;="&amp;DATE(YEAR($A491),MONTH($A491),1),$A$5:$A$800,"&lt;="&amp;$A491)+IF(AND(YEAR($A491)=YEAR(Settings!$B$3),MONTH($A491)=MONTH(Settings!$B$3)),Settings!$B$7,0))</f>
        <v/>
      </c>
      <c r="V491" s="70">
        <f>IF($A491="","",Settings!$B$8+SUM($B$5:B491))</f>
        <v/>
      </c>
      <c r="W491" s="71">
        <f>IF($A491="","",Settings!$B$9+SUM($J$5:J491))</f>
        <v/>
      </c>
      <c r="X491" s="71">
        <f>IF($A491="","",IF(AND(N491&gt;0,F491&gt;0),ROUND(F491/N491,0),X490))</f>
        <v/>
      </c>
      <c r="Y491" s="74">
        <f>IF($A491="","",IF(AND(M491&gt;0,L491&gt;0),ROUND(L491/M491,0),IF(AND(J491&gt;0,B491&gt;0),ROUND(B491/J491,0),Y490)))</f>
        <v/>
      </c>
    </row>
    <row r="492">
      <c r="A492" s="67" t="n"/>
      <c r="B492" s="68" t="n"/>
      <c r="C492" s="69" t="n"/>
      <c r="D492" s="68" t="n"/>
      <c r="E492" s="69" t="n"/>
      <c r="F492" s="68" t="n"/>
      <c r="G492" s="69" t="n"/>
      <c r="H492" s="68" t="n"/>
      <c r="I492" s="70">
        <f>IF($A492="","",R491)</f>
        <v/>
      </c>
      <c r="J492" s="71">
        <f>IF($A492="","",IF(C492="",0,C492))</f>
        <v/>
      </c>
      <c r="K492" s="71">
        <f>IF($A492="","",IF(E492="",0,E492))</f>
        <v/>
      </c>
      <c r="L492" s="70">
        <f>IF($A492="","",B492-D492)</f>
        <v/>
      </c>
      <c r="M492" s="71">
        <f>IF($A492="","",J492-K492)</f>
        <v/>
      </c>
      <c r="N492" s="71">
        <f>IF($A492="","",IF(G492="",0,G492))</f>
        <v/>
      </c>
      <c r="O492" s="70">
        <f>IF($A492="","",D492+F492)</f>
        <v/>
      </c>
      <c r="P492" s="71">
        <f>IF($A492="","",K492+N492)</f>
        <v/>
      </c>
      <c r="Q492" s="70">
        <f>IF($A492="","",I492+L492-F492)</f>
        <v/>
      </c>
      <c r="R492" s="72">
        <f>IF($A492="","",IF(H492="",Q492,H492))</f>
        <v/>
      </c>
      <c r="S492" s="73">
        <f>IF($A492="","",R492-Q492)</f>
        <v/>
      </c>
      <c r="T492" s="70">
        <f>IF($A492="","",SUMIFS($B$5:$B$800,$A$5:$A$800,"&gt;="&amp;DATE(YEAR($A492),MONTH($A492),1),$A$5:$A$800,"&lt;="&amp;$A492)+IF(AND(YEAR($A492)=YEAR(Settings!$B$3),MONTH($A492)=MONTH(Settings!$B$3)),Settings!$B$6,0))</f>
        <v/>
      </c>
      <c r="U492" s="71">
        <f>IF($A492="","",SUMIFS($J$5:$J$800,$A$5:$A$800,"&gt;="&amp;DATE(YEAR($A492),MONTH($A492),1),$A$5:$A$800,"&lt;="&amp;$A492)+IF(AND(YEAR($A492)=YEAR(Settings!$B$3),MONTH($A492)=MONTH(Settings!$B$3)),Settings!$B$7,0))</f>
        <v/>
      </c>
      <c r="V492" s="70">
        <f>IF($A492="","",Settings!$B$8+SUM($B$5:B492))</f>
        <v/>
      </c>
      <c r="W492" s="71">
        <f>IF($A492="","",Settings!$B$9+SUM($J$5:J492))</f>
        <v/>
      </c>
      <c r="X492" s="71">
        <f>IF($A492="","",IF(AND(N492&gt;0,F492&gt;0),ROUND(F492/N492,0),X491))</f>
        <v/>
      </c>
      <c r="Y492" s="74">
        <f>IF($A492="","",IF(AND(M492&gt;0,L492&gt;0),ROUND(L492/M492,0),IF(AND(J492&gt;0,B492&gt;0),ROUND(B492/J492,0),Y491)))</f>
        <v/>
      </c>
    </row>
    <row r="493">
      <c r="A493" s="67" t="n"/>
      <c r="B493" s="68" t="n"/>
      <c r="C493" s="69" t="n"/>
      <c r="D493" s="68" t="n"/>
      <c r="E493" s="69" t="n"/>
      <c r="F493" s="68" t="n"/>
      <c r="G493" s="69" t="n"/>
      <c r="H493" s="68" t="n"/>
      <c r="I493" s="70">
        <f>IF($A493="","",R492)</f>
        <v/>
      </c>
      <c r="J493" s="71">
        <f>IF($A493="","",IF(C493="",0,C493))</f>
        <v/>
      </c>
      <c r="K493" s="71">
        <f>IF($A493="","",IF(E493="",0,E493))</f>
        <v/>
      </c>
      <c r="L493" s="70">
        <f>IF($A493="","",B493-D493)</f>
        <v/>
      </c>
      <c r="M493" s="71">
        <f>IF($A493="","",J493-K493)</f>
        <v/>
      </c>
      <c r="N493" s="71">
        <f>IF($A493="","",IF(G493="",0,G493))</f>
        <v/>
      </c>
      <c r="O493" s="70">
        <f>IF($A493="","",D493+F493)</f>
        <v/>
      </c>
      <c r="P493" s="71">
        <f>IF($A493="","",K493+N493)</f>
        <v/>
      </c>
      <c r="Q493" s="70">
        <f>IF($A493="","",I493+L493-F493)</f>
        <v/>
      </c>
      <c r="R493" s="72">
        <f>IF($A493="","",IF(H493="",Q493,H493))</f>
        <v/>
      </c>
      <c r="S493" s="73">
        <f>IF($A493="","",R493-Q493)</f>
        <v/>
      </c>
      <c r="T493" s="70">
        <f>IF($A493="","",SUMIFS($B$5:$B$800,$A$5:$A$800,"&gt;="&amp;DATE(YEAR($A493),MONTH($A493),1),$A$5:$A$800,"&lt;="&amp;$A493)+IF(AND(YEAR($A493)=YEAR(Settings!$B$3),MONTH($A493)=MONTH(Settings!$B$3)),Settings!$B$6,0))</f>
        <v/>
      </c>
      <c r="U493" s="71">
        <f>IF($A493="","",SUMIFS($J$5:$J$800,$A$5:$A$800,"&gt;="&amp;DATE(YEAR($A493),MONTH($A493),1),$A$5:$A$800,"&lt;="&amp;$A493)+IF(AND(YEAR($A493)=YEAR(Settings!$B$3),MONTH($A493)=MONTH(Settings!$B$3)),Settings!$B$7,0))</f>
        <v/>
      </c>
      <c r="V493" s="70">
        <f>IF($A493="","",Settings!$B$8+SUM($B$5:B493))</f>
        <v/>
      </c>
      <c r="W493" s="71">
        <f>IF($A493="","",Settings!$B$9+SUM($J$5:J493))</f>
        <v/>
      </c>
      <c r="X493" s="71">
        <f>IF($A493="","",IF(AND(N493&gt;0,F493&gt;0),ROUND(F493/N493,0),X492))</f>
        <v/>
      </c>
      <c r="Y493" s="74">
        <f>IF($A493="","",IF(AND(M493&gt;0,L493&gt;0),ROUND(L493/M493,0),IF(AND(J493&gt;0,B493&gt;0),ROUND(B493/J493,0),Y492)))</f>
        <v/>
      </c>
    </row>
    <row r="494">
      <c r="A494" s="67" t="n"/>
      <c r="B494" s="68" t="n"/>
      <c r="C494" s="69" t="n"/>
      <c r="D494" s="68" t="n"/>
      <c r="E494" s="69" t="n"/>
      <c r="F494" s="68" t="n"/>
      <c r="G494" s="69" t="n"/>
      <c r="H494" s="68" t="n"/>
      <c r="I494" s="70">
        <f>IF($A494="","",R493)</f>
        <v/>
      </c>
      <c r="J494" s="71">
        <f>IF($A494="","",IF(C494="",0,C494))</f>
        <v/>
      </c>
      <c r="K494" s="71">
        <f>IF($A494="","",IF(E494="",0,E494))</f>
        <v/>
      </c>
      <c r="L494" s="70">
        <f>IF($A494="","",B494-D494)</f>
        <v/>
      </c>
      <c r="M494" s="71">
        <f>IF($A494="","",J494-K494)</f>
        <v/>
      </c>
      <c r="N494" s="71">
        <f>IF($A494="","",IF(G494="",0,G494))</f>
        <v/>
      </c>
      <c r="O494" s="70">
        <f>IF($A494="","",D494+F494)</f>
        <v/>
      </c>
      <c r="P494" s="71">
        <f>IF($A494="","",K494+N494)</f>
        <v/>
      </c>
      <c r="Q494" s="70">
        <f>IF($A494="","",I494+L494-F494)</f>
        <v/>
      </c>
      <c r="R494" s="72">
        <f>IF($A494="","",IF(H494="",Q494,H494))</f>
        <v/>
      </c>
      <c r="S494" s="73">
        <f>IF($A494="","",R494-Q494)</f>
        <v/>
      </c>
      <c r="T494" s="70">
        <f>IF($A494="","",SUMIFS($B$5:$B$800,$A$5:$A$800,"&gt;="&amp;DATE(YEAR($A494),MONTH($A494),1),$A$5:$A$800,"&lt;="&amp;$A494)+IF(AND(YEAR($A494)=YEAR(Settings!$B$3),MONTH($A494)=MONTH(Settings!$B$3)),Settings!$B$6,0))</f>
        <v/>
      </c>
      <c r="U494" s="71">
        <f>IF($A494="","",SUMIFS($J$5:$J$800,$A$5:$A$800,"&gt;="&amp;DATE(YEAR($A494),MONTH($A494),1),$A$5:$A$800,"&lt;="&amp;$A494)+IF(AND(YEAR($A494)=YEAR(Settings!$B$3),MONTH($A494)=MONTH(Settings!$B$3)),Settings!$B$7,0))</f>
        <v/>
      </c>
      <c r="V494" s="70">
        <f>IF($A494="","",Settings!$B$8+SUM($B$5:B494))</f>
        <v/>
      </c>
      <c r="W494" s="71">
        <f>IF($A494="","",Settings!$B$9+SUM($J$5:J494))</f>
        <v/>
      </c>
      <c r="X494" s="71">
        <f>IF($A494="","",IF(AND(N494&gt;0,F494&gt;0),ROUND(F494/N494,0),X493))</f>
        <v/>
      </c>
      <c r="Y494" s="74">
        <f>IF($A494="","",IF(AND(M494&gt;0,L494&gt;0),ROUND(L494/M494,0),IF(AND(J494&gt;0,B494&gt;0),ROUND(B494/J494,0),Y493)))</f>
        <v/>
      </c>
    </row>
    <row r="495">
      <c r="A495" s="67" t="n"/>
      <c r="B495" s="68" t="n"/>
      <c r="C495" s="69" t="n"/>
      <c r="D495" s="68" t="n"/>
      <c r="E495" s="69" t="n"/>
      <c r="F495" s="68" t="n"/>
      <c r="G495" s="69" t="n"/>
      <c r="H495" s="68" t="n"/>
      <c r="I495" s="70">
        <f>IF($A495="","",R494)</f>
        <v/>
      </c>
      <c r="J495" s="71">
        <f>IF($A495="","",IF(C495="",0,C495))</f>
        <v/>
      </c>
      <c r="K495" s="71">
        <f>IF($A495="","",IF(E495="",0,E495))</f>
        <v/>
      </c>
      <c r="L495" s="70">
        <f>IF($A495="","",B495-D495)</f>
        <v/>
      </c>
      <c r="M495" s="71">
        <f>IF($A495="","",J495-K495)</f>
        <v/>
      </c>
      <c r="N495" s="71">
        <f>IF($A495="","",IF(G495="",0,G495))</f>
        <v/>
      </c>
      <c r="O495" s="70">
        <f>IF($A495="","",D495+F495)</f>
        <v/>
      </c>
      <c r="P495" s="71">
        <f>IF($A495="","",K495+N495)</f>
        <v/>
      </c>
      <c r="Q495" s="70">
        <f>IF($A495="","",I495+L495-F495)</f>
        <v/>
      </c>
      <c r="R495" s="72">
        <f>IF($A495="","",IF(H495="",Q495,H495))</f>
        <v/>
      </c>
      <c r="S495" s="73">
        <f>IF($A495="","",R495-Q495)</f>
        <v/>
      </c>
      <c r="T495" s="70">
        <f>IF($A495="","",SUMIFS($B$5:$B$800,$A$5:$A$800,"&gt;="&amp;DATE(YEAR($A495),MONTH($A495),1),$A$5:$A$800,"&lt;="&amp;$A495)+IF(AND(YEAR($A495)=YEAR(Settings!$B$3),MONTH($A495)=MONTH(Settings!$B$3)),Settings!$B$6,0))</f>
        <v/>
      </c>
      <c r="U495" s="71">
        <f>IF($A495="","",SUMIFS($J$5:$J$800,$A$5:$A$800,"&gt;="&amp;DATE(YEAR($A495),MONTH($A495),1),$A$5:$A$800,"&lt;="&amp;$A495)+IF(AND(YEAR($A495)=YEAR(Settings!$B$3),MONTH($A495)=MONTH(Settings!$B$3)),Settings!$B$7,0))</f>
        <v/>
      </c>
      <c r="V495" s="70">
        <f>IF($A495="","",Settings!$B$8+SUM($B$5:B495))</f>
        <v/>
      </c>
      <c r="W495" s="71">
        <f>IF($A495="","",Settings!$B$9+SUM($J$5:J495))</f>
        <v/>
      </c>
      <c r="X495" s="71">
        <f>IF($A495="","",IF(AND(N495&gt;0,F495&gt;0),ROUND(F495/N495,0),X494))</f>
        <v/>
      </c>
      <c r="Y495" s="74">
        <f>IF($A495="","",IF(AND(M495&gt;0,L495&gt;0),ROUND(L495/M495,0),IF(AND(J495&gt;0,B495&gt;0),ROUND(B495/J495,0),Y494)))</f>
        <v/>
      </c>
    </row>
    <row r="496">
      <c r="A496" s="67" t="n"/>
      <c r="B496" s="68" t="n"/>
      <c r="C496" s="69" t="n"/>
      <c r="D496" s="68" t="n"/>
      <c r="E496" s="69" t="n"/>
      <c r="F496" s="68" t="n"/>
      <c r="G496" s="69" t="n"/>
      <c r="H496" s="68" t="n"/>
      <c r="I496" s="70">
        <f>IF($A496="","",R495)</f>
        <v/>
      </c>
      <c r="J496" s="71">
        <f>IF($A496="","",IF(C496="",0,C496))</f>
        <v/>
      </c>
      <c r="K496" s="71">
        <f>IF($A496="","",IF(E496="",0,E496))</f>
        <v/>
      </c>
      <c r="L496" s="70">
        <f>IF($A496="","",B496-D496)</f>
        <v/>
      </c>
      <c r="M496" s="71">
        <f>IF($A496="","",J496-K496)</f>
        <v/>
      </c>
      <c r="N496" s="71">
        <f>IF($A496="","",IF(G496="",0,G496))</f>
        <v/>
      </c>
      <c r="O496" s="70">
        <f>IF($A496="","",D496+F496)</f>
        <v/>
      </c>
      <c r="P496" s="71">
        <f>IF($A496="","",K496+N496)</f>
        <v/>
      </c>
      <c r="Q496" s="70">
        <f>IF($A496="","",I496+L496-F496)</f>
        <v/>
      </c>
      <c r="R496" s="72">
        <f>IF($A496="","",IF(H496="",Q496,H496))</f>
        <v/>
      </c>
      <c r="S496" s="73">
        <f>IF($A496="","",R496-Q496)</f>
        <v/>
      </c>
      <c r="T496" s="70">
        <f>IF($A496="","",SUMIFS($B$5:$B$800,$A$5:$A$800,"&gt;="&amp;DATE(YEAR($A496),MONTH($A496),1),$A$5:$A$800,"&lt;="&amp;$A496)+IF(AND(YEAR($A496)=YEAR(Settings!$B$3),MONTH($A496)=MONTH(Settings!$B$3)),Settings!$B$6,0))</f>
        <v/>
      </c>
      <c r="U496" s="71">
        <f>IF($A496="","",SUMIFS($J$5:$J$800,$A$5:$A$800,"&gt;="&amp;DATE(YEAR($A496),MONTH($A496),1),$A$5:$A$800,"&lt;="&amp;$A496)+IF(AND(YEAR($A496)=YEAR(Settings!$B$3),MONTH($A496)=MONTH(Settings!$B$3)),Settings!$B$7,0))</f>
        <v/>
      </c>
      <c r="V496" s="70">
        <f>IF($A496="","",Settings!$B$8+SUM($B$5:B496))</f>
        <v/>
      </c>
      <c r="W496" s="71">
        <f>IF($A496="","",Settings!$B$9+SUM($J$5:J496))</f>
        <v/>
      </c>
      <c r="X496" s="71">
        <f>IF($A496="","",IF(AND(N496&gt;0,F496&gt;0),ROUND(F496/N496,0),X495))</f>
        <v/>
      </c>
      <c r="Y496" s="74">
        <f>IF($A496="","",IF(AND(M496&gt;0,L496&gt;0),ROUND(L496/M496,0),IF(AND(J496&gt;0,B496&gt;0),ROUND(B496/J496,0),Y495)))</f>
        <v/>
      </c>
    </row>
    <row r="497">
      <c r="A497" s="67" t="n"/>
      <c r="B497" s="68" t="n"/>
      <c r="C497" s="69" t="n"/>
      <c r="D497" s="68" t="n"/>
      <c r="E497" s="69" t="n"/>
      <c r="F497" s="68" t="n"/>
      <c r="G497" s="69" t="n"/>
      <c r="H497" s="68" t="n"/>
      <c r="I497" s="70">
        <f>IF($A497="","",R496)</f>
        <v/>
      </c>
      <c r="J497" s="71">
        <f>IF($A497="","",IF(C497="",0,C497))</f>
        <v/>
      </c>
      <c r="K497" s="71">
        <f>IF($A497="","",IF(E497="",0,E497))</f>
        <v/>
      </c>
      <c r="L497" s="70">
        <f>IF($A497="","",B497-D497)</f>
        <v/>
      </c>
      <c r="M497" s="71">
        <f>IF($A497="","",J497-K497)</f>
        <v/>
      </c>
      <c r="N497" s="71">
        <f>IF($A497="","",IF(G497="",0,G497))</f>
        <v/>
      </c>
      <c r="O497" s="70">
        <f>IF($A497="","",D497+F497)</f>
        <v/>
      </c>
      <c r="P497" s="71">
        <f>IF($A497="","",K497+N497)</f>
        <v/>
      </c>
      <c r="Q497" s="70">
        <f>IF($A497="","",I497+L497-F497)</f>
        <v/>
      </c>
      <c r="R497" s="72">
        <f>IF($A497="","",IF(H497="",Q497,H497))</f>
        <v/>
      </c>
      <c r="S497" s="73">
        <f>IF($A497="","",R497-Q497)</f>
        <v/>
      </c>
      <c r="T497" s="70">
        <f>IF($A497="","",SUMIFS($B$5:$B$800,$A$5:$A$800,"&gt;="&amp;DATE(YEAR($A497),MONTH($A497),1),$A$5:$A$800,"&lt;="&amp;$A497)+IF(AND(YEAR($A497)=YEAR(Settings!$B$3),MONTH($A497)=MONTH(Settings!$B$3)),Settings!$B$6,0))</f>
        <v/>
      </c>
      <c r="U497" s="71">
        <f>IF($A497="","",SUMIFS($J$5:$J$800,$A$5:$A$800,"&gt;="&amp;DATE(YEAR($A497),MONTH($A497),1),$A$5:$A$800,"&lt;="&amp;$A497)+IF(AND(YEAR($A497)=YEAR(Settings!$B$3),MONTH($A497)=MONTH(Settings!$B$3)),Settings!$B$7,0))</f>
        <v/>
      </c>
      <c r="V497" s="70">
        <f>IF($A497="","",Settings!$B$8+SUM($B$5:B497))</f>
        <v/>
      </c>
      <c r="W497" s="71">
        <f>IF($A497="","",Settings!$B$9+SUM($J$5:J497))</f>
        <v/>
      </c>
      <c r="X497" s="71">
        <f>IF($A497="","",IF(AND(N497&gt;0,F497&gt;0),ROUND(F497/N497,0),X496))</f>
        <v/>
      </c>
      <c r="Y497" s="74">
        <f>IF($A497="","",IF(AND(M497&gt;0,L497&gt;0),ROUND(L497/M497,0),IF(AND(J497&gt;0,B497&gt;0),ROUND(B497/J497,0),Y496)))</f>
        <v/>
      </c>
    </row>
    <row r="498">
      <c r="A498" s="67" t="n"/>
      <c r="B498" s="68" t="n"/>
      <c r="C498" s="69" t="n"/>
      <c r="D498" s="68" t="n"/>
      <c r="E498" s="69" t="n"/>
      <c r="F498" s="68" t="n"/>
      <c r="G498" s="69" t="n"/>
      <c r="H498" s="68" t="n"/>
      <c r="I498" s="70">
        <f>IF($A498="","",R497)</f>
        <v/>
      </c>
      <c r="J498" s="71">
        <f>IF($A498="","",IF(C498="",0,C498))</f>
        <v/>
      </c>
      <c r="K498" s="71">
        <f>IF($A498="","",IF(E498="",0,E498))</f>
        <v/>
      </c>
      <c r="L498" s="70">
        <f>IF($A498="","",B498-D498)</f>
        <v/>
      </c>
      <c r="M498" s="71">
        <f>IF($A498="","",J498-K498)</f>
        <v/>
      </c>
      <c r="N498" s="71">
        <f>IF($A498="","",IF(G498="",0,G498))</f>
        <v/>
      </c>
      <c r="O498" s="70">
        <f>IF($A498="","",D498+F498)</f>
        <v/>
      </c>
      <c r="P498" s="71">
        <f>IF($A498="","",K498+N498)</f>
        <v/>
      </c>
      <c r="Q498" s="70">
        <f>IF($A498="","",I498+L498-F498)</f>
        <v/>
      </c>
      <c r="R498" s="72">
        <f>IF($A498="","",IF(H498="",Q498,H498))</f>
        <v/>
      </c>
      <c r="S498" s="73">
        <f>IF($A498="","",R498-Q498)</f>
        <v/>
      </c>
      <c r="T498" s="70">
        <f>IF($A498="","",SUMIFS($B$5:$B$800,$A$5:$A$800,"&gt;="&amp;DATE(YEAR($A498),MONTH($A498),1),$A$5:$A$800,"&lt;="&amp;$A498)+IF(AND(YEAR($A498)=YEAR(Settings!$B$3),MONTH($A498)=MONTH(Settings!$B$3)),Settings!$B$6,0))</f>
        <v/>
      </c>
      <c r="U498" s="71">
        <f>IF($A498="","",SUMIFS($J$5:$J$800,$A$5:$A$800,"&gt;="&amp;DATE(YEAR($A498),MONTH($A498),1),$A$5:$A$800,"&lt;="&amp;$A498)+IF(AND(YEAR($A498)=YEAR(Settings!$B$3),MONTH($A498)=MONTH(Settings!$B$3)),Settings!$B$7,0))</f>
        <v/>
      </c>
      <c r="V498" s="70">
        <f>IF($A498="","",Settings!$B$8+SUM($B$5:B498))</f>
        <v/>
      </c>
      <c r="W498" s="71">
        <f>IF($A498="","",Settings!$B$9+SUM($J$5:J498))</f>
        <v/>
      </c>
      <c r="X498" s="71">
        <f>IF($A498="","",IF(AND(N498&gt;0,F498&gt;0),ROUND(F498/N498,0),X497))</f>
        <v/>
      </c>
      <c r="Y498" s="74">
        <f>IF($A498="","",IF(AND(M498&gt;0,L498&gt;0),ROUND(L498/M498,0),IF(AND(J498&gt;0,B498&gt;0),ROUND(B498/J498,0),Y497)))</f>
        <v/>
      </c>
    </row>
    <row r="499">
      <c r="A499" s="67" t="n"/>
      <c r="B499" s="68" t="n"/>
      <c r="C499" s="69" t="n"/>
      <c r="D499" s="68" t="n"/>
      <c r="E499" s="69" t="n"/>
      <c r="F499" s="68" t="n"/>
      <c r="G499" s="69" t="n"/>
      <c r="H499" s="68" t="n"/>
      <c r="I499" s="70">
        <f>IF($A499="","",R498)</f>
        <v/>
      </c>
      <c r="J499" s="71">
        <f>IF($A499="","",IF(C499="",0,C499))</f>
        <v/>
      </c>
      <c r="K499" s="71">
        <f>IF($A499="","",IF(E499="",0,E499))</f>
        <v/>
      </c>
      <c r="L499" s="70">
        <f>IF($A499="","",B499-D499)</f>
        <v/>
      </c>
      <c r="M499" s="71">
        <f>IF($A499="","",J499-K499)</f>
        <v/>
      </c>
      <c r="N499" s="71">
        <f>IF($A499="","",IF(G499="",0,G499))</f>
        <v/>
      </c>
      <c r="O499" s="70">
        <f>IF($A499="","",D499+F499)</f>
        <v/>
      </c>
      <c r="P499" s="71">
        <f>IF($A499="","",K499+N499)</f>
        <v/>
      </c>
      <c r="Q499" s="70">
        <f>IF($A499="","",I499+L499-F499)</f>
        <v/>
      </c>
      <c r="R499" s="72">
        <f>IF($A499="","",IF(H499="",Q499,H499))</f>
        <v/>
      </c>
      <c r="S499" s="73">
        <f>IF($A499="","",R499-Q499)</f>
        <v/>
      </c>
      <c r="T499" s="70">
        <f>IF($A499="","",SUMIFS($B$5:$B$800,$A$5:$A$800,"&gt;="&amp;DATE(YEAR($A499),MONTH($A499),1),$A$5:$A$800,"&lt;="&amp;$A499)+IF(AND(YEAR($A499)=YEAR(Settings!$B$3),MONTH($A499)=MONTH(Settings!$B$3)),Settings!$B$6,0))</f>
        <v/>
      </c>
      <c r="U499" s="71">
        <f>IF($A499="","",SUMIFS($J$5:$J$800,$A$5:$A$800,"&gt;="&amp;DATE(YEAR($A499),MONTH($A499),1),$A$5:$A$800,"&lt;="&amp;$A499)+IF(AND(YEAR($A499)=YEAR(Settings!$B$3),MONTH($A499)=MONTH(Settings!$B$3)),Settings!$B$7,0))</f>
        <v/>
      </c>
      <c r="V499" s="70">
        <f>IF($A499="","",Settings!$B$8+SUM($B$5:B499))</f>
        <v/>
      </c>
      <c r="W499" s="71">
        <f>IF($A499="","",Settings!$B$9+SUM($J$5:J499))</f>
        <v/>
      </c>
      <c r="X499" s="71">
        <f>IF($A499="","",IF(AND(N499&gt;0,F499&gt;0),ROUND(F499/N499,0),X498))</f>
        <v/>
      </c>
      <c r="Y499" s="74">
        <f>IF($A499="","",IF(AND(M499&gt;0,L499&gt;0),ROUND(L499/M499,0),IF(AND(J499&gt;0,B499&gt;0),ROUND(B499/J499,0),Y498)))</f>
        <v/>
      </c>
    </row>
    <row r="500">
      <c r="A500" s="67" t="n"/>
      <c r="B500" s="68" t="n"/>
      <c r="C500" s="69" t="n"/>
      <c r="D500" s="68" t="n"/>
      <c r="E500" s="69" t="n"/>
      <c r="F500" s="68" t="n"/>
      <c r="G500" s="69" t="n"/>
      <c r="H500" s="68" t="n"/>
      <c r="I500" s="70">
        <f>IF($A500="","",R499)</f>
        <v/>
      </c>
      <c r="J500" s="71">
        <f>IF($A500="","",IF(C500="",0,C500))</f>
        <v/>
      </c>
      <c r="K500" s="71">
        <f>IF($A500="","",IF(E500="",0,E500))</f>
        <v/>
      </c>
      <c r="L500" s="70">
        <f>IF($A500="","",B500-D500)</f>
        <v/>
      </c>
      <c r="M500" s="71">
        <f>IF($A500="","",J500-K500)</f>
        <v/>
      </c>
      <c r="N500" s="71">
        <f>IF($A500="","",IF(G500="",0,G500))</f>
        <v/>
      </c>
      <c r="O500" s="70">
        <f>IF($A500="","",D500+F500)</f>
        <v/>
      </c>
      <c r="P500" s="71">
        <f>IF($A500="","",K500+N500)</f>
        <v/>
      </c>
      <c r="Q500" s="70">
        <f>IF($A500="","",I500+L500-F500)</f>
        <v/>
      </c>
      <c r="R500" s="72">
        <f>IF($A500="","",IF(H500="",Q500,H500))</f>
        <v/>
      </c>
      <c r="S500" s="73">
        <f>IF($A500="","",R500-Q500)</f>
        <v/>
      </c>
      <c r="T500" s="70">
        <f>IF($A500="","",SUMIFS($B$5:$B$800,$A$5:$A$800,"&gt;="&amp;DATE(YEAR($A500),MONTH($A500),1),$A$5:$A$800,"&lt;="&amp;$A500)+IF(AND(YEAR($A500)=YEAR(Settings!$B$3),MONTH($A500)=MONTH(Settings!$B$3)),Settings!$B$6,0))</f>
        <v/>
      </c>
      <c r="U500" s="71">
        <f>IF($A500="","",SUMIFS($J$5:$J$800,$A$5:$A$800,"&gt;="&amp;DATE(YEAR($A500),MONTH($A500),1),$A$5:$A$800,"&lt;="&amp;$A500)+IF(AND(YEAR($A500)=YEAR(Settings!$B$3),MONTH($A500)=MONTH(Settings!$B$3)),Settings!$B$7,0))</f>
        <v/>
      </c>
      <c r="V500" s="70">
        <f>IF($A500="","",Settings!$B$8+SUM($B$5:B500))</f>
        <v/>
      </c>
      <c r="W500" s="71">
        <f>IF($A500="","",Settings!$B$9+SUM($J$5:J500))</f>
        <v/>
      </c>
      <c r="X500" s="71">
        <f>IF($A500="","",IF(AND(N500&gt;0,F500&gt;0),ROUND(F500/N500,0),X499))</f>
        <v/>
      </c>
      <c r="Y500" s="74">
        <f>IF($A500="","",IF(AND(M500&gt;0,L500&gt;0),ROUND(L500/M500,0),IF(AND(J500&gt;0,B500&gt;0),ROUND(B500/J500,0),Y499)))</f>
        <v/>
      </c>
    </row>
    <row r="501">
      <c r="A501" s="67" t="n"/>
      <c r="B501" s="68" t="n"/>
      <c r="C501" s="69" t="n"/>
      <c r="D501" s="68" t="n"/>
      <c r="E501" s="69" t="n"/>
      <c r="F501" s="68" t="n"/>
      <c r="G501" s="69" t="n"/>
      <c r="H501" s="68" t="n"/>
      <c r="I501" s="70">
        <f>IF($A501="","",R500)</f>
        <v/>
      </c>
      <c r="J501" s="71">
        <f>IF($A501="","",IF(C501="",0,C501))</f>
        <v/>
      </c>
      <c r="K501" s="71">
        <f>IF($A501="","",IF(E501="",0,E501))</f>
        <v/>
      </c>
      <c r="L501" s="70">
        <f>IF($A501="","",B501-D501)</f>
        <v/>
      </c>
      <c r="M501" s="71">
        <f>IF($A501="","",J501-K501)</f>
        <v/>
      </c>
      <c r="N501" s="71">
        <f>IF($A501="","",IF(G501="",0,G501))</f>
        <v/>
      </c>
      <c r="O501" s="70">
        <f>IF($A501="","",D501+F501)</f>
        <v/>
      </c>
      <c r="P501" s="71">
        <f>IF($A501="","",K501+N501)</f>
        <v/>
      </c>
      <c r="Q501" s="70">
        <f>IF($A501="","",I501+L501-F501)</f>
        <v/>
      </c>
      <c r="R501" s="72">
        <f>IF($A501="","",IF(H501="",Q501,H501))</f>
        <v/>
      </c>
      <c r="S501" s="73">
        <f>IF($A501="","",R501-Q501)</f>
        <v/>
      </c>
      <c r="T501" s="70">
        <f>IF($A501="","",SUMIFS($B$5:$B$800,$A$5:$A$800,"&gt;="&amp;DATE(YEAR($A501),MONTH($A501),1),$A$5:$A$800,"&lt;="&amp;$A501)+IF(AND(YEAR($A501)=YEAR(Settings!$B$3),MONTH($A501)=MONTH(Settings!$B$3)),Settings!$B$6,0))</f>
        <v/>
      </c>
      <c r="U501" s="71">
        <f>IF($A501="","",SUMIFS($J$5:$J$800,$A$5:$A$800,"&gt;="&amp;DATE(YEAR($A501),MONTH($A501),1),$A$5:$A$800,"&lt;="&amp;$A501)+IF(AND(YEAR($A501)=YEAR(Settings!$B$3),MONTH($A501)=MONTH(Settings!$B$3)),Settings!$B$7,0))</f>
        <v/>
      </c>
      <c r="V501" s="70">
        <f>IF($A501="","",Settings!$B$8+SUM($B$5:B501))</f>
        <v/>
      </c>
      <c r="W501" s="71">
        <f>IF($A501="","",Settings!$B$9+SUM($J$5:J501))</f>
        <v/>
      </c>
      <c r="X501" s="71">
        <f>IF($A501="","",IF(AND(N501&gt;0,F501&gt;0),ROUND(F501/N501,0),X500))</f>
        <v/>
      </c>
      <c r="Y501" s="74">
        <f>IF($A501="","",IF(AND(M501&gt;0,L501&gt;0),ROUND(L501/M501,0),IF(AND(J501&gt;0,B501&gt;0),ROUND(B501/J501,0),Y500)))</f>
        <v/>
      </c>
    </row>
    <row r="502">
      <c r="A502" s="67" t="n"/>
      <c r="B502" s="68" t="n"/>
      <c r="C502" s="69" t="n"/>
      <c r="D502" s="68" t="n"/>
      <c r="E502" s="69" t="n"/>
      <c r="F502" s="68" t="n"/>
      <c r="G502" s="69" t="n"/>
      <c r="H502" s="68" t="n"/>
      <c r="I502" s="70">
        <f>IF($A502="","",R501)</f>
        <v/>
      </c>
      <c r="J502" s="71">
        <f>IF($A502="","",IF(C502="",0,C502))</f>
        <v/>
      </c>
      <c r="K502" s="71">
        <f>IF($A502="","",IF(E502="",0,E502))</f>
        <v/>
      </c>
      <c r="L502" s="70">
        <f>IF($A502="","",B502-D502)</f>
        <v/>
      </c>
      <c r="M502" s="71">
        <f>IF($A502="","",J502-K502)</f>
        <v/>
      </c>
      <c r="N502" s="71">
        <f>IF($A502="","",IF(G502="",0,G502))</f>
        <v/>
      </c>
      <c r="O502" s="70">
        <f>IF($A502="","",D502+F502)</f>
        <v/>
      </c>
      <c r="P502" s="71">
        <f>IF($A502="","",K502+N502)</f>
        <v/>
      </c>
      <c r="Q502" s="70">
        <f>IF($A502="","",I502+L502-F502)</f>
        <v/>
      </c>
      <c r="R502" s="72">
        <f>IF($A502="","",IF(H502="",Q502,H502))</f>
        <v/>
      </c>
      <c r="S502" s="73">
        <f>IF($A502="","",R502-Q502)</f>
        <v/>
      </c>
      <c r="T502" s="70">
        <f>IF($A502="","",SUMIFS($B$5:$B$800,$A$5:$A$800,"&gt;="&amp;DATE(YEAR($A502),MONTH($A502),1),$A$5:$A$800,"&lt;="&amp;$A502)+IF(AND(YEAR($A502)=YEAR(Settings!$B$3),MONTH($A502)=MONTH(Settings!$B$3)),Settings!$B$6,0))</f>
        <v/>
      </c>
      <c r="U502" s="71">
        <f>IF($A502="","",SUMIFS($J$5:$J$800,$A$5:$A$800,"&gt;="&amp;DATE(YEAR($A502),MONTH($A502),1),$A$5:$A$800,"&lt;="&amp;$A502)+IF(AND(YEAR($A502)=YEAR(Settings!$B$3),MONTH($A502)=MONTH(Settings!$B$3)),Settings!$B$7,0))</f>
        <v/>
      </c>
      <c r="V502" s="70">
        <f>IF($A502="","",Settings!$B$8+SUM($B$5:B502))</f>
        <v/>
      </c>
      <c r="W502" s="71">
        <f>IF($A502="","",Settings!$B$9+SUM($J$5:J502))</f>
        <v/>
      </c>
      <c r="X502" s="71">
        <f>IF($A502="","",IF(AND(N502&gt;0,F502&gt;0),ROUND(F502/N502,0),X501))</f>
        <v/>
      </c>
      <c r="Y502" s="74">
        <f>IF($A502="","",IF(AND(M502&gt;0,L502&gt;0),ROUND(L502/M502,0),IF(AND(J502&gt;0,B502&gt;0),ROUND(B502/J502,0),Y501)))</f>
        <v/>
      </c>
    </row>
    <row r="503">
      <c r="A503" s="67" t="n"/>
      <c r="B503" s="68" t="n"/>
      <c r="C503" s="69" t="n"/>
      <c r="D503" s="68" t="n"/>
      <c r="E503" s="69" t="n"/>
      <c r="F503" s="68" t="n"/>
      <c r="G503" s="69" t="n"/>
      <c r="H503" s="68" t="n"/>
      <c r="I503" s="70">
        <f>IF($A503="","",R502)</f>
        <v/>
      </c>
      <c r="J503" s="71">
        <f>IF($A503="","",IF(C503="",0,C503))</f>
        <v/>
      </c>
      <c r="K503" s="71">
        <f>IF($A503="","",IF(E503="",0,E503))</f>
        <v/>
      </c>
      <c r="L503" s="70">
        <f>IF($A503="","",B503-D503)</f>
        <v/>
      </c>
      <c r="M503" s="71">
        <f>IF($A503="","",J503-K503)</f>
        <v/>
      </c>
      <c r="N503" s="71">
        <f>IF($A503="","",IF(G503="",0,G503))</f>
        <v/>
      </c>
      <c r="O503" s="70">
        <f>IF($A503="","",D503+F503)</f>
        <v/>
      </c>
      <c r="P503" s="71">
        <f>IF($A503="","",K503+N503)</f>
        <v/>
      </c>
      <c r="Q503" s="70">
        <f>IF($A503="","",I503+L503-F503)</f>
        <v/>
      </c>
      <c r="R503" s="72">
        <f>IF($A503="","",IF(H503="",Q503,H503))</f>
        <v/>
      </c>
      <c r="S503" s="73">
        <f>IF($A503="","",R503-Q503)</f>
        <v/>
      </c>
      <c r="T503" s="70">
        <f>IF($A503="","",SUMIFS($B$5:$B$800,$A$5:$A$800,"&gt;="&amp;DATE(YEAR($A503),MONTH($A503),1),$A$5:$A$800,"&lt;="&amp;$A503)+IF(AND(YEAR($A503)=YEAR(Settings!$B$3),MONTH($A503)=MONTH(Settings!$B$3)),Settings!$B$6,0))</f>
        <v/>
      </c>
      <c r="U503" s="71">
        <f>IF($A503="","",SUMIFS($J$5:$J$800,$A$5:$A$800,"&gt;="&amp;DATE(YEAR($A503),MONTH($A503),1),$A$5:$A$800,"&lt;="&amp;$A503)+IF(AND(YEAR($A503)=YEAR(Settings!$B$3),MONTH($A503)=MONTH(Settings!$B$3)),Settings!$B$7,0))</f>
        <v/>
      </c>
      <c r="V503" s="70">
        <f>IF($A503="","",Settings!$B$8+SUM($B$5:B503))</f>
        <v/>
      </c>
      <c r="W503" s="71">
        <f>IF($A503="","",Settings!$B$9+SUM($J$5:J503))</f>
        <v/>
      </c>
      <c r="X503" s="71">
        <f>IF($A503="","",IF(AND(N503&gt;0,F503&gt;0),ROUND(F503/N503,0),X502))</f>
        <v/>
      </c>
      <c r="Y503" s="74">
        <f>IF($A503="","",IF(AND(M503&gt;0,L503&gt;0),ROUND(L503/M503,0),IF(AND(J503&gt;0,B503&gt;0),ROUND(B503/J503,0),Y502)))</f>
        <v/>
      </c>
    </row>
    <row r="504">
      <c r="A504" s="67" t="n"/>
      <c r="B504" s="68" t="n"/>
      <c r="C504" s="69" t="n"/>
      <c r="D504" s="68" t="n"/>
      <c r="E504" s="69" t="n"/>
      <c r="F504" s="68" t="n"/>
      <c r="G504" s="69" t="n"/>
      <c r="H504" s="68" t="n"/>
      <c r="I504" s="70">
        <f>IF($A504="","",R503)</f>
        <v/>
      </c>
      <c r="J504" s="71">
        <f>IF($A504="","",IF(C504="",0,C504))</f>
        <v/>
      </c>
      <c r="K504" s="71">
        <f>IF($A504="","",IF(E504="",0,E504))</f>
        <v/>
      </c>
      <c r="L504" s="70">
        <f>IF($A504="","",B504-D504)</f>
        <v/>
      </c>
      <c r="M504" s="71">
        <f>IF($A504="","",J504-K504)</f>
        <v/>
      </c>
      <c r="N504" s="71">
        <f>IF($A504="","",IF(G504="",0,G504))</f>
        <v/>
      </c>
      <c r="O504" s="70">
        <f>IF($A504="","",D504+F504)</f>
        <v/>
      </c>
      <c r="P504" s="71">
        <f>IF($A504="","",K504+N504)</f>
        <v/>
      </c>
      <c r="Q504" s="70">
        <f>IF($A504="","",I504+L504-F504)</f>
        <v/>
      </c>
      <c r="R504" s="72">
        <f>IF($A504="","",IF(H504="",Q504,H504))</f>
        <v/>
      </c>
      <c r="S504" s="73">
        <f>IF($A504="","",R504-Q504)</f>
        <v/>
      </c>
      <c r="T504" s="70">
        <f>IF($A504="","",SUMIFS($B$5:$B$800,$A$5:$A$800,"&gt;="&amp;DATE(YEAR($A504),MONTH($A504),1),$A$5:$A$800,"&lt;="&amp;$A504)+IF(AND(YEAR($A504)=YEAR(Settings!$B$3),MONTH($A504)=MONTH(Settings!$B$3)),Settings!$B$6,0))</f>
        <v/>
      </c>
      <c r="U504" s="71">
        <f>IF($A504="","",SUMIFS($J$5:$J$800,$A$5:$A$800,"&gt;="&amp;DATE(YEAR($A504),MONTH($A504),1),$A$5:$A$800,"&lt;="&amp;$A504)+IF(AND(YEAR($A504)=YEAR(Settings!$B$3),MONTH($A504)=MONTH(Settings!$B$3)),Settings!$B$7,0))</f>
        <v/>
      </c>
      <c r="V504" s="70">
        <f>IF($A504="","",Settings!$B$8+SUM($B$5:B504))</f>
        <v/>
      </c>
      <c r="W504" s="71">
        <f>IF($A504="","",Settings!$B$9+SUM($J$5:J504))</f>
        <v/>
      </c>
      <c r="X504" s="71">
        <f>IF($A504="","",IF(AND(N504&gt;0,F504&gt;0),ROUND(F504/N504,0),X503))</f>
        <v/>
      </c>
      <c r="Y504" s="74">
        <f>IF($A504="","",IF(AND(M504&gt;0,L504&gt;0),ROUND(L504/M504,0),IF(AND(J504&gt;0,B504&gt;0),ROUND(B504/J504,0),Y503)))</f>
        <v/>
      </c>
    </row>
    <row r="505">
      <c r="A505" s="67" t="n"/>
      <c r="B505" s="68" t="n"/>
      <c r="C505" s="69" t="n"/>
      <c r="D505" s="68" t="n"/>
      <c r="E505" s="69" t="n"/>
      <c r="F505" s="68" t="n"/>
      <c r="G505" s="69" t="n"/>
      <c r="H505" s="68" t="n"/>
      <c r="I505" s="70">
        <f>IF($A505="","",R504)</f>
        <v/>
      </c>
      <c r="J505" s="71">
        <f>IF($A505="","",IF(C505="",0,C505))</f>
        <v/>
      </c>
      <c r="K505" s="71">
        <f>IF($A505="","",IF(E505="",0,E505))</f>
        <v/>
      </c>
      <c r="L505" s="70">
        <f>IF($A505="","",B505-D505)</f>
        <v/>
      </c>
      <c r="M505" s="71">
        <f>IF($A505="","",J505-K505)</f>
        <v/>
      </c>
      <c r="N505" s="71">
        <f>IF($A505="","",IF(G505="",0,G505))</f>
        <v/>
      </c>
      <c r="O505" s="70">
        <f>IF($A505="","",D505+F505)</f>
        <v/>
      </c>
      <c r="P505" s="71">
        <f>IF($A505="","",K505+N505)</f>
        <v/>
      </c>
      <c r="Q505" s="70">
        <f>IF($A505="","",I505+L505-F505)</f>
        <v/>
      </c>
      <c r="R505" s="72">
        <f>IF($A505="","",IF(H505="",Q505,H505))</f>
        <v/>
      </c>
      <c r="S505" s="73">
        <f>IF($A505="","",R505-Q505)</f>
        <v/>
      </c>
      <c r="T505" s="70">
        <f>IF($A505="","",SUMIFS($B$5:$B$800,$A$5:$A$800,"&gt;="&amp;DATE(YEAR($A505),MONTH($A505),1),$A$5:$A$800,"&lt;="&amp;$A505)+IF(AND(YEAR($A505)=YEAR(Settings!$B$3),MONTH($A505)=MONTH(Settings!$B$3)),Settings!$B$6,0))</f>
        <v/>
      </c>
      <c r="U505" s="71">
        <f>IF($A505="","",SUMIFS($J$5:$J$800,$A$5:$A$800,"&gt;="&amp;DATE(YEAR($A505),MONTH($A505),1),$A$5:$A$800,"&lt;="&amp;$A505)+IF(AND(YEAR($A505)=YEAR(Settings!$B$3),MONTH($A505)=MONTH(Settings!$B$3)),Settings!$B$7,0))</f>
        <v/>
      </c>
      <c r="V505" s="70">
        <f>IF($A505="","",Settings!$B$8+SUM($B$5:B505))</f>
        <v/>
      </c>
      <c r="W505" s="71">
        <f>IF($A505="","",Settings!$B$9+SUM($J$5:J505))</f>
        <v/>
      </c>
      <c r="X505" s="71">
        <f>IF($A505="","",IF(AND(N505&gt;0,F505&gt;0),ROUND(F505/N505,0),X504))</f>
        <v/>
      </c>
      <c r="Y505" s="74">
        <f>IF($A505="","",IF(AND(M505&gt;0,L505&gt;0),ROUND(L505/M505,0),IF(AND(J505&gt;0,B505&gt;0),ROUND(B505/J505,0),Y504)))</f>
        <v/>
      </c>
    </row>
    <row r="506">
      <c r="A506" s="67" t="n"/>
      <c r="B506" s="68" t="n"/>
      <c r="C506" s="69" t="n"/>
      <c r="D506" s="68" t="n"/>
      <c r="E506" s="69" t="n"/>
      <c r="F506" s="68" t="n"/>
      <c r="G506" s="69" t="n"/>
      <c r="H506" s="68" t="n"/>
      <c r="I506" s="70">
        <f>IF($A506="","",R505)</f>
        <v/>
      </c>
      <c r="J506" s="71">
        <f>IF($A506="","",IF(C506="",0,C506))</f>
        <v/>
      </c>
      <c r="K506" s="71">
        <f>IF($A506="","",IF(E506="",0,E506))</f>
        <v/>
      </c>
      <c r="L506" s="70">
        <f>IF($A506="","",B506-D506)</f>
        <v/>
      </c>
      <c r="M506" s="71">
        <f>IF($A506="","",J506-K506)</f>
        <v/>
      </c>
      <c r="N506" s="71">
        <f>IF($A506="","",IF(G506="",0,G506))</f>
        <v/>
      </c>
      <c r="O506" s="70">
        <f>IF($A506="","",D506+F506)</f>
        <v/>
      </c>
      <c r="P506" s="71">
        <f>IF($A506="","",K506+N506)</f>
        <v/>
      </c>
      <c r="Q506" s="70">
        <f>IF($A506="","",I506+L506-F506)</f>
        <v/>
      </c>
      <c r="R506" s="72">
        <f>IF($A506="","",IF(H506="",Q506,H506))</f>
        <v/>
      </c>
      <c r="S506" s="73">
        <f>IF($A506="","",R506-Q506)</f>
        <v/>
      </c>
      <c r="T506" s="70">
        <f>IF($A506="","",SUMIFS($B$5:$B$800,$A$5:$A$800,"&gt;="&amp;DATE(YEAR($A506),MONTH($A506),1),$A$5:$A$800,"&lt;="&amp;$A506)+IF(AND(YEAR($A506)=YEAR(Settings!$B$3),MONTH($A506)=MONTH(Settings!$B$3)),Settings!$B$6,0))</f>
        <v/>
      </c>
      <c r="U506" s="71">
        <f>IF($A506="","",SUMIFS($J$5:$J$800,$A$5:$A$800,"&gt;="&amp;DATE(YEAR($A506),MONTH($A506),1),$A$5:$A$800,"&lt;="&amp;$A506)+IF(AND(YEAR($A506)=YEAR(Settings!$B$3),MONTH($A506)=MONTH(Settings!$B$3)),Settings!$B$7,0))</f>
        <v/>
      </c>
      <c r="V506" s="70">
        <f>IF($A506="","",Settings!$B$8+SUM($B$5:B506))</f>
        <v/>
      </c>
      <c r="W506" s="71">
        <f>IF($A506="","",Settings!$B$9+SUM($J$5:J506))</f>
        <v/>
      </c>
      <c r="X506" s="71">
        <f>IF($A506="","",IF(AND(N506&gt;0,F506&gt;0),ROUND(F506/N506,0),X505))</f>
        <v/>
      </c>
      <c r="Y506" s="74">
        <f>IF($A506="","",IF(AND(M506&gt;0,L506&gt;0),ROUND(L506/M506,0),IF(AND(J506&gt;0,B506&gt;0),ROUND(B506/J506,0),Y505)))</f>
        <v/>
      </c>
    </row>
    <row r="507">
      <c r="A507" s="67" t="n"/>
      <c r="B507" s="68" t="n"/>
      <c r="C507" s="69" t="n"/>
      <c r="D507" s="68" t="n"/>
      <c r="E507" s="69" t="n"/>
      <c r="F507" s="68" t="n"/>
      <c r="G507" s="69" t="n"/>
      <c r="H507" s="68" t="n"/>
      <c r="I507" s="70">
        <f>IF($A507="","",R506)</f>
        <v/>
      </c>
      <c r="J507" s="71">
        <f>IF($A507="","",IF(C507="",0,C507))</f>
        <v/>
      </c>
      <c r="K507" s="71">
        <f>IF($A507="","",IF(E507="",0,E507))</f>
        <v/>
      </c>
      <c r="L507" s="70">
        <f>IF($A507="","",B507-D507)</f>
        <v/>
      </c>
      <c r="M507" s="71">
        <f>IF($A507="","",J507-K507)</f>
        <v/>
      </c>
      <c r="N507" s="71">
        <f>IF($A507="","",IF(G507="",0,G507))</f>
        <v/>
      </c>
      <c r="O507" s="70">
        <f>IF($A507="","",D507+F507)</f>
        <v/>
      </c>
      <c r="P507" s="71">
        <f>IF($A507="","",K507+N507)</f>
        <v/>
      </c>
      <c r="Q507" s="70">
        <f>IF($A507="","",I507+L507-F507)</f>
        <v/>
      </c>
      <c r="R507" s="72">
        <f>IF($A507="","",IF(H507="",Q507,H507))</f>
        <v/>
      </c>
      <c r="S507" s="73">
        <f>IF($A507="","",R507-Q507)</f>
        <v/>
      </c>
      <c r="T507" s="70">
        <f>IF($A507="","",SUMIFS($B$5:$B$800,$A$5:$A$800,"&gt;="&amp;DATE(YEAR($A507),MONTH($A507),1),$A$5:$A$800,"&lt;="&amp;$A507)+IF(AND(YEAR($A507)=YEAR(Settings!$B$3),MONTH($A507)=MONTH(Settings!$B$3)),Settings!$B$6,0))</f>
        <v/>
      </c>
      <c r="U507" s="71">
        <f>IF($A507="","",SUMIFS($J$5:$J$800,$A$5:$A$800,"&gt;="&amp;DATE(YEAR($A507),MONTH($A507),1),$A$5:$A$800,"&lt;="&amp;$A507)+IF(AND(YEAR($A507)=YEAR(Settings!$B$3),MONTH($A507)=MONTH(Settings!$B$3)),Settings!$B$7,0))</f>
        <v/>
      </c>
      <c r="V507" s="70">
        <f>IF($A507="","",Settings!$B$8+SUM($B$5:B507))</f>
        <v/>
      </c>
      <c r="W507" s="71">
        <f>IF($A507="","",Settings!$B$9+SUM($J$5:J507))</f>
        <v/>
      </c>
      <c r="X507" s="71">
        <f>IF($A507="","",IF(AND(N507&gt;0,F507&gt;0),ROUND(F507/N507,0),X506))</f>
        <v/>
      </c>
      <c r="Y507" s="74">
        <f>IF($A507="","",IF(AND(M507&gt;0,L507&gt;0),ROUND(L507/M507,0),IF(AND(J507&gt;0,B507&gt;0),ROUND(B507/J507,0),Y506)))</f>
        <v/>
      </c>
    </row>
    <row r="508">
      <c r="A508" s="67" t="n"/>
      <c r="B508" s="68" t="n"/>
      <c r="C508" s="69" t="n"/>
      <c r="D508" s="68" t="n"/>
      <c r="E508" s="69" t="n"/>
      <c r="F508" s="68" t="n"/>
      <c r="G508" s="69" t="n"/>
      <c r="H508" s="68" t="n"/>
      <c r="I508" s="70">
        <f>IF($A508="","",R507)</f>
        <v/>
      </c>
      <c r="J508" s="71">
        <f>IF($A508="","",IF(C508="",0,C508))</f>
        <v/>
      </c>
      <c r="K508" s="71">
        <f>IF($A508="","",IF(E508="",0,E508))</f>
        <v/>
      </c>
      <c r="L508" s="70">
        <f>IF($A508="","",B508-D508)</f>
        <v/>
      </c>
      <c r="M508" s="71">
        <f>IF($A508="","",J508-K508)</f>
        <v/>
      </c>
      <c r="N508" s="71">
        <f>IF($A508="","",IF(G508="",0,G508))</f>
        <v/>
      </c>
      <c r="O508" s="70">
        <f>IF($A508="","",D508+F508)</f>
        <v/>
      </c>
      <c r="P508" s="71">
        <f>IF($A508="","",K508+N508)</f>
        <v/>
      </c>
      <c r="Q508" s="70">
        <f>IF($A508="","",I508+L508-F508)</f>
        <v/>
      </c>
      <c r="R508" s="72">
        <f>IF($A508="","",IF(H508="",Q508,H508))</f>
        <v/>
      </c>
      <c r="S508" s="73">
        <f>IF($A508="","",R508-Q508)</f>
        <v/>
      </c>
      <c r="T508" s="70">
        <f>IF($A508="","",SUMIFS($B$5:$B$800,$A$5:$A$800,"&gt;="&amp;DATE(YEAR($A508),MONTH($A508),1),$A$5:$A$800,"&lt;="&amp;$A508)+IF(AND(YEAR($A508)=YEAR(Settings!$B$3),MONTH($A508)=MONTH(Settings!$B$3)),Settings!$B$6,0))</f>
        <v/>
      </c>
      <c r="U508" s="71">
        <f>IF($A508="","",SUMIFS($J$5:$J$800,$A$5:$A$800,"&gt;="&amp;DATE(YEAR($A508),MONTH($A508),1),$A$5:$A$800,"&lt;="&amp;$A508)+IF(AND(YEAR($A508)=YEAR(Settings!$B$3),MONTH($A508)=MONTH(Settings!$B$3)),Settings!$B$7,0))</f>
        <v/>
      </c>
      <c r="V508" s="70">
        <f>IF($A508="","",Settings!$B$8+SUM($B$5:B508))</f>
        <v/>
      </c>
      <c r="W508" s="71">
        <f>IF($A508="","",Settings!$B$9+SUM($J$5:J508))</f>
        <v/>
      </c>
      <c r="X508" s="71">
        <f>IF($A508="","",IF(AND(N508&gt;0,F508&gt;0),ROUND(F508/N508,0),X507))</f>
        <v/>
      </c>
      <c r="Y508" s="74">
        <f>IF($A508="","",IF(AND(M508&gt;0,L508&gt;0),ROUND(L508/M508,0),IF(AND(J508&gt;0,B508&gt;0),ROUND(B508/J508,0),Y507)))</f>
        <v/>
      </c>
    </row>
    <row r="509">
      <c r="A509" s="67" t="n"/>
      <c r="B509" s="68" t="n"/>
      <c r="C509" s="69" t="n"/>
      <c r="D509" s="68" t="n"/>
      <c r="E509" s="69" t="n"/>
      <c r="F509" s="68" t="n"/>
      <c r="G509" s="69" t="n"/>
      <c r="H509" s="68" t="n"/>
      <c r="I509" s="70">
        <f>IF($A509="","",R508)</f>
        <v/>
      </c>
      <c r="J509" s="71">
        <f>IF($A509="","",IF(C509="",0,C509))</f>
        <v/>
      </c>
      <c r="K509" s="71">
        <f>IF($A509="","",IF(E509="",0,E509))</f>
        <v/>
      </c>
      <c r="L509" s="70">
        <f>IF($A509="","",B509-D509)</f>
        <v/>
      </c>
      <c r="M509" s="71">
        <f>IF($A509="","",J509-K509)</f>
        <v/>
      </c>
      <c r="N509" s="71">
        <f>IF($A509="","",IF(G509="",0,G509))</f>
        <v/>
      </c>
      <c r="O509" s="70">
        <f>IF($A509="","",D509+F509)</f>
        <v/>
      </c>
      <c r="P509" s="71">
        <f>IF($A509="","",K509+N509)</f>
        <v/>
      </c>
      <c r="Q509" s="70">
        <f>IF($A509="","",I509+L509-F509)</f>
        <v/>
      </c>
      <c r="R509" s="72">
        <f>IF($A509="","",IF(H509="",Q509,H509))</f>
        <v/>
      </c>
      <c r="S509" s="73">
        <f>IF($A509="","",R509-Q509)</f>
        <v/>
      </c>
      <c r="T509" s="70">
        <f>IF($A509="","",SUMIFS($B$5:$B$800,$A$5:$A$800,"&gt;="&amp;DATE(YEAR($A509),MONTH($A509),1),$A$5:$A$800,"&lt;="&amp;$A509)+IF(AND(YEAR($A509)=YEAR(Settings!$B$3),MONTH($A509)=MONTH(Settings!$B$3)),Settings!$B$6,0))</f>
        <v/>
      </c>
      <c r="U509" s="71">
        <f>IF($A509="","",SUMIFS($J$5:$J$800,$A$5:$A$800,"&gt;="&amp;DATE(YEAR($A509),MONTH($A509),1),$A$5:$A$800,"&lt;="&amp;$A509)+IF(AND(YEAR($A509)=YEAR(Settings!$B$3),MONTH($A509)=MONTH(Settings!$B$3)),Settings!$B$7,0))</f>
        <v/>
      </c>
      <c r="V509" s="70">
        <f>IF($A509="","",Settings!$B$8+SUM($B$5:B509))</f>
        <v/>
      </c>
      <c r="W509" s="71">
        <f>IF($A509="","",Settings!$B$9+SUM($J$5:J509))</f>
        <v/>
      </c>
      <c r="X509" s="71">
        <f>IF($A509="","",IF(AND(N509&gt;0,F509&gt;0),ROUND(F509/N509,0),X508))</f>
        <v/>
      </c>
      <c r="Y509" s="74">
        <f>IF($A509="","",IF(AND(M509&gt;0,L509&gt;0),ROUND(L509/M509,0),IF(AND(J509&gt;0,B509&gt;0),ROUND(B509/J509,0),Y508)))</f>
        <v/>
      </c>
    </row>
    <row r="510">
      <c r="A510" s="67" t="n"/>
      <c r="B510" s="68" t="n"/>
      <c r="C510" s="69" t="n"/>
      <c r="D510" s="68" t="n"/>
      <c r="E510" s="69" t="n"/>
      <c r="F510" s="68" t="n"/>
      <c r="G510" s="69" t="n"/>
      <c r="H510" s="68" t="n"/>
      <c r="I510" s="70">
        <f>IF($A510="","",R509)</f>
        <v/>
      </c>
      <c r="J510" s="71">
        <f>IF($A510="","",IF(C510="",0,C510))</f>
        <v/>
      </c>
      <c r="K510" s="71">
        <f>IF($A510="","",IF(E510="",0,E510))</f>
        <v/>
      </c>
      <c r="L510" s="70">
        <f>IF($A510="","",B510-D510)</f>
        <v/>
      </c>
      <c r="M510" s="71">
        <f>IF($A510="","",J510-K510)</f>
        <v/>
      </c>
      <c r="N510" s="71">
        <f>IF($A510="","",IF(G510="",0,G510))</f>
        <v/>
      </c>
      <c r="O510" s="70">
        <f>IF($A510="","",D510+F510)</f>
        <v/>
      </c>
      <c r="P510" s="71">
        <f>IF($A510="","",K510+N510)</f>
        <v/>
      </c>
      <c r="Q510" s="70">
        <f>IF($A510="","",I510+L510-F510)</f>
        <v/>
      </c>
      <c r="R510" s="72">
        <f>IF($A510="","",IF(H510="",Q510,H510))</f>
        <v/>
      </c>
      <c r="S510" s="73">
        <f>IF($A510="","",R510-Q510)</f>
        <v/>
      </c>
      <c r="T510" s="70">
        <f>IF($A510="","",SUMIFS($B$5:$B$800,$A$5:$A$800,"&gt;="&amp;DATE(YEAR($A510),MONTH($A510),1),$A$5:$A$800,"&lt;="&amp;$A510)+IF(AND(YEAR($A510)=YEAR(Settings!$B$3),MONTH($A510)=MONTH(Settings!$B$3)),Settings!$B$6,0))</f>
        <v/>
      </c>
      <c r="U510" s="71">
        <f>IF($A510="","",SUMIFS($J$5:$J$800,$A$5:$A$800,"&gt;="&amp;DATE(YEAR($A510),MONTH($A510),1),$A$5:$A$800,"&lt;="&amp;$A510)+IF(AND(YEAR($A510)=YEAR(Settings!$B$3),MONTH($A510)=MONTH(Settings!$B$3)),Settings!$B$7,0))</f>
        <v/>
      </c>
      <c r="V510" s="70">
        <f>IF($A510="","",Settings!$B$8+SUM($B$5:B510))</f>
        <v/>
      </c>
      <c r="W510" s="71">
        <f>IF($A510="","",Settings!$B$9+SUM($J$5:J510))</f>
        <v/>
      </c>
      <c r="X510" s="71">
        <f>IF($A510="","",IF(AND(N510&gt;0,F510&gt;0),ROUND(F510/N510,0),X509))</f>
        <v/>
      </c>
      <c r="Y510" s="74">
        <f>IF($A510="","",IF(AND(M510&gt;0,L510&gt;0),ROUND(L510/M510,0),IF(AND(J510&gt;0,B510&gt;0),ROUND(B510/J510,0),Y509)))</f>
        <v/>
      </c>
    </row>
    <row r="511">
      <c r="A511" s="67" t="n"/>
      <c r="B511" s="68" t="n"/>
      <c r="C511" s="69" t="n"/>
      <c r="D511" s="68" t="n"/>
      <c r="E511" s="69" t="n"/>
      <c r="F511" s="68" t="n"/>
      <c r="G511" s="69" t="n"/>
      <c r="H511" s="68" t="n"/>
      <c r="I511" s="70">
        <f>IF($A511="","",R510)</f>
        <v/>
      </c>
      <c r="J511" s="71">
        <f>IF($A511="","",IF(C511="",0,C511))</f>
        <v/>
      </c>
      <c r="K511" s="71">
        <f>IF($A511="","",IF(E511="",0,E511))</f>
        <v/>
      </c>
      <c r="L511" s="70">
        <f>IF($A511="","",B511-D511)</f>
        <v/>
      </c>
      <c r="M511" s="71">
        <f>IF($A511="","",J511-K511)</f>
        <v/>
      </c>
      <c r="N511" s="71">
        <f>IF($A511="","",IF(G511="",0,G511))</f>
        <v/>
      </c>
      <c r="O511" s="70">
        <f>IF($A511="","",D511+F511)</f>
        <v/>
      </c>
      <c r="P511" s="71">
        <f>IF($A511="","",K511+N511)</f>
        <v/>
      </c>
      <c r="Q511" s="70">
        <f>IF($A511="","",I511+L511-F511)</f>
        <v/>
      </c>
      <c r="R511" s="72">
        <f>IF($A511="","",IF(H511="",Q511,H511))</f>
        <v/>
      </c>
      <c r="S511" s="73">
        <f>IF($A511="","",R511-Q511)</f>
        <v/>
      </c>
      <c r="T511" s="70">
        <f>IF($A511="","",SUMIFS($B$5:$B$800,$A$5:$A$800,"&gt;="&amp;DATE(YEAR($A511),MONTH($A511),1),$A$5:$A$800,"&lt;="&amp;$A511)+IF(AND(YEAR($A511)=YEAR(Settings!$B$3),MONTH($A511)=MONTH(Settings!$B$3)),Settings!$B$6,0))</f>
        <v/>
      </c>
      <c r="U511" s="71">
        <f>IF($A511="","",SUMIFS($J$5:$J$800,$A$5:$A$800,"&gt;="&amp;DATE(YEAR($A511),MONTH($A511),1),$A$5:$A$800,"&lt;="&amp;$A511)+IF(AND(YEAR($A511)=YEAR(Settings!$B$3),MONTH($A511)=MONTH(Settings!$B$3)),Settings!$B$7,0))</f>
        <v/>
      </c>
      <c r="V511" s="70">
        <f>IF($A511="","",Settings!$B$8+SUM($B$5:B511))</f>
        <v/>
      </c>
      <c r="W511" s="71">
        <f>IF($A511="","",Settings!$B$9+SUM($J$5:J511))</f>
        <v/>
      </c>
      <c r="X511" s="71">
        <f>IF($A511="","",IF(AND(N511&gt;0,F511&gt;0),ROUND(F511/N511,0),X510))</f>
        <v/>
      </c>
      <c r="Y511" s="74">
        <f>IF($A511="","",IF(AND(M511&gt;0,L511&gt;0),ROUND(L511/M511,0),IF(AND(J511&gt;0,B511&gt;0),ROUND(B511/J511,0),Y510)))</f>
        <v/>
      </c>
    </row>
    <row r="512">
      <c r="A512" s="67" t="n"/>
      <c r="B512" s="68" t="n"/>
      <c r="C512" s="69" t="n"/>
      <c r="D512" s="68" t="n"/>
      <c r="E512" s="69" t="n"/>
      <c r="F512" s="68" t="n"/>
      <c r="G512" s="69" t="n"/>
      <c r="H512" s="68" t="n"/>
      <c r="I512" s="70">
        <f>IF($A512="","",R511)</f>
        <v/>
      </c>
      <c r="J512" s="71">
        <f>IF($A512="","",IF(C512="",0,C512))</f>
        <v/>
      </c>
      <c r="K512" s="71">
        <f>IF($A512="","",IF(E512="",0,E512))</f>
        <v/>
      </c>
      <c r="L512" s="70">
        <f>IF($A512="","",B512-D512)</f>
        <v/>
      </c>
      <c r="M512" s="71">
        <f>IF($A512="","",J512-K512)</f>
        <v/>
      </c>
      <c r="N512" s="71">
        <f>IF($A512="","",IF(G512="",0,G512))</f>
        <v/>
      </c>
      <c r="O512" s="70">
        <f>IF($A512="","",D512+F512)</f>
        <v/>
      </c>
      <c r="P512" s="71">
        <f>IF($A512="","",K512+N512)</f>
        <v/>
      </c>
      <c r="Q512" s="70">
        <f>IF($A512="","",I512+L512-F512)</f>
        <v/>
      </c>
      <c r="R512" s="72">
        <f>IF($A512="","",IF(H512="",Q512,H512))</f>
        <v/>
      </c>
      <c r="S512" s="73">
        <f>IF($A512="","",R512-Q512)</f>
        <v/>
      </c>
      <c r="T512" s="70">
        <f>IF($A512="","",SUMIFS($B$5:$B$800,$A$5:$A$800,"&gt;="&amp;DATE(YEAR($A512),MONTH($A512),1),$A$5:$A$800,"&lt;="&amp;$A512)+IF(AND(YEAR($A512)=YEAR(Settings!$B$3),MONTH($A512)=MONTH(Settings!$B$3)),Settings!$B$6,0))</f>
        <v/>
      </c>
      <c r="U512" s="71">
        <f>IF($A512="","",SUMIFS($J$5:$J$800,$A$5:$A$800,"&gt;="&amp;DATE(YEAR($A512),MONTH($A512),1),$A$5:$A$800,"&lt;="&amp;$A512)+IF(AND(YEAR($A512)=YEAR(Settings!$B$3),MONTH($A512)=MONTH(Settings!$B$3)),Settings!$B$7,0))</f>
        <v/>
      </c>
      <c r="V512" s="70">
        <f>IF($A512="","",Settings!$B$8+SUM($B$5:B512))</f>
        <v/>
      </c>
      <c r="W512" s="71">
        <f>IF($A512="","",Settings!$B$9+SUM($J$5:J512))</f>
        <v/>
      </c>
      <c r="X512" s="71">
        <f>IF($A512="","",IF(AND(N512&gt;0,F512&gt;0),ROUND(F512/N512,0),X511))</f>
        <v/>
      </c>
      <c r="Y512" s="74">
        <f>IF($A512="","",IF(AND(M512&gt;0,L512&gt;0),ROUND(L512/M512,0),IF(AND(J512&gt;0,B512&gt;0),ROUND(B512/J512,0),Y511)))</f>
        <v/>
      </c>
    </row>
    <row r="513">
      <c r="A513" s="67" t="n"/>
      <c r="B513" s="68" t="n"/>
      <c r="C513" s="69" t="n"/>
      <c r="D513" s="68" t="n"/>
      <c r="E513" s="69" t="n"/>
      <c r="F513" s="68" t="n"/>
      <c r="G513" s="69" t="n"/>
      <c r="H513" s="68" t="n"/>
      <c r="I513" s="70">
        <f>IF($A513="","",R512)</f>
        <v/>
      </c>
      <c r="J513" s="71">
        <f>IF($A513="","",IF(C513="",0,C513))</f>
        <v/>
      </c>
      <c r="K513" s="71">
        <f>IF($A513="","",IF(E513="",0,E513))</f>
        <v/>
      </c>
      <c r="L513" s="70">
        <f>IF($A513="","",B513-D513)</f>
        <v/>
      </c>
      <c r="M513" s="71">
        <f>IF($A513="","",J513-K513)</f>
        <v/>
      </c>
      <c r="N513" s="71">
        <f>IF($A513="","",IF(G513="",0,G513))</f>
        <v/>
      </c>
      <c r="O513" s="70">
        <f>IF($A513="","",D513+F513)</f>
        <v/>
      </c>
      <c r="P513" s="71">
        <f>IF($A513="","",K513+N513)</f>
        <v/>
      </c>
      <c r="Q513" s="70">
        <f>IF($A513="","",I513+L513-F513)</f>
        <v/>
      </c>
      <c r="R513" s="72">
        <f>IF($A513="","",IF(H513="",Q513,H513))</f>
        <v/>
      </c>
      <c r="S513" s="73">
        <f>IF($A513="","",R513-Q513)</f>
        <v/>
      </c>
      <c r="T513" s="70">
        <f>IF($A513="","",SUMIFS($B$5:$B$800,$A$5:$A$800,"&gt;="&amp;DATE(YEAR($A513),MONTH($A513),1),$A$5:$A$800,"&lt;="&amp;$A513)+IF(AND(YEAR($A513)=YEAR(Settings!$B$3),MONTH($A513)=MONTH(Settings!$B$3)),Settings!$B$6,0))</f>
        <v/>
      </c>
      <c r="U513" s="71">
        <f>IF($A513="","",SUMIFS($J$5:$J$800,$A$5:$A$800,"&gt;="&amp;DATE(YEAR($A513),MONTH($A513),1),$A$5:$A$800,"&lt;="&amp;$A513)+IF(AND(YEAR($A513)=YEAR(Settings!$B$3),MONTH($A513)=MONTH(Settings!$B$3)),Settings!$B$7,0))</f>
        <v/>
      </c>
      <c r="V513" s="70">
        <f>IF($A513="","",Settings!$B$8+SUM($B$5:B513))</f>
        <v/>
      </c>
      <c r="W513" s="71">
        <f>IF($A513="","",Settings!$B$9+SUM($J$5:J513))</f>
        <v/>
      </c>
      <c r="X513" s="71">
        <f>IF($A513="","",IF(AND(N513&gt;0,F513&gt;0),ROUND(F513/N513,0),X512))</f>
        <v/>
      </c>
      <c r="Y513" s="74">
        <f>IF($A513="","",IF(AND(M513&gt;0,L513&gt;0),ROUND(L513/M513,0),IF(AND(J513&gt;0,B513&gt;0),ROUND(B513/J513,0),Y512)))</f>
        <v/>
      </c>
    </row>
    <row r="514">
      <c r="A514" s="67" t="n"/>
      <c r="B514" s="68" t="n"/>
      <c r="C514" s="69" t="n"/>
      <c r="D514" s="68" t="n"/>
      <c r="E514" s="69" t="n"/>
      <c r="F514" s="68" t="n"/>
      <c r="G514" s="69" t="n"/>
      <c r="H514" s="68" t="n"/>
      <c r="I514" s="70">
        <f>IF($A514="","",R513)</f>
        <v/>
      </c>
      <c r="J514" s="71">
        <f>IF($A514="","",IF(C514="",0,C514))</f>
        <v/>
      </c>
      <c r="K514" s="71">
        <f>IF($A514="","",IF(E514="",0,E514))</f>
        <v/>
      </c>
      <c r="L514" s="70">
        <f>IF($A514="","",B514-D514)</f>
        <v/>
      </c>
      <c r="M514" s="71">
        <f>IF($A514="","",J514-K514)</f>
        <v/>
      </c>
      <c r="N514" s="71">
        <f>IF($A514="","",IF(G514="",0,G514))</f>
        <v/>
      </c>
      <c r="O514" s="70">
        <f>IF($A514="","",D514+F514)</f>
        <v/>
      </c>
      <c r="P514" s="71">
        <f>IF($A514="","",K514+N514)</f>
        <v/>
      </c>
      <c r="Q514" s="70">
        <f>IF($A514="","",I514+L514-F514)</f>
        <v/>
      </c>
      <c r="R514" s="72">
        <f>IF($A514="","",IF(H514="",Q514,H514))</f>
        <v/>
      </c>
      <c r="S514" s="73">
        <f>IF($A514="","",R514-Q514)</f>
        <v/>
      </c>
      <c r="T514" s="70">
        <f>IF($A514="","",SUMIFS($B$5:$B$800,$A$5:$A$800,"&gt;="&amp;DATE(YEAR($A514),MONTH($A514),1),$A$5:$A$800,"&lt;="&amp;$A514)+IF(AND(YEAR($A514)=YEAR(Settings!$B$3),MONTH($A514)=MONTH(Settings!$B$3)),Settings!$B$6,0))</f>
        <v/>
      </c>
      <c r="U514" s="71">
        <f>IF($A514="","",SUMIFS($J$5:$J$800,$A$5:$A$800,"&gt;="&amp;DATE(YEAR($A514),MONTH($A514),1),$A$5:$A$800,"&lt;="&amp;$A514)+IF(AND(YEAR($A514)=YEAR(Settings!$B$3),MONTH($A514)=MONTH(Settings!$B$3)),Settings!$B$7,0))</f>
        <v/>
      </c>
      <c r="V514" s="70">
        <f>IF($A514="","",Settings!$B$8+SUM($B$5:B514))</f>
        <v/>
      </c>
      <c r="W514" s="71">
        <f>IF($A514="","",Settings!$B$9+SUM($J$5:J514))</f>
        <v/>
      </c>
      <c r="X514" s="71">
        <f>IF($A514="","",IF(AND(N514&gt;0,F514&gt;0),ROUND(F514/N514,0),X513))</f>
        <v/>
      </c>
      <c r="Y514" s="74">
        <f>IF($A514="","",IF(AND(M514&gt;0,L514&gt;0),ROUND(L514/M514,0),IF(AND(J514&gt;0,B514&gt;0),ROUND(B514/J514,0),Y513)))</f>
        <v/>
      </c>
    </row>
    <row r="515">
      <c r="A515" s="67" t="n"/>
      <c r="B515" s="68" t="n"/>
      <c r="C515" s="69" t="n"/>
      <c r="D515" s="68" t="n"/>
      <c r="E515" s="69" t="n"/>
      <c r="F515" s="68" t="n"/>
      <c r="G515" s="69" t="n"/>
      <c r="H515" s="68" t="n"/>
      <c r="I515" s="70">
        <f>IF($A515="","",R514)</f>
        <v/>
      </c>
      <c r="J515" s="71">
        <f>IF($A515="","",IF(C515="",0,C515))</f>
        <v/>
      </c>
      <c r="K515" s="71">
        <f>IF($A515="","",IF(E515="",0,E515))</f>
        <v/>
      </c>
      <c r="L515" s="70">
        <f>IF($A515="","",B515-D515)</f>
        <v/>
      </c>
      <c r="M515" s="71">
        <f>IF($A515="","",J515-K515)</f>
        <v/>
      </c>
      <c r="N515" s="71">
        <f>IF($A515="","",IF(G515="",0,G515))</f>
        <v/>
      </c>
      <c r="O515" s="70">
        <f>IF($A515="","",D515+F515)</f>
        <v/>
      </c>
      <c r="P515" s="71">
        <f>IF($A515="","",K515+N515)</f>
        <v/>
      </c>
      <c r="Q515" s="70">
        <f>IF($A515="","",I515+L515-F515)</f>
        <v/>
      </c>
      <c r="R515" s="72">
        <f>IF($A515="","",IF(H515="",Q515,H515))</f>
        <v/>
      </c>
      <c r="S515" s="73">
        <f>IF($A515="","",R515-Q515)</f>
        <v/>
      </c>
      <c r="T515" s="70">
        <f>IF($A515="","",SUMIFS($B$5:$B$800,$A$5:$A$800,"&gt;="&amp;DATE(YEAR($A515),MONTH($A515),1),$A$5:$A$800,"&lt;="&amp;$A515)+IF(AND(YEAR($A515)=YEAR(Settings!$B$3),MONTH($A515)=MONTH(Settings!$B$3)),Settings!$B$6,0))</f>
        <v/>
      </c>
      <c r="U515" s="71">
        <f>IF($A515="","",SUMIFS($J$5:$J$800,$A$5:$A$800,"&gt;="&amp;DATE(YEAR($A515),MONTH($A515),1),$A$5:$A$800,"&lt;="&amp;$A515)+IF(AND(YEAR($A515)=YEAR(Settings!$B$3),MONTH($A515)=MONTH(Settings!$B$3)),Settings!$B$7,0))</f>
        <v/>
      </c>
      <c r="V515" s="70">
        <f>IF($A515="","",Settings!$B$8+SUM($B$5:B515))</f>
        <v/>
      </c>
      <c r="W515" s="71">
        <f>IF($A515="","",Settings!$B$9+SUM($J$5:J515))</f>
        <v/>
      </c>
      <c r="X515" s="71">
        <f>IF($A515="","",IF(AND(N515&gt;0,F515&gt;0),ROUND(F515/N515,0),X514))</f>
        <v/>
      </c>
      <c r="Y515" s="74">
        <f>IF($A515="","",IF(AND(M515&gt;0,L515&gt;0),ROUND(L515/M515,0),IF(AND(J515&gt;0,B515&gt;0),ROUND(B515/J515,0),Y514)))</f>
        <v/>
      </c>
    </row>
    <row r="516">
      <c r="A516" s="67" t="n"/>
      <c r="B516" s="68" t="n"/>
      <c r="C516" s="69" t="n"/>
      <c r="D516" s="68" t="n"/>
      <c r="E516" s="69" t="n"/>
      <c r="F516" s="68" t="n"/>
      <c r="G516" s="69" t="n"/>
      <c r="H516" s="68" t="n"/>
      <c r="I516" s="70">
        <f>IF($A516="","",R515)</f>
        <v/>
      </c>
      <c r="J516" s="71">
        <f>IF($A516="","",IF(C516="",0,C516))</f>
        <v/>
      </c>
      <c r="K516" s="71">
        <f>IF($A516="","",IF(E516="",0,E516))</f>
        <v/>
      </c>
      <c r="L516" s="70">
        <f>IF($A516="","",B516-D516)</f>
        <v/>
      </c>
      <c r="M516" s="71">
        <f>IF($A516="","",J516-K516)</f>
        <v/>
      </c>
      <c r="N516" s="71">
        <f>IF($A516="","",IF(G516="",0,G516))</f>
        <v/>
      </c>
      <c r="O516" s="70">
        <f>IF($A516="","",D516+F516)</f>
        <v/>
      </c>
      <c r="P516" s="71">
        <f>IF($A516="","",K516+N516)</f>
        <v/>
      </c>
      <c r="Q516" s="70">
        <f>IF($A516="","",I516+L516-F516)</f>
        <v/>
      </c>
      <c r="R516" s="72">
        <f>IF($A516="","",IF(H516="",Q516,H516))</f>
        <v/>
      </c>
      <c r="S516" s="73">
        <f>IF($A516="","",R516-Q516)</f>
        <v/>
      </c>
      <c r="T516" s="70">
        <f>IF($A516="","",SUMIFS($B$5:$B$800,$A$5:$A$800,"&gt;="&amp;DATE(YEAR($A516),MONTH($A516),1),$A$5:$A$800,"&lt;="&amp;$A516)+IF(AND(YEAR($A516)=YEAR(Settings!$B$3),MONTH($A516)=MONTH(Settings!$B$3)),Settings!$B$6,0))</f>
        <v/>
      </c>
      <c r="U516" s="71">
        <f>IF($A516="","",SUMIFS($J$5:$J$800,$A$5:$A$800,"&gt;="&amp;DATE(YEAR($A516),MONTH($A516),1),$A$5:$A$800,"&lt;="&amp;$A516)+IF(AND(YEAR($A516)=YEAR(Settings!$B$3),MONTH($A516)=MONTH(Settings!$B$3)),Settings!$B$7,0))</f>
        <v/>
      </c>
      <c r="V516" s="70">
        <f>IF($A516="","",Settings!$B$8+SUM($B$5:B516))</f>
        <v/>
      </c>
      <c r="W516" s="71">
        <f>IF($A516="","",Settings!$B$9+SUM($J$5:J516))</f>
        <v/>
      </c>
      <c r="X516" s="71">
        <f>IF($A516="","",IF(AND(N516&gt;0,F516&gt;0),ROUND(F516/N516,0),X515))</f>
        <v/>
      </c>
      <c r="Y516" s="74">
        <f>IF($A516="","",IF(AND(M516&gt;0,L516&gt;0),ROUND(L516/M516,0),IF(AND(J516&gt;0,B516&gt;0),ROUND(B516/J516,0),Y515)))</f>
        <v/>
      </c>
    </row>
    <row r="517">
      <c r="A517" s="67" t="n"/>
      <c r="B517" s="68" t="n"/>
      <c r="C517" s="69" t="n"/>
      <c r="D517" s="68" t="n"/>
      <c r="E517" s="69" t="n"/>
      <c r="F517" s="68" t="n"/>
      <c r="G517" s="69" t="n"/>
      <c r="H517" s="68" t="n"/>
      <c r="I517" s="70">
        <f>IF($A517="","",R516)</f>
        <v/>
      </c>
      <c r="J517" s="71">
        <f>IF($A517="","",IF(C517="",0,C517))</f>
        <v/>
      </c>
      <c r="K517" s="71">
        <f>IF($A517="","",IF(E517="",0,E517))</f>
        <v/>
      </c>
      <c r="L517" s="70">
        <f>IF($A517="","",B517-D517)</f>
        <v/>
      </c>
      <c r="M517" s="71">
        <f>IF($A517="","",J517-K517)</f>
        <v/>
      </c>
      <c r="N517" s="71">
        <f>IF($A517="","",IF(G517="",0,G517))</f>
        <v/>
      </c>
      <c r="O517" s="70">
        <f>IF($A517="","",D517+F517)</f>
        <v/>
      </c>
      <c r="P517" s="71">
        <f>IF($A517="","",K517+N517)</f>
        <v/>
      </c>
      <c r="Q517" s="70">
        <f>IF($A517="","",I517+L517-F517)</f>
        <v/>
      </c>
      <c r="R517" s="72">
        <f>IF($A517="","",IF(H517="",Q517,H517))</f>
        <v/>
      </c>
      <c r="S517" s="73">
        <f>IF($A517="","",R517-Q517)</f>
        <v/>
      </c>
      <c r="T517" s="70">
        <f>IF($A517="","",SUMIFS($B$5:$B$800,$A$5:$A$800,"&gt;="&amp;DATE(YEAR($A517),MONTH($A517),1),$A$5:$A$800,"&lt;="&amp;$A517)+IF(AND(YEAR($A517)=YEAR(Settings!$B$3),MONTH($A517)=MONTH(Settings!$B$3)),Settings!$B$6,0))</f>
        <v/>
      </c>
      <c r="U517" s="71">
        <f>IF($A517="","",SUMIFS($J$5:$J$800,$A$5:$A$800,"&gt;="&amp;DATE(YEAR($A517),MONTH($A517),1),$A$5:$A$800,"&lt;="&amp;$A517)+IF(AND(YEAR($A517)=YEAR(Settings!$B$3),MONTH($A517)=MONTH(Settings!$B$3)),Settings!$B$7,0))</f>
        <v/>
      </c>
      <c r="V517" s="70">
        <f>IF($A517="","",Settings!$B$8+SUM($B$5:B517))</f>
        <v/>
      </c>
      <c r="W517" s="71">
        <f>IF($A517="","",Settings!$B$9+SUM($J$5:J517))</f>
        <v/>
      </c>
      <c r="X517" s="71">
        <f>IF($A517="","",IF(AND(N517&gt;0,F517&gt;0),ROUND(F517/N517,0),X516))</f>
        <v/>
      </c>
      <c r="Y517" s="74">
        <f>IF($A517="","",IF(AND(M517&gt;0,L517&gt;0),ROUND(L517/M517,0),IF(AND(J517&gt;0,B517&gt;0),ROUND(B517/J517,0),Y516)))</f>
        <v/>
      </c>
    </row>
    <row r="518">
      <c r="A518" s="67" t="n"/>
      <c r="B518" s="68" t="n"/>
      <c r="C518" s="69" t="n"/>
      <c r="D518" s="68" t="n"/>
      <c r="E518" s="69" t="n"/>
      <c r="F518" s="68" t="n"/>
      <c r="G518" s="69" t="n"/>
      <c r="H518" s="68" t="n"/>
      <c r="I518" s="70">
        <f>IF($A518="","",R517)</f>
        <v/>
      </c>
      <c r="J518" s="71">
        <f>IF($A518="","",IF(C518="",0,C518))</f>
        <v/>
      </c>
      <c r="K518" s="71">
        <f>IF($A518="","",IF(E518="",0,E518))</f>
        <v/>
      </c>
      <c r="L518" s="70">
        <f>IF($A518="","",B518-D518)</f>
        <v/>
      </c>
      <c r="M518" s="71">
        <f>IF($A518="","",J518-K518)</f>
        <v/>
      </c>
      <c r="N518" s="71">
        <f>IF($A518="","",IF(G518="",0,G518))</f>
        <v/>
      </c>
      <c r="O518" s="70">
        <f>IF($A518="","",D518+F518)</f>
        <v/>
      </c>
      <c r="P518" s="71">
        <f>IF($A518="","",K518+N518)</f>
        <v/>
      </c>
      <c r="Q518" s="70">
        <f>IF($A518="","",I518+L518-F518)</f>
        <v/>
      </c>
      <c r="R518" s="72">
        <f>IF($A518="","",IF(H518="",Q518,H518))</f>
        <v/>
      </c>
      <c r="S518" s="73">
        <f>IF($A518="","",R518-Q518)</f>
        <v/>
      </c>
      <c r="T518" s="70">
        <f>IF($A518="","",SUMIFS($B$5:$B$800,$A$5:$A$800,"&gt;="&amp;DATE(YEAR($A518),MONTH($A518),1),$A$5:$A$800,"&lt;="&amp;$A518)+IF(AND(YEAR($A518)=YEAR(Settings!$B$3),MONTH($A518)=MONTH(Settings!$B$3)),Settings!$B$6,0))</f>
        <v/>
      </c>
      <c r="U518" s="71">
        <f>IF($A518="","",SUMIFS($J$5:$J$800,$A$5:$A$800,"&gt;="&amp;DATE(YEAR($A518),MONTH($A518),1),$A$5:$A$800,"&lt;="&amp;$A518)+IF(AND(YEAR($A518)=YEAR(Settings!$B$3),MONTH($A518)=MONTH(Settings!$B$3)),Settings!$B$7,0))</f>
        <v/>
      </c>
      <c r="V518" s="70">
        <f>IF($A518="","",Settings!$B$8+SUM($B$5:B518))</f>
        <v/>
      </c>
      <c r="W518" s="71">
        <f>IF($A518="","",Settings!$B$9+SUM($J$5:J518))</f>
        <v/>
      </c>
      <c r="X518" s="71">
        <f>IF($A518="","",IF(AND(N518&gt;0,F518&gt;0),ROUND(F518/N518,0),X517))</f>
        <v/>
      </c>
      <c r="Y518" s="74">
        <f>IF($A518="","",IF(AND(M518&gt;0,L518&gt;0),ROUND(L518/M518,0),IF(AND(J518&gt;0,B518&gt;0),ROUND(B518/J518,0),Y517)))</f>
        <v/>
      </c>
    </row>
    <row r="519">
      <c r="A519" s="67" t="n"/>
      <c r="B519" s="68" t="n"/>
      <c r="C519" s="69" t="n"/>
      <c r="D519" s="68" t="n"/>
      <c r="E519" s="69" t="n"/>
      <c r="F519" s="68" t="n"/>
      <c r="G519" s="69" t="n"/>
      <c r="H519" s="68" t="n"/>
      <c r="I519" s="70">
        <f>IF($A519="","",R518)</f>
        <v/>
      </c>
      <c r="J519" s="71">
        <f>IF($A519="","",IF(C519="",0,C519))</f>
        <v/>
      </c>
      <c r="K519" s="71">
        <f>IF($A519="","",IF(E519="",0,E519))</f>
        <v/>
      </c>
      <c r="L519" s="70">
        <f>IF($A519="","",B519-D519)</f>
        <v/>
      </c>
      <c r="M519" s="71">
        <f>IF($A519="","",J519-K519)</f>
        <v/>
      </c>
      <c r="N519" s="71">
        <f>IF($A519="","",IF(G519="",0,G519))</f>
        <v/>
      </c>
      <c r="O519" s="70">
        <f>IF($A519="","",D519+F519)</f>
        <v/>
      </c>
      <c r="P519" s="71">
        <f>IF($A519="","",K519+N519)</f>
        <v/>
      </c>
      <c r="Q519" s="70">
        <f>IF($A519="","",I519+L519-F519)</f>
        <v/>
      </c>
      <c r="R519" s="72">
        <f>IF($A519="","",IF(H519="",Q519,H519))</f>
        <v/>
      </c>
      <c r="S519" s="73">
        <f>IF($A519="","",R519-Q519)</f>
        <v/>
      </c>
      <c r="T519" s="70">
        <f>IF($A519="","",SUMIFS($B$5:$B$800,$A$5:$A$800,"&gt;="&amp;DATE(YEAR($A519),MONTH($A519),1),$A$5:$A$800,"&lt;="&amp;$A519)+IF(AND(YEAR($A519)=YEAR(Settings!$B$3),MONTH($A519)=MONTH(Settings!$B$3)),Settings!$B$6,0))</f>
        <v/>
      </c>
      <c r="U519" s="71">
        <f>IF($A519="","",SUMIFS($J$5:$J$800,$A$5:$A$800,"&gt;="&amp;DATE(YEAR($A519),MONTH($A519),1),$A$5:$A$800,"&lt;="&amp;$A519)+IF(AND(YEAR($A519)=YEAR(Settings!$B$3),MONTH($A519)=MONTH(Settings!$B$3)),Settings!$B$7,0))</f>
        <v/>
      </c>
      <c r="V519" s="70">
        <f>IF($A519="","",Settings!$B$8+SUM($B$5:B519))</f>
        <v/>
      </c>
      <c r="W519" s="71">
        <f>IF($A519="","",Settings!$B$9+SUM($J$5:J519))</f>
        <v/>
      </c>
      <c r="X519" s="71">
        <f>IF($A519="","",IF(AND(N519&gt;0,F519&gt;0),ROUND(F519/N519,0),X518))</f>
        <v/>
      </c>
      <c r="Y519" s="74">
        <f>IF($A519="","",IF(AND(M519&gt;0,L519&gt;0),ROUND(L519/M519,0),IF(AND(J519&gt;0,B519&gt;0),ROUND(B519/J519,0),Y518)))</f>
        <v/>
      </c>
    </row>
    <row r="520">
      <c r="A520" s="67" t="n"/>
      <c r="B520" s="68" t="n"/>
      <c r="C520" s="69" t="n"/>
      <c r="D520" s="68" t="n"/>
      <c r="E520" s="69" t="n"/>
      <c r="F520" s="68" t="n"/>
      <c r="G520" s="69" t="n"/>
      <c r="H520" s="68" t="n"/>
      <c r="I520" s="70">
        <f>IF($A520="","",R519)</f>
        <v/>
      </c>
      <c r="J520" s="71">
        <f>IF($A520="","",IF(C520="",0,C520))</f>
        <v/>
      </c>
      <c r="K520" s="71">
        <f>IF($A520="","",IF(E520="",0,E520))</f>
        <v/>
      </c>
      <c r="L520" s="70">
        <f>IF($A520="","",B520-D520)</f>
        <v/>
      </c>
      <c r="M520" s="71">
        <f>IF($A520="","",J520-K520)</f>
        <v/>
      </c>
      <c r="N520" s="71">
        <f>IF($A520="","",IF(G520="",0,G520))</f>
        <v/>
      </c>
      <c r="O520" s="70">
        <f>IF($A520="","",D520+F520)</f>
        <v/>
      </c>
      <c r="P520" s="71">
        <f>IF($A520="","",K520+N520)</f>
        <v/>
      </c>
      <c r="Q520" s="70">
        <f>IF($A520="","",I520+L520-F520)</f>
        <v/>
      </c>
      <c r="R520" s="72">
        <f>IF($A520="","",IF(H520="",Q520,H520))</f>
        <v/>
      </c>
      <c r="S520" s="73">
        <f>IF($A520="","",R520-Q520)</f>
        <v/>
      </c>
      <c r="T520" s="70">
        <f>IF($A520="","",SUMIFS($B$5:$B$800,$A$5:$A$800,"&gt;="&amp;DATE(YEAR($A520),MONTH($A520),1),$A$5:$A$800,"&lt;="&amp;$A520)+IF(AND(YEAR($A520)=YEAR(Settings!$B$3),MONTH($A520)=MONTH(Settings!$B$3)),Settings!$B$6,0))</f>
        <v/>
      </c>
      <c r="U520" s="71">
        <f>IF($A520="","",SUMIFS($J$5:$J$800,$A$5:$A$800,"&gt;="&amp;DATE(YEAR($A520),MONTH($A520),1),$A$5:$A$800,"&lt;="&amp;$A520)+IF(AND(YEAR($A520)=YEAR(Settings!$B$3),MONTH($A520)=MONTH(Settings!$B$3)),Settings!$B$7,0))</f>
        <v/>
      </c>
      <c r="V520" s="70">
        <f>IF($A520="","",Settings!$B$8+SUM($B$5:B520))</f>
        <v/>
      </c>
      <c r="W520" s="71">
        <f>IF($A520="","",Settings!$B$9+SUM($J$5:J520))</f>
        <v/>
      </c>
      <c r="X520" s="71">
        <f>IF($A520="","",IF(AND(N520&gt;0,F520&gt;0),ROUND(F520/N520,0),X519))</f>
        <v/>
      </c>
      <c r="Y520" s="74">
        <f>IF($A520="","",IF(AND(M520&gt;0,L520&gt;0),ROUND(L520/M520,0),IF(AND(J520&gt;0,B520&gt;0),ROUND(B520/J520,0),Y519)))</f>
        <v/>
      </c>
    </row>
    <row r="521">
      <c r="A521" s="67" t="n"/>
      <c r="B521" s="68" t="n"/>
      <c r="C521" s="69" t="n"/>
      <c r="D521" s="68" t="n"/>
      <c r="E521" s="69" t="n"/>
      <c r="F521" s="68" t="n"/>
      <c r="G521" s="69" t="n"/>
      <c r="H521" s="68" t="n"/>
      <c r="I521" s="70">
        <f>IF($A521="","",R520)</f>
        <v/>
      </c>
      <c r="J521" s="71">
        <f>IF($A521="","",IF(C521="",0,C521))</f>
        <v/>
      </c>
      <c r="K521" s="71">
        <f>IF($A521="","",IF(E521="",0,E521))</f>
        <v/>
      </c>
      <c r="L521" s="70">
        <f>IF($A521="","",B521-D521)</f>
        <v/>
      </c>
      <c r="M521" s="71">
        <f>IF($A521="","",J521-K521)</f>
        <v/>
      </c>
      <c r="N521" s="71">
        <f>IF($A521="","",IF(G521="",0,G521))</f>
        <v/>
      </c>
      <c r="O521" s="70">
        <f>IF($A521="","",D521+F521)</f>
        <v/>
      </c>
      <c r="P521" s="71">
        <f>IF($A521="","",K521+N521)</f>
        <v/>
      </c>
      <c r="Q521" s="70">
        <f>IF($A521="","",I521+L521-F521)</f>
        <v/>
      </c>
      <c r="R521" s="72">
        <f>IF($A521="","",IF(H521="",Q521,H521))</f>
        <v/>
      </c>
      <c r="S521" s="73">
        <f>IF($A521="","",R521-Q521)</f>
        <v/>
      </c>
      <c r="T521" s="70">
        <f>IF($A521="","",SUMIFS($B$5:$B$800,$A$5:$A$800,"&gt;="&amp;DATE(YEAR($A521),MONTH($A521),1),$A$5:$A$800,"&lt;="&amp;$A521)+IF(AND(YEAR($A521)=YEAR(Settings!$B$3),MONTH($A521)=MONTH(Settings!$B$3)),Settings!$B$6,0))</f>
        <v/>
      </c>
      <c r="U521" s="71">
        <f>IF($A521="","",SUMIFS($J$5:$J$800,$A$5:$A$800,"&gt;="&amp;DATE(YEAR($A521),MONTH($A521),1),$A$5:$A$800,"&lt;="&amp;$A521)+IF(AND(YEAR($A521)=YEAR(Settings!$B$3),MONTH($A521)=MONTH(Settings!$B$3)),Settings!$B$7,0))</f>
        <v/>
      </c>
      <c r="V521" s="70">
        <f>IF($A521="","",Settings!$B$8+SUM($B$5:B521))</f>
        <v/>
      </c>
      <c r="W521" s="71">
        <f>IF($A521="","",Settings!$B$9+SUM($J$5:J521))</f>
        <v/>
      </c>
      <c r="X521" s="71">
        <f>IF($A521="","",IF(AND(N521&gt;0,F521&gt;0),ROUND(F521/N521,0),X520))</f>
        <v/>
      </c>
      <c r="Y521" s="74">
        <f>IF($A521="","",IF(AND(M521&gt;0,L521&gt;0),ROUND(L521/M521,0),IF(AND(J521&gt;0,B521&gt;0),ROUND(B521/J521,0),Y520)))</f>
        <v/>
      </c>
    </row>
    <row r="522">
      <c r="A522" s="67" t="n"/>
      <c r="B522" s="68" t="n"/>
      <c r="C522" s="69" t="n"/>
      <c r="D522" s="68" t="n"/>
      <c r="E522" s="69" t="n"/>
      <c r="F522" s="68" t="n"/>
      <c r="G522" s="69" t="n"/>
      <c r="H522" s="68" t="n"/>
      <c r="I522" s="70">
        <f>IF($A522="","",R521)</f>
        <v/>
      </c>
      <c r="J522" s="71">
        <f>IF($A522="","",IF(C522="",0,C522))</f>
        <v/>
      </c>
      <c r="K522" s="71">
        <f>IF($A522="","",IF(E522="",0,E522))</f>
        <v/>
      </c>
      <c r="L522" s="70">
        <f>IF($A522="","",B522-D522)</f>
        <v/>
      </c>
      <c r="M522" s="71">
        <f>IF($A522="","",J522-K522)</f>
        <v/>
      </c>
      <c r="N522" s="71">
        <f>IF($A522="","",IF(G522="",0,G522))</f>
        <v/>
      </c>
      <c r="O522" s="70">
        <f>IF($A522="","",D522+F522)</f>
        <v/>
      </c>
      <c r="P522" s="71">
        <f>IF($A522="","",K522+N522)</f>
        <v/>
      </c>
      <c r="Q522" s="70">
        <f>IF($A522="","",I522+L522-F522)</f>
        <v/>
      </c>
      <c r="R522" s="72">
        <f>IF($A522="","",IF(H522="",Q522,H522))</f>
        <v/>
      </c>
      <c r="S522" s="73">
        <f>IF($A522="","",R522-Q522)</f>
        <v/>
      </c>
      <c r="T522" s="70">
        <f>IF($A522="","",SUMIFS($B$5:$B$800,$A$5:$A$800,"&gt;="&amp;DATE(YEAR($A522),MONTH($A522),1),$A$5:$A$800,"&lt;="&amp;$A522)+IF(AND(YEAR($A522)=YEAR(Settings!$B$3),MONTH($A522)=MONTH(Settings!$B$3)),Settings!$B$6,0))</f>
        <v/>
      </c>
      <c r="U522" s="71">
        <f>IF($A522="","",SUMIFS($J$5:$J$800,$A$5:$A$800,"&gt;="&amp;DATE(YEAR($A522),MONTH($A522),1),$A$5:$A$800,"&lt;="&amp;$A522)+IF(AND(YEAR($A522)=YEAR(Settings!$B$3),MONTH($A522)=MONTH(Settings!$B$3)),Settings!$B$7,0))</f>
        <v/>
      </c>
      <c r="V522" s="70">
        <f>IF($A522="","",Settings!$B$8+SUM($B$5:B522))</f>
        <v/>
      </c>
      <c r="W522" s="71">
        <f>IF($A522="","",Settings!$B$9+SUM($J$5:J522))</f>
        <v/>
      </c>
      <c r="X522" s="71">
        <f>IF($A522="","",IF(AND(N522&gt;0,F522&gt;0),ROUND(F522/N522,0),X521))</f>
        <v/>
      </c>
      <c r="Y522" s="74">
        <f>IF($A522="","",IF(AND(M522&gt;0,L522&gt;0),ROUND(L522/M522,0),IF(AND(J522&gt;0,B522&gt;0),ROUND(B522/J522,0),Y521)))</f>
        <v/>
      </c>
    </row>
    <row r="523">
      <c r="A523" s="67" t="n"/>
      <c r="B523" s="68" t="n"/>
      <c r="C523" s="69" t="n"/>
      <c r="D523" s="68" t="n"/>
      <c r="E523" s="69" t="n"/>
      <c r="F523" s="68" t="n"/>
      <c r="G523" s="69" t="n"/>
      <c r="H523" s="68" t="n"/>
      <c r="I523" s="70">
        <f>IF($A523="","",R522)</f>
        <v/>
      </c>
      <c r="J523" s="71">
        <f>IF($A523="","",IF(C523="",0,C523))</f>
        <v/>
      </c>
      <c r="K523" s="71">
        <f>IF($A523="","",IF(E523="",0,E523))</f>
        <v/>
      </c>
      <c r="L523" s="70">
        <f>IF($A523="","",B523-D523)</f>
        <v/>
      </c>
      <c r="M523" s="71">
        <f>IF($A523="","",J523-K523)</f>
        <v/>
      </c>
      <c r="N523" s="71">
        <f>IF($A523="","",IF(G523="",0,G523))</f>
        <v/>
      </c>
      <c r="O523" s="70">
        <f>IF($A523="","",D523+F523)</f>
        <v/>
      </c>
      <c r="P523" s="71">
        <f>IF($A523="","",K523+N523)</f>
        <v/>
      </c>
      <c r="Q523" s="70">
        <f>IF($A523="","",I523+L523-F523)</f>
        <v/>
      </c>
      <c r="R523" s="72">
        <f>IF($A523="","",IF(H523="",Q523,H523))</f>
        <v/>
      </c>
      <c r="S523" s="73">
        <f>IF($A523="","",R523-Q523)</f>
        <v/>
      </c>
      <c r="T523" s="70">
        <f>IF($A523="","",SUMIFS($B$5:$B$800,$A$5:$A$800,"&gt;="&amp;DATE(YEAR($A523),MONTH($A523),1),$A$5:$A$800,"&lt;="&amp;$A523)+IF(AND(YEAR($A523)=YEAR(Settings!$B$3),MONTH($A523)=MONTH(Settings!$B$3)),Settings!$B$6,0))</f>
        <v/>
      </c>
      <c r="U523" s="71">
        <f>IF($A523="","",SUMIFS($J$5:$J$800,$A$5:$A$800,"&gt;="&amp;DATE(YEAR($A523),MONTH($A523),1),$A$5:$A$800,"&lt;="&amp;$A523)+IF(AND(YEAR($A523)=YEAR(Settings!$B$3),MONTH($A523)=MONTH(Settings!$B$3)),Settings!$B$7,0))</f>
        <v/>
      </c>
      <c r="V523" s="70">
        <f>IF($A523="","",Settings!$B$8+SUM($B$5:B523))</f>
        <v/>
      </c>
      <c r="W523" s="71">
        <f>IF($A523="","",Settings!$B$9+SUM($J$5:J523))</f>
        <v/>
      </c>
      <c r="X523" s="71">
        <f>IF($A523="","",IF(AND(N523&gt;0,F523&gt;0),ROUND(F523/N523,0),X522))</f>
        <v/>
      </c>
      <c r="Y523" s="74">
        <f>IF($A523="","",IF(AND(M523&gt;0,L523&gt;0),ROUND(L523/M523,0),IF(AND(J523&gt;0,B523&gt;0),ROUND(B523/J523,0),Y522)))</f>
        <v/>
      </c>
    </row>
    <row r="524">
      <c r="A524" s="67" t="n"/>
      <c r="B524" s="68" t="n"/>
      <c r="C524" s="69" t="n"/>
      <c r="D524" s="68" t="n"/>
      <c r="E524" s="69" t="n"/>
      <c r="F524" s="68" t="n"/>
      <c r="G524" s="69" t="n"/>
      <c r="H524" s="68" t="n"/>
      <c r="I524" s="70">
        <f>IF($A524="","",R523)</f>
        <v/>
      </c>
      <c r="J524" s="71">
        <f>IF($A524="","",IF(C524="",0,C524))</f>
        <v/>
      </c>
      <c r="K524" s="71">
        <f>IF($A524="","",IF(E524="",0,E524))</f>
        <v/>
      </c>
      <c r="L524" s="70">
        <f>IF($A524="","",B524-D524)</f>
        <v/>
      </c>
      <c r="M524" s="71">
        <f>IF($A524="","",J524-K524)</f>
        <v/>
      </c>
      <c r="N524" s="71">
        <f>IF($A524="","",IF(G524="",0,G524))</f>
        <v/>
      </c>
      <c r="O524" s="70">
        <f>IF($A524="","",D524+F524)</f>
        <v/>
      </c>
      <c r="P524" s="71">
        <f>IF($A524="","",K524+N524)</f>
        <v/>
      </c>
      <c r="Q524" s="70">
        <f>IF($A524="","",I524+L524-F524)</f>
        <v/>
      </c>
      <c r="R524" s="72">
        <f>IF($A524="","",IF(H524="",Q524,H524))</f>
        <v/>
      </c>
      <c r="S524" s="73">
        <f>IF($A524="","",R524-Q524)</f>
        <v/>
      </c>
      <c r="T524" s="70">
        <f>IF($A524="","",SUMIFS($B$5:$B$800,$A$5:$A$800,"&gt;="&amp;DATE(YEAR($A524),MONTH($A524),1),$A$5:$A$800,"&lt;="&amp;$A524)+IF(AND(YEAR($A524)=YEAR(Settings!$B$3),MONTH($A524)=MONTH(Settings!$B$3)),Settings!$B$6,0))</f>
        <v/>
      </c>
      <c r="U524" s="71">
        <f>IF($A524="","",SUMIFS($J$5:$J$800,$A$5:$A$800,"&gt;="&amp;DATE(YEAR($A524),MONTH($A524),1),$A$5:$A$800,"&lt;="&amp;$A524)+IF(AND(YEAR($A524)=YEAR(Settings!$B$3),MONTH($A524)=MONTH(Settings!$B$3)),Settings!$B$7,0))</f>
        <v/>
      </c>
      <c r="V524" s="70">
        <f>IF($A524="","",Settings!$B$8+SUM($B$5:B524))</f>
        <v/>
      </c>
      <c r="W524" s="71">
        <f>IF($A524="","",Settings!$B$9+SUM($J$5:J524))</f>
        <v/>
      </c>
      <c r="X524" s="71">
        <f>IF($A524="","",IF(AND(N524&gt;0,F524&gt;0),ROUND(F524/N524,0),X523))</f>
        <v/>
      </c>
      <c r="Y524" s="74">
        <f>IF($A524="","",IF(AND(M524&gt;0,L524&gt;0),ROUND(L524/M524,0),IF(AND(J524&gt;0,B524&gt;0),ROUND(B524/J524,0),Y523)))</f>
        <v/>
      </c>
    </row>
    <row r="525">
      <c r="A525" s="67" t="n"/>
      <c r="B525" s="68" t="n"/>
      <c r="C525" s="69" t="n"/>
      <c r="D525" s="68" t="n"/>
      <c r="E525" s="69" t="n"/>
      <c r="F525" s="68" t="n"/>
      <c r="G525" s="69" t="n"/>
      <c r="H525" s="68" t="n"/>
      <c r="I525" s="70">
        <f>IF($A525="","",R524)</f>
        <v/>
      </c>
      <c r="J525" s="71">
        <f>IF($A525="","",IF(C525="",0,C525))</f>
        <v/>
      </c>
      <c r="K525" s="71">
        <f>IF($A525="","",IF(E525="",0,E525))</f>
        <v/>
      </c>
      <c r="L525" s="70">
        <f>IF($A525="","",B525-D525)</f>
        <v/>
      </c>
      <c r="M525" s="71">
        <f>IF($A525="","",J525-K525)</f>
        <v/>
      </c>
      <c r="N525" s="71">
        <f>IF($A525="","",IF(G525="",0,G525))</f>
        <v/>
      </c>
      <c r="O525" s="70">
        <f>IF($A525="","",D525+F525)</f>
        <v/>
      </c>
      <c r="P525" s="71">
        <f>IF($A525="","",K525+N525)</f>
        <v/>
      </c>
      <c r="Q525" s="70">
        <f>IF($A525="","",I525+L525-F525)</f>
        <v/>
      </c>
      <c r="R525" s="72">
        <f>IF($A525="","",IF(H525="",Q525,H525))</f>
        <v/>
      </c>
      <c r="S525" s="73">
        <f>IF($A525="","",R525-Q525)</f>
        <v/>
      </c>
      <c r="T525" s="70">
        <f>IF($A525="","",SUMIFS($B$5:$B$800,$A$5:$A$800,"&gt;="&amp;DATE(YEAR($A525),MONTH($A525),1),$A$5:$A$800,"&lt;="&amp;$A525)+IF(AND(YEAR($A525)=YEAR(Settings!$B$3),MONTH($A525)=MONTH(Settings!$B$3)),Settings!$B$6,0))</f>
        <v/>
      </c>
      <c r="U525" s="71">
        <f>IF($A525="","",SUMIFS($J$5:$J$800,$A$5:$A$800,"&gt;="&amp;DATE(YEAR($A525),MONTH($A525),1),$A$5:$A$800,"&lt;="&amp;$A525)+IF(AND(YEAR($A525)=YEAR(Settings!$B$3),MONTH($A525)=MONTH(Settings!$B$3)),Settings!$B$7,0))</f>
        <v/>
      </c>
      <c r="V525" s="70">
        <f>IF($A525="","",Settings!$B$8+SUM($B$5:B525))</f>
        <v/>
      </c>
      <c r="W525" s="71">
        <f>IF($A525="","",Settings!$B$9+SUM($J$5:J525))</f>
        <v/>
      </c>
      <c r="X525" s="71">
        <f>IF($A525="","",IF(AND(N525&gt;0,F525&gt;0),ROUND(F525/N525,0),X524))</f>
        <v/>
      </c>
      <c r="Y525" s="74">
        <f>IF($A525="","",IF(AND(M525&gt;0,L525&gt;0),ROUND(L525/M525,0),IF(AND(J525&gt;0,B525&gt;0),ROUND(B525/J525,0),Y524)))</f>
        <v/>
      </c>
    </row>
    <row r="526">
      <c r="A526" s="67" t="n"/>
      <c r="B526" s="68" t="n"/>
      <c r="C526" s="69" t="n"/>
      <c r="D526" s="68" t="n"/>
      <c r="E526" s="69" t="n"/>
      <c r="F526" s="68" t="n"/>
      <c r="G526" s="69" t="n"/>
      <c r="H526" s="68" t="n"/>
      <c r="I526" s="70">
        <f>IF($A526="","",R525)</f>
        <v/>
      </c>
      <c r="J526" s="71">
        <f>IF($A526="","",IF(C526="",0,C526))</f>
        <v/>
      </c>
      <c r="K526" s="71">
        <f>IF($A526="","",IF(E526="",0,E526))</f>
        <v/>
      </c>
      <c r="L526" s="70">
        <f>IF($A526="","",B526-D526)</f>
        <v/>
      </c>
      <c r="M526" s="71">
        <f>IF($A526="","",J526-K526)</f>
        <v/>
      </c>
      <c r="N526" s="71">
        <f>IF($A526="","",IF(G526="",0,G526))</f>
        <v/>
      </c>
      <c r="O526" s="70">
        <f>IF($A526="","",D526+F526)</f>
        <v/>
      </c>
      <c r="P526" s="71">
        <f>IF($A526="","",K526+N526)</f>
        <v/>
      </c>
      <c r="Q526" s="70">
        <f>IF($A526="","",I526+L526-F526)</f>
        <v/>
      </c>
      <c r="R526" s="72">
        <f>IF($A526="","",IF(H526="",Q526,H526))</f>
        <v/>
      </c>
      <c r="S526" s="73">
        <f>IF($A526="","",R526-Q526)</f>
        <v/>
      </c>
      <c r="T526" s="70">
        <f>IF($A526="","",SUMIFS($B$5:$B$800,$A$5:$A$800,"&gt;="&amp;DATE(YEAR($A526),MONTH($A526),1),$A$5:$A$800,"&lt;="&amp;$A526)+IF(AND(YEAR($A526)=YEAR(Settings!$B$3),MONTH($A526)=MONTH(Settings!$B$3)),Settings!$B$6,0))</f>
        <v/>
      </c>
      <c r="U526" s="71">
        <f>IF($A526="","",SUMIFS($J$5:$J$800,$A$5:$A$800,"&gt;="&amp;DATE(YEAR($A526),MONTH($A526),1),$A$5:$A$800,"&lt;="&amp;$A526)+IF(AND(YEAR($A526)=YEAR(Settings!$B$3),MONTH($A526)=MONTH(Settings!$B$3)),Settings!$B$7,0))</f>
        <v/>
      </c>
      <c r="V526" s="70">
        <f>IF($A526="","",Settings!$B$8+SUM($B$5:B526))</f>
        <v/>
      </c>
      <c r="W526" s="71">
        <f>IF($A526="","",Settings!$B$9+SUM($J$5:J526))</f>
        <v/>
      </c>
      <c r="X526" s="71">
        <f>IF($A526="","",IF(AND(N526&gt;0,F526&gt;0),ROUND(F526/N526,0),X525))</f>
        <v/>
      </c>
      <c r="Y526" s="74">
        <f>IF($A526="","",IF(AND(M526&gt;0,L526&gt;0),ROUND(L526/M526,0),IF(AND(J526&gt;0,B526&gt;0),ROUND(B526/J526,0),Y525)))</f>
        <v/>
      </c>
    </row>
    <row r="527">
      <c r="A527" s="67" t="n"/>
      <c r="B527" s="68" t="n"/>
      <c r="C527" s="69" t="n"/>
      <c r="D527" s="68" t="n"/>
      <c r="E527" s="69" t="n"/>
      <c r="F527" s="68" t="n"/>
      <c r="G527" s="69" t="n"/>
      <c r="H527" s="68" t="n"/>
      <c r="I527" s="70">
        <f>IF($A527="","",R526)</f>
        <v/>
      </c>
      <c r="J527" s="71">
        <f>IF($A527="","",IF(C527="",0,C527))</f>
        <v/>
      </c>
      <c r="K527" s="71">
        <f>IF($A527="","",IF(E527="",0,E527))</f>
        <v/>
      </c>
      <c r="L527" s="70">
        <f>IF($A527="","",B527-D527)</f>
        <v/>
      </c>
      <c r="M527" s="71">
        <f>IF($A527="","",J527-K527)</f>
        <v/>
      </c>
      <c r="N527" s="71">
        <f>IF($A527="","",IF(G527="",0,G527))</f>
        <v/>
      </c>
      <c r="O527" s="70">
        <f>IF($A527="","",D527+F527)</f>
        <v/>
      </c>
      <c r="P527" s="71">
        <f>IF($A527="","",K527+N527)</f>
        <v/>
      </c>
      <c r="Q527" s="70">
        <f>IF($A527="","",I527+L527-F527)</f>
        <v/>
      </c>
      <c r="R527" s="72">
        <f>IF($A527="","",IF(H527="",Q527,H527))</f>
        <v/>
      </c>
      <c r="S527" s="73">
        <f>IF($A527="","",R527-Q527)</f>
        <v/>
      </c>
      <c r="T527" s="70">
        <f>IF($A527="","",SUMIFS($B$5:$B$800,$A$5:$A$800,"&gt;="&amp;DATE(YEAR($A527),MONTH($A527),1),$A$5:$A$800,"&lt;="&amp;$A527)+IF(AND(YEAR($A527)=YEAR(Settings!$B$3),MONTH($A527)=MONTH(Settings!$B$3)),Settings!$B$6,0))</f>
        <v/>
      </c>
      <c r="U527" s="71">
        <f>IF($A527="","",SUMIFS($J$5:$J$800,$A$5:$A$800,"&gt;="&amp;DATE(YEAR($A527),MONTH($A527),1),$A$5:$A$800,"&lt;="&amp;$A527)+IF(AND(YEAR($A527)=YEAR(Settings!$B$3),MONTH($A527)=MONTH(Settings!$B$3)),Settings!$B$7,0))</f>
        <v/>
      </c>
      <c r="V527" s="70">
        <f>IF($A527="","",Settings!$B$8+SUM($B$5:B527))</f>
        <v/>
      </c>
      <c r="W527" s="71">
        <f>IF($A527="","",Settings!$B$9+SUM($J$5:J527))</f>
        <v/>
      </c>
      <c r="X527" s="71">
        <f>IF($A527="","",IF(AND(N527&gt;0,F527&gt;0),ROUND(F527/N527,0),X526))</f>
        <v/>
      </c>
      <c r="Y527" s="74">
        <f>IF($A527="","",IF(AND(M527&gt;0,L527&gt;0),ROUND(L527/M527,0),IF(AND(J527&gt;0,B527&gt;0),ROUND(B527/J527,0),Y526)))</f>
        <v/>
      </c>
    </row>
    <row r="528">
      <c r="A528" s="67" t="n"/>
      <c r="B528" s="68" t="n"/>
      <c r="C528" s="69" t="n"/>
      <c r="D528" s="68" t="n"/>
      <c r="E528" s="69" t="n"/>
      <c r="F528" s="68" t="n"/>
      <c r="G528" s="69" t="n"/>
      <c r="H528" s="68" t="n"/>
      <c r="I528" s="70">
        <f>IF($A528="","",R527)</f>
        <v/>
      </c>
      <c r="J528" s="71">
        <f>IF($A528="","",IF(C528="",0,C528))</f>
        <v/>
      </c>
      <c r="K528" s="71">
        <f>IF($A528="","",IF(E528="",0,E528))</f>
        <v/>
      </c>
      <c r="L528" s="70">
        <f>IF($A528="","",B528-D528)</f>
        <v/>
      </c>
      <c r="M528" s="71">
        <f>IF($A528="","",J528-K528)</f>
        <v/>
      </c>
      <c r="N528" s="71">
        <f>IF($A528="","",IF(G528="",0,G528))</f>
        <v/>
      </c>
      <c r="O528" s="70">
        <f>IF($A528="","",D528+F528)</f>
        <v/>
      </c>
      <c r="P528" s="71">
        <f>IF($A528="","",K528+N528)</f>
        <v/>
      </c>
      <c r="Q528" s="70">
        <f>IF($A528="","",I528+L528-F528)</f>
        <v/>
      </c>
      <c r="R528" s="72">
        <f>IF($A528="","",IF(H528="",Q528,H528))</f>
        <v/>
      </c>
      <c r="S528" s="73">
        <f>IF($A528="","",R528-Q528)</f>
        <v/>
      </c>
      <c r="T528" s="70">
        <f>IF($A528="","",SUMIFS($B$5:$B$800,$A$5:$A$800,"&gt;="&amp;DATE(YEAR($A528),MONTH($A528),1),$A$5:$A$800,"&lt;="&amp;$A528)+IF(AND(YEAR($A528)=YEAR(Settings!$B$3),MONTH($A528)=MONTH(Settings!$B$3)),Settings!$B$6,0))</f>
        <v/>
      </c>
      <c r="U528" s="71">
        <f>IF($A528="","",SUMIFS($J$5:$J$800,$A$5:$A$800,"&gt;="&amp;DATE(YEAR($A528),MONTH($A528),1),$A$5:$A$800,"&lt;="&amp;$A528)+IF(AND(YEAR($A528)=YEAR(Settings!$B$3),MONTH($A528)=MONTH(Settings!$B$3)),Settings!$B$7,0))</f>
        <v/>
      </c>
      <c r="V528" s="70">
        <f>IF($A528="","",Settings!$B$8+SUM($B$5:B528))</f>
        <v/>
      </c>
      <c r="W528" s="71">
        <f>IF($A528="","",Settings!$B$9+SUM($J$5:J528))</f>
        <v/>
      </c>
      <c r="X528" s="71">
        <f>IF($A528="","",IF(AND(N528&gt;0,F528&gt;0),ROUND(F528/N528,0),X527))</f>
        <v/>
      </c>
      <c r="Y528" s="74">
        <f>IF($A528="","",IF(AND(M528&gt;0,L528&gt;0),ROUND(L528/M528,0),IF(AND(J528&gt;0,B528&gt;0),ROUND(B528/J528,0),Y527)))</f>
        <v/>
      </c>
    </row>
    <row r="529">
      <c r="A529" s="67" t="n"/>
      <c r="B529" s="68" t="n"/>
      <c r="C529" s="69" t="n"/>
      <c r="D529" s="68" t="n"/>
      <c r="E529" s="69" t="n"/>
      <c r="F529" s="68" t="n"/>
      <c r="G529" s="69" t="n"/>
      <c r="H529" s="68" t="n"/>
      <c r="I529" s="70">
        <f>IF($A529="","",R528)</f>
        <v/>
      </c>
      <c r="J529" s="71">
        <f>IF($A529="","",IF(C529="",0,C529))</f>
        <v/>
      </c>
      <c r="K529" s="71">
        <f>IF($A529="","",IF(E529="",0,E529))</f>
        <v/>
      </c>
      <c r="L529" s="70">
        <f>IF($A529="","",B529-D529)</f>
        <v/>
      </c>
      <c r="M529" s="71">
        <f>IF($A529="","",J529-K529)</f>
        <v/>
      </c>
      <c r="N529" s="71">
        <f>IF($A529="","",IF(G529="",0,G529))</f>
        <v/>
      </c>
      <c r="O529" s="70">
        <f>IF($A529="","",D529+F529)</f>
        <v/>
      </c>
      <c r="P529" s="71">
        <f>IF($A529="","",K529+N529)</f>
        <v/>
      </c>
      <c r="Q529" s="70">
        <f>IF($A529="","",I529+L529-F529)</f>
        <v/>
      </c>
      <c r="R529" s="72">
        <f>IF($A529="","",IF(H529="",Q529,H529))</f>
        <v/>
      </c>
      <c r="S529" s="73">
        <f>IF($A529="","",R529-Q529)</f>
        <v/>
      </c>
      <c r="T529" s="70">
        <f>IF($A529="","",SUMIFS($B$5:$B$800,$A$5:$A$800,"&gt;="&amp;DATE(YEAR($A529),MONTH($A529),1),$A$5:$A$800,"&lt;="&amp;$A529)+IF(AND(YEAR($A529)=YEAR(Settings!$B$3),MONTH($A529)=MONTH(Settings!$B$3)),Settings!$B$6,0))</f>
        <v/>
      </c>
      <c r="U529" s="71">
        <f>IF($A529="","",SUMIFS($J$5:$J$800,$A$5:$A$800,"&gt;="&amp;DATE(YEAR($A529),MONTH($A529),1),$A$5:$A$800,"&lt;="&amp;$A529)+IF(AND(YEAR($A529)=YEAR(Settings!$B$3),MONTH($A529)=MONTH(Settings!$B$3)),Settings!$B$7,0))</f>
        <v/>
      </c>
      <c r="V529" s="70">
        <f>IF($A529="","",Settings!$B$8+SUM($B$5:B529))</f>
        <v/>
      </c>
      <c r="W529" s="71">
        <f>IF($A529="","",Settings!$B$9+SUM($J$5:J529))</f>
        <v/>
      </c>
      <c r="X529" s="71">
        <f>IF($A529="","",IF(AND(N529&gt;0,F529&gt;0),ROUND(F529/N529,0),X528))</f>
        <v/>
      </c>
      <c r="Y529" s="74">
        <f>IF($A529="","",IF(AND(M529&gt;0,L529&gt;0),ROUND(L529/M529,0),IF(AND(J529&gt;0,B529&gt;0),ROUND(B529/J529,0),Y528)))</f>
        <v/>
      </c>
    </row>
    <row r="530">
      <c r="A530" s="67" t="n"/>
      <c r="B530" s="68" t="n"/>
      <c r="C530" s="69" t="n"/>
      <c r="D530" s="68" t="n"/>
      <c r="E530" s="69" t="n"/>
      <c r="F530" s="68" t="n"/>
      <c r="G530" s="69" t="n"/>
      <c r="H530" s="68" t="n"/>
      <c r="I530" s="70">
        <f>IF($A530="","",R529)</f>
        <v/>
      </c>
      <c r="J530" s="71">
        <f>IF($A530="","",IF(C530="",0,C530))</f>
        <v/>
      </c>
      <c r="K530" s="71">
        <f>IF($A530="","",IF(E530="",0,E530))</f>
        <v/>
      </c>
      <c r="L530" s="70">
        <f>IF($A530="","",B530-D530)</f>
        <v/>
      </c>
      <c r="M530" s="71">
        <f>IF($A530="","",J530-K530)</f>
        <v/>
      </c>
      <c r="N530" s="71">
        <f>IF($A530="","",IF(G530="",0,G530))</f>
        <v/>
      </c>
      <c r="O530" s="70">
        <f>IF($A530="","",D530+F530)</f>
        <v/>
      </c>
      <c r="P530" s="71">
        <f>IF($A530="","",K530+N530)</f>
        <v/>
      </c>
      <c r="Q530" s="70">
        <f>IF($A530="","",I530+L530-F530)</f>
        <v/>
      </c>
      <c r="R530" s="72">
        <f>IF($A530="","",IF(H530="",Q530,H530))</f>
        <v/>
      </c>
      <c r="S530" s="73">
        <f>IF($A530="","",R530-Q530)</f>
        <v/>
      </c>
      <c r="T530" s="70">
        <f>IF($A530="","",SUMIFS($B$5:$B$800,$A$5:$A$800,"&gt;="&amp;DATE(YEAR($A530),MONTH($A530),1),$A$5:$A$800,"&lt;="&amp;$A530)+IF(AND(YEAR($A530)=YEAR(Settings!$B$3),MONTH($A530)=MONTH(Settings!$B$3)),Settings!$B$6,0))</f>
        <v/>
      </c>
      <c r="U530" s="71">
        <f>IF($A530="","",SUMIFS($J$5:$J$800,$A$5:$A$800,"&gt;="&amp;DATE(YEAR($A530),MONTH($A530),1),$A$5:$A$800,"&lt;="&amp;$A530)+IF(AND(YEAR($A530)=YEAR(Settings!$B$3),MONTH($A530)=MONTH(Settings!$B$3)),Settings!$B$7,0))</f>
        <v/>
      </c>
      <c r="V530" s="70">
        <f>IF($A530="","",Settings!$B$8+SUM($B$5:B530))</f>
        <v/>
      </c>
      <c r="W530" s="71">
        <f>IF($A530="","",Settings!$B$9+SUM($J$5:J530))</f>
        <v/>
      </c>
      <c r="X530" s="71">
        <f>IF($A530="","",IF(AND(N530&gt;0,F530&gt;0),ROUND(F530/N530,0),X529))</f>
        <v/>
      </c>
      <c r="Y530" s="74">
        <f>IF($A530="","",IF(AND(M530&gt;0,L530&gt;0),ROUND(L530/M530,0),IF(AND(J530&gt;0,B530&gt;0),ROUND(B530/J530,0),Y529)))</f>
        <v/>
      </c>
    </row>
    <row r="531">
      <c r="A531" s="67" t="n"/>
      <c r="B531" s="68" t="n"/>
      <c r="C531" s="69" t="n"/>
      <c r="D531" s="68" t="n"/>
      <c r="E531" s="69" t="n"/>
      <c r="F531" s="68" t="n"/>
      <c r="G531" s="69" t="n"/>
      <c r="H531" s="68" t="n"/>
      <c r="I531" s="70">
        <f>IF($A531="","",R530)</f>
        <v/>
      </c>
      <c r="J531" s="71">
        <f>IF($A531="","",IF(C531="",0,C531))</f>
        <v/>
      </c>
      <c r="K531" s="71">
        <f>IF($A531="","",IF(E531="",0,E531))</f>
        <v/>
      </c>
      <c r="L531" s="70">
        <f>IF($A531="","",B531-D531)</f>
        <v/>
      </c>
      <c r="M531" s="71">
        <f>IF($A531="","",J531-K531)</f>
        <v/>
      </c>
      <c r="N531" s="71">
        <f>IF($A531="","",IF(G531="",0,G531))</f>
        <v/>
      </c>
      <c r="O531" s="70">
        <f>IF($A531="","",D531+F531)</f>
        <v/>
      </c>
      <c r="P531" s="71">
        <f>IF($A531="","",K531+N531)</f>
        <v/>
      </c>
      <c r="Q531" s="70">
        <f>IF($A531="","",I531+L531-F531)</f>
        <v/>
      </c>
      <c r="R531" s="72">
        <f>IF($A531="","",IF(H531="",Q531,H531))</f>
        <v/>
      </c>
      <c r="S531" s="73">
        <f>IF($A531="","",R531-Q531)</f>
        <v/>
      </c>
      <c r="T531" s="70">
        <f>IF($A531="","",SUMIFS($B$5:$B$800,$A$5:$A$800,"&gt;="&amp;DATE(YEAR($A531),MONTH($A531),1),$A$5:$A$800,"&lt;="&amp;$A531)+IF(AND(YEAR($A531)=YEAR(Settings!$B$3),MONTH($A531)=MONTH(Settings!$B$3)),Settings!$B$6,0))</f>
        <v/>
      </c>
      <c r="U531" s="71">
        <f>IF($A531="","",SUMIFS($J$5:$J$800,$A$5:$A$800,"&gt;="&amp;DATE(YEAR($A531),MONTH($A531),1),$A$5:$A$800,"&lt;="&amp;$A531)+IF(AND(YEAR($A531)=YEAR(Settings!$B$3),MONTH($A531)=MONTH(Settings!$B$3)),Settings!$B$7,0))</f>
        <v/>
      </c>
      <c r="V531" s="70">
        <f>IF($A531="","",Settings!$B$8+SUM($B$5:B531))</f>
        <v/>
      </c>
      <c r="W531" s="71">
        <f>IF($A531="","",Settings!$B$9+SUM($J$5:J531))</f>
        <v/>
      </c>
      <c r="X531" s="71">
        <f>IF($A531="","",IF(AND(N531&gt;0,F531&gt;0),ROUND(F531/N531,0),X530))</f>
        <v/>
      </c>
      <c r="Y531" s="74">
        <f>IF($A531="","",IF(AND(M531&gt;0,L531&gt;0),ROUND(L531/M531,0),IF(AND(J531&gt;0,B531&gt;0),ROUND(B531/J531,0),Y530)))</f>
        <v/>
      </c>
    </row>
    <row r="532">
      <c r="A532" s="67" t="n"/>
      <c r="B532" s="68" t="n"/>
      <c r="C532" s="69" t="n"/>
      <c r="D532" s="68" t="n"/>
      <c r="E532" s="69" t="n"/>
      <c r="F532" s="68" t="n"/>
      <c r="G532" s="69" t="n"/>
      <c r="H532" s="68" t="n"/>
      <c r="I532" s="70">
        <f>IF($A532="","",R531)</f>
        <v/>
      </c>
      <c r="J532" s="71">
        <f>IF($A532="","",IF(C532="",0,C532))</f>
        <v/>
      </c>
      <c r="K532" s="71">
        <f>IF($A532="","",IF(E532="",0,E532))</f>
        <v/>
      </c>
      <c r="L532" s="70">
        <f>IF($A532="","",B532-D532)</f>
        <v/>
      </c>
      <c r="M532" s="71">
        <f>IF($A532="","",J532-K532)</f>
        <v/>
      </c>
      <c r="N532" s="71">
        <f>IF($A532="","",IF(G532="",0,G532))</f>
        <v/>
      </c>
      <c r="O532" s="70">
        <f>IF($A532="","",D532+F532)</f>
        <v/>
      </c>
      <c r="P532" s="71">
        <f>IF($A532="","",K532+N532)</f>
        <v/>
      </c>
      <c r="Q532" s="70">
        <f>IF($A532="","",I532+L532-F532)</f>
        <v/>
      </c>
      <c r="R532" s="72">
        <f>IF($A532="","",IF(H532="",Q532,H532))</f>
        <v/>
      </c>
      <c r="S532" s="73">
        <f>IF($A532="","",R532-Q532)</f>
        <v/>
      </c>
      <c r="T532" s="70">
        <f>IF($A532="","",SUMIFS($B$5:$B$800,$A$5:$A$800,"&gt;="&amp;DATE(YEAR($A532),MONTH($A532),1),$A$5:$A$800,"&lt;="&amp;$A532)+IF(AND(YEAR($A532)=YEAR(Settings!$B$3),MONTH($A532)=MONTH(Settings!$B$3)),Settings!$B$6,0))</f>
        <v/>
      </c>
      <c r="U532" s="71">
        <f>IF($A532="","",SUMIFS($J$5:$J$800,$A$5:$A$800,"&gt;="&amp;DATE(YEAR($A532),MONTH($A532),1),$A$5:$A$800,"&lt;="&amp;$A532)+IF(AND(YEAR($A532)=YEAR(Settings!$B$3),MONTH($A532)=MONTH(Settings!$B$3)),Settings!$B$7,0))</f>
        <v/>
      </c>
      <c r="V532" s="70">
        <f>IF($A532="","",Settings!$B$8+SUM($B$5:B532))</f>
        <v/>
      </c>
      <c r="W532" s="71">
        <f>IF($A532="","",Settings!$B$9+SUM($J$5:J532))</f>
        <v/>
      </c>
      <c r="X532" s="71">
        <f>IF($A532="","",IF(AND(N532&gt;0,F532&gt;0),ROUND(F532/N532,0),X531))</f>
        <v/>
      </c>
      <c r="Y532" s="74">
        <f>IF($A532="","",IF(AND(M532&gt;0,L532&gt;0),ROUND(L532/M532,0),IF(AND(J532&gt;0,B532&gt;0),ROUND(B532/J532,0),Y531)))</f>
        <v/>
      </c>
    </row>
    <row r="533">
      <c r="A533" s="67" t="n"/>
      <c r="B533" s="68" t="n"/>
      <c r="C533" s="69" t="n"/>
      <c r="D533" s="68" t="n"/>
      <c r="E533" s="69" t="n"/>
      <c r="F533" s="68" t="n"/>
      <c r="G533" s="69" t="n"/>
      <c r="H533" s="68" t="n"/>
      <c r="I533" s="70">
        <f>IF($A533="","",R532)</f>
        <v/>
      </c>
      <c r="J533" s="71">
        <f>IF($A533="","",IF(C533="",0,C533))</f>
        <v/>
      </c>
      <c r="K533" s="71">
        <f>IF($A533="","",IF(E533="",0,E533))</f>
        <v/>
      </c>
      <c r="L533" s="70">
        <f>IF($A533="","",B533-D533)</f>
        <v/>
      </c>
      <c r="M533" s="71">
        <f>IF($A533="","",J533-K533)</f>
        <v/>
      </c>
      <c r="N533" s="71">
        <f>IF($A533="","",IF(G533="",0,G533))</f>
        <v/>
      </c>
      <c r="O533" s="70">
        <f>IF($A533="","",D533+F533)</f>
        <v/>
      </c>
      <c r="P533" s="71">
        <f>IF($A533="","",K533+N533)</f>
        <v/>
      </c>
      <c r="Q533" s="70">
        <f>IF($A533="","",I533+L533-F533)</f>
        <v/>
      </c>
      <c r="R533" s="72">
        <f>IF($A533="","",IF(H533="",Q533,H533))</f>
        <v/>
      </c>
      <c r="S533" s="73">
        <f>IF($A533="","",R533-Q533)</f>
        <v/>
      </c>
      <c r="T533" s="70">
        <f>IF($A533="","",SUMIFS($B$5:$B$800,$A$5:$A$800,"&gt;="&amp;DATE(YEAR($A533),MONTH($A533),1),$A$5:$A$800,"&lt;="&amp;$A533)+IF(AND(YEAR($A533)=YEAR(Settings!$B$3),MONTH($A533)=MONTH(Settings!$B$3)),Settings!$B$6,0))</f>
        <v/>
      </c>
      <c r="U533" s="71">
        <f>IF($A533="","",SUMIFS($J$5:$J$800,$A$5:$A$800,"&gt;="&amp;DATE(YEAR($A533),MONTH($A533),1),$A$5:$A$800,"&lt;="&amp;$A533)+IF(AND(YEAR($A533)=YEAR(Settings!$B$3),MONTH($A533)=MONTH(Settings!$B$3)),Settings!$B$7,0))</f>
        <v/>
      </c>
      <c r="V533" s="70">
        <f>IF($A533="","",Settings!$B$8+SUM($B$5:B533))</f>
        <v/>
      </c>
      <c r="W533" s="71">
        <f>IF($A533="","",Settings!$B$9+SUM($J$5:J533))</f>
        <v/>
      </c>
      <c r="X533" s="71">
        <f>IF($A533="","",IF(AND(N533&gt;0,F533&gt;0),ROUND(F533/N533,0),X532))</f>
        <v/>
      </c>
      <c r="Y533" s="74">
        <f>IF($A533="","",IF(AND(M533&gt;0,L533&gt;0),ROUND(L533/M533,0),IF(AND(J533&gt;0,B533&gt;0),ROUND(B533/J533,0),Y532)))</f>
        <v/>
      </c>
    </row>
    <row r="534">
      <c r="A534" s="67" t="n"/>
      <c r="B534" s="68" t="n"/>
      <c r="C534" s="69" t="n"/>
      <c r="D534" s="68" t="n"/>
      <c r="E534" s="69" t="n"/>
      <c r="F534" s="68" t="n"/>
      <c r="G534" s="69" t="n"/>
      <c r="H534" s="68" t="n"/>
      <c r="I534" s="70">
        <f>IF($A534="","",R533)</f>
        <v/>
      </c>
      <c r="J534" s="71">
        <f>IF($A534="","",IF(C534="",0,C534))</f>
        <v/>
      </c>
      <c r="K534" s="71">
        <f>IF($A534="","",IF(E534="",0,E534))</f>
        <v/>
      </c>
      <c r="L534" s="70">
        <f>IF($A534="","",B534-D534)</f>
        <v/>
      </c>
      <c r="M534" s="71">
        <f>IF($A534="","",J534-K534)</f>
        <v/>
      </c>
      <c r="N534" s="71">
        <f>IF($A534="","",IF(G534="",0,G534))</f>
        <v/>
      </c>
      <c r="O534" s="70">
        <f>IF($A534="","",D534+F534)</f>
        <v/>
      </c>
      <c r="P534" s="71">
        <f>IF($A534="","",K534+N534)</f>
        <v/>
      </c>
      <c r="Q534" s="70">
        <f>IF($A534="","",I534+L534-F534)</f>
        <v/>
      </c>
      <c r="R534" s="72">
        <f>IF($A534="","",IF(H534="",Q534,H534))</f>
        <v/>
      </c>
      <c r="S534" s="73">
        <f>IF($A534="","",R534-Q534)</f>
        <v/>
      </c>
      <c r="T534" s="70">
        <f>IF($A534="","",SUMIFS($B$5:$B$800,$A$5:$A$800,"&gt;="&amp;DATE(YEAR($A534),MONTH($A534),1),$A$5:$A$800,"&lt;="&amp;$A534)+IF(AND(YEAR($A534)=YEAR(Settings!$B$3),MONTH($A534)=MONTH(Settings!$B$3)),Settings!$B$6,0))</f>
        <v/>
      </c>
      <c r="U534" s="71">
        <f>IF($A534="","",SUMIFS($J$5:$J$800,$A$5:$A$800,"&gt;="&amp;DATE(YEAR($A534),MONTH($A534),1),$A$5:$A$800,"&lt;="&amp;$A534)+IF(AND(YEAR($A534)=YEAR(Settings!$B$3),MONTH($A534)=MONTH(Settings!$B$3)),Settings!$B$7,0))</f>
        <v/>
      </c>
      <c r="V534" s="70">
        <f>IF($A534="","",Settings!$B$8+SUM($B$5:B534))</f>
        <v/>
      </c>
      <c r="W534" s="71">
        <f>IF($A534="","",Settings!$B$9+SUM($J$5:J534))</f>
        <v/>
      </c>
      <c r="X534" s="71">
        <f>IF($A534="","",IF(AND(N534&gt;0,F534&gt;0),ROUND(F534/N534,0),X533))</f>
        <v/>
      </c>
      <c r="Y534" s="74">
        <f>IF($A534="","",IF(AND(M534&gt;0,L534&gt;0),ROUND(L534/M534,0),IF(AND(J534&gt;0,B534&gt;0),ROUND(B534/J534,0),Y533)))</f>
        <v/>
      </c>
    </row>
    <row r="535">
      <c r="A535" s="67" t="n"/>
      <c r="B535" s="68" t="n"/>
      <c r="C535" s="69" t="n"/>
      <c r="D535" s="68" t="n"/>
      <c r="E535" s="69" t="n"/>
      <c r="F535" s="68" t="n"/>
      <c r="G535" s="69" t="n"/>
      <c r="H535" s="68" t="n"/>
      <c r="I535" s="70">
        <f>IF($A535="","",R534)</f>
        <v/>
      </c>
      <c r="J535" s="71">
        <f>IF($A535="","",IF(C535="",0,C535))</f>
        <v/>
      </c>
      <c r="K535" s="71">
        <f>IF($A535="","",IF(E535="",0,E535))</f>
        <v/>
      </c>
      <c r="L535" s="70">
        <f>IF($A535="","",B535-D535)</f>
        <v/>
      </c>
      <c r="M535" s="71">
        <f>IF($A535="","",J535-K535)</f>
        <v/>
      </c>
      <c r="N535" s="71">
        <f>IF($A535="","",IF(G535="",0,G535))</f>
        <v/>
      </c>
      <c r="O535" s="70">
        <f>IF($A535="","",D535+F535)</f>
        <v/>
      </c>
      <c r="P535" s="71">
        <f>IF($A535="","",K535+N535)</f>
        <v/>
      </c>
      <c r="Q535" s="70">
        <f>IF($A535="","",I535+L535-F535)</f>
        <v/>
      </c>
      <c r="R535" s="72">
        <f>IF($A535="","",IF(H535="",Q535,H535))</f>
        <v/>
      </c>
      <c r="S535" s="73">
        <f>IF($A535="","",R535-Q535)</f>
        <v/>
      </c>
      <c r="T535" s="70">
        <f>IF($A535="","",SUMIFS($B$5:$B$800,$A$5:$A$800,"&gt;="&amp;DATE(YEAR($A535),MONTH($A535),1),$A$5:$A$800,"&lt;="&amp;$A535)+IF(AND(YEAR($A535)=YEAR(Settings!$B$3),MONTH($A535)=MONTH(Settings!$B$3)),Settings!$B$6,0))</f>
        <v/>
      </c>
      <c r="U535" s="71">
        <f>IF($A535="","",SUMIFS($J$5:$J$800,$A$5:$A$800,"&gt;="&amp;DATE(YEAR($A535),MONTH($A535),1),$A$5:$A$800,"&lt;="&amp;$A535)+IF(AND(YEAR($A535)=YEAR(Settings!$B$3),MONTH($A535)=MONTH(Settings!$B$3)),Settings!$B$7,0))</f>
        <v/>
      </c>
      <c r="V535" s="70">
        <f>IF($A535="","",Settings!$B$8+SUM($B$5:B535))</f>
        <v/>
      </c>
      <c r="W535" s="71">
        <f>IF($A535="","",Settings!$B$9+SUM($J$5:J535))</f>
        <v/>
      </c>
      <c r="X535" s="71">
        <f>IF($A535="","",IF(AND(N535&gt;0,F535&gt;0),ROUND(F535/N535,0),X534))</f>
        <v/>
      </c>
      <c r="Y535" s="74">
        <f>IF($A535="","",IF(AND(M535&gt;0,L535&gt;0),ROUND(L535/M535,0),IF(AND(J535&gt;0,B535&gt;0),ROUND(B535/J535,0),Y534)))</f>
        <v/>
      </c>
    </row>
    <row r="536">
      <c r="A536" s="67" t="n"/>
      <c r="B536" s="68" t="n"/>
      <c r="C536" s="69" t="n"/>
      <c r="D536" s="68" t="n"/>
      <c r="E536" s="69" t="n"/>
      <c r="F536" s="68" t="n"/>
      <c r="G536" s="69" t="n"/>
      <c r="H536" s="68" t="n"/>
      <c r="I536" s="70">
        <f>IF($A536="","",R535)</f>
        <v/>
      </c>
      <c r="J536" s="71">
        <f>IF($A536="","",IF(C536="",0,C536))</f>
        <v/>
      </c>
      <c r="K536" s="71">
        <f>IF($A536="","",IF(E536="",0,E536))</f>
        <v/>
      </c>
      <c r="L536" s="70">
        <f>IF($A536="","",B536-D536)</f>
        <v/>
      </c>
      <c r="M536" s="71">
        <f>IF($A536="","",J536-K536)</f>
        <v/>
      </c>
      <c r="N536" s="71">
        <f>IF($A536="","",IF(G536="",0,G536))</f>
        <v/>
      </c>
      <c r="O536" s="70">
        <f>IF($A536="","",D536+F536)</f>
        <v/>
      </c>
      <c r="P536" s="71">
        <f>IF($A536="","",K536+N536)</f>
        <v/>
      </c>
      <c r="Q536" s="70">
        <f>IF($A536="","",I536+L536-F536)</f>
        <v/>
      </c>
      <c r="R536" s="72">
        <f>IF($A536="","",IF(H536="",Q536,H536))</f>
        <v/>
      </c>
      <c r="S536" s="73">
        <f>IF($A536="","",R536-Q536)</f>
        <v/>
      </c>
      <c r="T536" s="70">
        <f>IF($A536="","",SUMIFS($B$5:$B$800,$A$5:$A$800,"&gt;="&amp;DATE(YEAR($A536),MONTH($A536),1),$A$5:$A$800,"&lt;="&amp;$A536)+IF(AND(YEAR($A536)=YEAR(Settings!$B$3),MONTH($A536)=MONTH(Settings!$B$3)),Settings!$B$6,0))</f>
        <v/>
      </c>
      <c r="U536" s="71">
        <f>IF($A536="","",SUMIFS($J$5:$J$800,$A$5:$A$800,"&gt;="&amp;DATE(YEAR($A536),MONTH($A536),1),$A$5:$A$800,"&lt;="&amp;$A536)+IF(AND(YEAR($A536)=YEAR(Settings!$B$3),MONTH($A536)=MONTH(Settings!$B$3)),Settings!$B$7,0))</f>
        <v/>
      </c>
      <c r="V536" s="70">
        <f>IF($A536="","",Settings!$B$8+SUM($B$5:B536))</f>
        <v/>
      </c>
      <c r="W536" s="71">
        <f>IF($A536="","",Settings!$B$9+SUM($J$5:J536))</f>
        <v/>
      </c>
      <c r="X536" s="71">
        <f>IF($A536="","",IF(AND(N536&gt;0,F536&gt;0),ROUND(F536/N536,0),X535))</f>
        <v/>
      </c>
      <c r="Y536" s="74">
        <f>IF($A536="","",IF(AND(M536&gt;0,L536&gt;0),ROUND(L536/M536,0),IF(AND(J536&gt;0,B536&gt;0),ROUND(B536/J536,0),Y535)))</f>
        <v/>
      </c>
    </row>
    <row r="537">
      <c r="A537" s="67" t="n"/>
      <c r="B537" s="68" t="n"/>
      <c r="C537" s="69" t="n"/>
      <c r="D537" s="68" t="n"/>
      <c r="E537" s="69" t="n"/>
      <c r="F537" s="68" t="n"/>
      <c r="G537" s="69" t="n"/>
      <c r="H537" s="68" t="n"/>
      <c r="I537" s="70">
        <f>IF($A537="","",R536)</f>
        <v/>
      </c>
      <c r="J537" s="71">
        <f>IF($A537="","",IF(C537="",0,C537))</f>
        <v/>
      </c>
      <c r="K537" s="71">
        <f>IF($A537="","",IF(E537="",0,E537))</f>
        <v/>
      </c>
      <c r="L537" s="70">
        <f>IF($A537="","",B537-D537)</f>
        <v/>
      </c>
      <c r="M537" s="71">
        <f>IF($A537="","",J537-K537)</f>
        <v/>
      </c>
      <c r="N537" s="71">
        <f>IF($A537="","",IF(G537="",0,G537))</f>
        <v/>
      </c>
      <c r="O537" s="70">
        <f>IF($A537="","",D537+F537)</f>
        <v/>
      </c>
      <c r="P537" s="71">
        <f>IF($A537="","",K537+N537)</f>
        <v/>
      </c>
      <c r="Q537" s="70">
        <f>IF($A537="","",I537+L537-F537)</f>
        <v/>
      </c>
      <c r="R537" s="72">
        <f>IF($A537="","",IF(H537="",Q537,H537))</f>
        <v/>
      </c>
      <c r="S537" s="73">
        <f>IF($A537="","",R537-Q537)</f>
        <v/>
      </c>
      <c r="T537" s="70">
        <f>IF($A537="","",SUMIFS($B$5:$B$800,$A$5:$A$800,"&gt;="&amp;DATE(YEAR($A537),MONTH($A537),1),$A$5:$A$800,"&lt;="&amp;$A537)+IF(AND(YEAR($A537)=YEAR(Settings!$B$3),MONTH($A537)=MONTH(Settings!$B$3)),Settings!$B$6,0))</f>
        <v/>
      </c>
      <c r="U537" s="71">
        <f>IF($A537="","",SUMIFS($J$5:$J$800,$A$5:$A$800,"&gt;="&amp;DATE(YEAR($A537),MONTH($A537),1),$A$5:$A$800,"&lt;="&amp;$A537)+IF(AND(YEAR($A537)=YEAR(Settings!$B$3),MONTH($A537)=MONTH(Settings!$B$3)),Settings!$B$7,0))</f>
        <v/>
      </c>
      <c r="V537" s="70">
        <f>IF($A537="","",Settings!$B$8+SUM($B$5:B537))</f>
        <v/>
      </c>
      <c r="W537" s="71">
        <f>IF($A537="","",Settings!$B$9+SUM($J$5:J537))</f>
        <v/>
      </c>
      <c r="X537" s="71">
        <f>IF($A537="","",IF(AND(N537&gt;0,F537&gt;0),ROUND(F537/N537,0),X536))</f>
        <v/>
      </c>
      <c r="Y537" s="74">
        <f>IF($A537="","",IF(AND(M537&gt;0,L537&gt;0),ROUND(L537/M537,0),IF(AND(J537&gt;0,B537&gt;0),ROUND(B537/J537,0),Y536)))</f>
        <v/>
      </c>
    </row>
    <row r="538">
      <c r="A538" s="67" t="n"/>
      <c r="B538" s="68" t="n"/>
      <c r="C538" s="69" t="n"/>
      <c r="D538" s="68" t="n"/>
      <c r="E538" s="69" t="n"/>
      <c r="F538" s="68" t="n"/>
      <c r="G538" s="69" t="n"/>
      <c r="H538" s="68" t="n"/>
      <c r="I538" s="70">
        <f>IF($A538="","",R537)</f>
        <v/>
      </c>
      <c r="J538" s="71">
        <f>IF($A538="","",IF(C538="",0,C538))</f>
        <v/>
      </c>
      <c r="K538" s="71">
        <f>IF($A538="","",IF(E538="",0,E538))</f>
        <v/>
      </c>
      <c r="L538" s="70">
        <f>IF($A538="","",B538-D538)</f>
        <v/>
      </c>
      <c r="M538" s="71">
        <f>IF($A538="","",J538-K538)</f>
        <v/>
      </c>
      <c r="N538" s="71">
        <f>IF($A538="","",IF(G538="",0,G538))</f>
        <v/>
      </c>
      <c r="O538" s="70">
        <f>IF($A538="","",D538+F538)</f>
        <v/>
      </c>
      <c r="P538" s="71">
        <f>IF($A538="","",K538+N538)</f>
        <v/>
      </c>
      <c r="Q538" s="70">
        <f>IF($A538="","",I538+L538-F538)</f>
        <v/>
      </c>
      <c r="R538" s="72">
        <f>IF($A538="","",IF(H538="",Q538,H538))</f>
        <v/>
      </c>
      <c r="S538" s="73">
        <f>IF($A538="","",R538-Q538)</f>
        <v/>
      </c>
      <c r="T538" s="70">
        <f>IF($A538="","",SUMIFS($B$5:$B$800,$A$5:$A$800,"&gt;="&amp;DATE(YEAR($A538),MONTH($A538),1),$A$5:$A$800,"&lt;="&amp;$A538)+IF(AND(YEAR($A538)=YEAR(Settings!$B$3),MONTH($A538)=MONTH(Settings!$B$3)),Settings!$B$6,0))</f>
        <v/>
      </c>
      <c r="U538" s="71">
        <f>IF($A538="","",SUMIFS($J$5:$J$800,$A$5:$A$800,"&gt;="&amp;DATE(YEAR($A538),MONTH($A538),1),$A$5:$A$800,"&lt;="&amp;$A538)+IF(AND(YEAR($A538)=YEAR(Settings!$B$3),MONTH($A538)=MONTH(Settings!$B$3)),Settings!$B$7,0))</f>
        <v/>
      </c>
      <c r="V538" s="70">
        <f>IF($A538="","",Settings!$B$8+SUM($B$5:B538))</f>
        <v/>
      </c>
      <c r="W538" s="71">
        <f>IF($A538="","",Settings!$B$9+SUM($J$5:J538))</f>
        <v/>
      </c>
      <c r="X538" s="71">
        <f>IF($A538="","",IF(AND(N538&gt;0,F538&gt;0),ROUND(F538/N538,0),X537))</f>
        <v/>
      </c>
      <c r="Y538" s="74">
        <f>IF($A538="","",IF(AND(M538&gt;0,L538&gt;0),ROUND(L538/M538,0),IF(AND(J538&gt;0,B538&gt;0),ROUND(B538/J538,0),Y537)))</f>
        <v/>
      </c>
    </row>
    <row r="539">
      <c r="A539" s="67" t="n"/>
      <c r="B539" s="68" t="n"/>
      <c r="C539" s="69" t="n"/>
      <c r="D539" s="68" t="n"/>
      <c r="E539" s="69" t="n"/>
      <c r="F539" s="68" t="n"/>
      <c r="G539" s="69" t="n"/>
      <c r="H539" s="68" t="n"/>
      <c r="I539" s="70">
        <f>IF($A539="","",R538)</f>
        <v/>
      </c>
      <c r="J539" s="71">
        <f>IF($A539="","",IF(C539="",0,C539))</f>
        <v/>
      </c>
      <c r="K539" s="71">
        <f>IF($A539="","",IF(E539="",0,E539))</f>
        <v/>
      </c>
      <c r="L539" s="70">
        <f>IF($A539="","",B539-D539)</f>
        <v/>
      </c>
      <c r="M539" s="71">
        <f>IF($A539="","",J539-K539)</f>
        <v/>
      </c>
      <c r="N539" s="71">
        <f>IF($A539="","",IF(G539="",0,G539))</f>
        <v/>
      </c>
      <c r="O539" s="70">
        <f>IF($A539="","",D539+F539)</f>
        <v/>
      </c>
      <c r="P539" s="71">
        <f>IF($A539="","",K539+N539)</f>
        <v/>
      </c>
      <c r="Q539" s="70">
        <f>IF($A539="","",I539+L539-F539)</f>
        <v/>
      </c>
      <c r="R539" s="72">
        <f>IF($A539="","",IF(H539="",Q539,H539))</f>
        <v/>
      </c>
      <c r="S539" s="73">
        <f>IF($A539="","",R539-Q539)</f>
        <v/>
      </c>
      <c r="T539" s="70">
        <f>IF($A539="","",SUMIFS($B$5:$B$800,$A$5:$A$800,"&gt;="&amp;DATE(YEAR($A539),MONTH($A539),1),$A$5:$A$800,"&lt;="&amp;$A539)+IF(AND(YEAR($A539)=YEAR(Settings!$B$3),MONTH($A539)=MONTH(Settings!$B$3)),Settings!$B$6,0))</f>
        <v/>
      </c>
      <c r="U539" s="71">
        <f>IF($A539="","",SUMIFS($J$5:$J$800,$A$5:$A$800,"&gt;="&amp;DATE(YEAR($A539),MONTH($A539),1),$A$5:$A$800,"&lt;="&amp;$A539)+IF(AND(YEAR($A539)=YEAR(Settings!$B$3),MONTH($A539)=MONTH(Settings!$B$3)),Settings!$B$7,0))</f>
        <v/>
      </c>
      <c r="V539" s="70">
        <f>IF($A539="","",Settings!$B$8+SUM($B$5:B539))</f>
        <v/>
      </c>
      <c r="W539" s="71">
        <f>IF($A539="","",Settings!$B$9+SUM($J$5:J539))</f>
        <v/>
      </c>
      <c r="X539" s="71">
        <f>IF($A539="","",IF(AND(N539&gt;0,F539&gt;0),ROUND(F539/N539,0),X538))</f>
        <v/>
      </c>
      <c r="Y539" s="74">
        <f>IF($A539="","",IF(AND(M539&gt;0,L539&gt;0),ROUND(L539/M539,0),IF(AND(J539&gt;0,B539&gt;0),ROUND(B539/J539,0),Y538)))</f>
        <v/>
      </c>
    </row>
    <row r="540">
      <c r="A540" s="67" t="n"/>
      <c r="B540" s="68" t="n"/>
      <c r="C540" s="69" t="n"/>
      <c r="D540" s="68" t="n"/>
      <c r="E540" s="69" t="n"/>
      <c r="F540" s="68" t="n"/>
      <c r="G540" s="69" t="n"/>
      <c r="H540" s="68" t="n"/>
      <c r="I540" s="70">
        <f>IF($A540="","",R539)</f>
        <v/>
      </c>
      <c r="J540" s="71">
        <f>IF($A540="","",IF(C540="",0,C540))</f>
        <v/>
      </c>
      <c r="K540" s="71">
        <f>IF($A540="","",IF(E540="",0,E540))</f>
        <v/>
      </c>
      <c r="L540" s="70">
        <f>IF($A540="","",B540-D540)</f>
        <v/>
      </c>
      <c r="M540" s="71">
        <f>IF($A540="","",J540-K540)</f>
        <v/>
      </c>
      <c r="N540" s="71">
        <f>IF($A540="","",IF(G540="",0,G540))</f>
        <v/>
      </c>
      <c r="O540" s="70">
        <f>IF($A540="","",D540+F540)</f>
        <v/>
      </c>
      <c r="P540" s="71">
        <f>IF($A540="","",K540+N540)</f>
        <v/>
      </c>
      <c r="Q540" s="70">
        <f>IF($A540="","",I540+L540-F540)</f>
        <v/>
      </c>
      <c r="R540" s="72">
        <f>IF($A540="","",IF(H540="",Q540,H540))</f>
        <v/>
      </c>
      <c r="S540" s="73">
        <f>IF($A540="","",R540-Q540)</f>
        <v/>
      </c>
      <c r="T540" s="70">
        <f>IF($A540="","",SUMIFS($B$5:$B$800,$A$5:$A$800,"&gt;="&amp;DATE(YEAR($A540),MONTH($A540),1),$A$5:$A$800,"&lt;="&amp;$A540)+IF(AND(YEAR($A540)=YEAR(Settings!$B$3),MONTH($A540)=MONTH(Settings!$B$3)),Settings!$B$6,0))</f>
        <v/>
      </c>
      <c r="U540" s="71">
        <f>IF($A540="","",SUMIFS($J$5:$J$800,$A$5:$A$800,"&gt;="&amp;DATE(YEAR($A540),MONTH($A540),1),$A$5:$A$800,"&lt;="&amp;$A540)+IF(AND(YEAR($A540)=YEAR(Settings!$B$3),MONTH($A540)=MONTH(Settings!$B$3)),Settings!$B$7,0))</f>
        <v/>
      </c>
      <c r="V540" s="70">
        <f>IF($A540="","",Settings!$B$8+SUM($B$5:B540))</f>
        <v/>
      </c>
      <c r="W540" s="71">
        <f>IF($A540="","",Settings!$B$9+SUM($J$5:J540))</f>
        <v/>
      </c>
      <c r="X540" s="71">
        <f>IF($A540="","",IF(AND(N540&gt;0,F540&gt;0),ROUND(F540/N540,0),X539))</f>
        <v/>
      </c>
      <c r="Y540" s="74">
        <f>IF($A540="","",IF(AND(M540&gt;0,L540&gt;0),ROUND(L540/M540,0),IF(AND(J540&gt;0,B540&gt;0),ROUND(B540/J540,0),Y539)))</f>
        <v/>
      </c>
    </row>
    <row r="541">
      <c r="A541" s="67" t="n"/>
      <c r="B541" s="68" t="n"/>
      <c r="C541" s="69" t="n"/>
      <c r="D541" s="68" t="n"/>
      <c r="E541" s="69" t="n"/>
      <c r="F541" s="68" t="n"/>
      <c r="G541" s="69" t="n"/>
      <c r="H541" s="68" t="n"/>
      <c r="I541" s="70">
        <f>IF($A541="","",R540)</f>
        <v/>
      </c>
      <c r="J541" s="71">
        <f>IF($A541="","",IF(C541="",0,C541))</f>
        <v/>
      </c>
      <c r="K541" s="71">
        <f>IF($A541="","",IF(E541="",0,E541))</f>
        <v/>
      </c>
      <c r="L541" s="70">
        <f>IF($A541="","",B541-D541)</f>
        <v/>
      </c>
      <c r="M541" s="71">
        <f>IF($A541="","",J541-K541)</f>
        <v/>
      </c>
      <c r="N541" s="71">
        <f>IF($A541="","",IF(G541="",0,G541))</f>
        <v/>
      </c>
      <c r="O541" s="70">
        <f>IF($A541="","",D541+F541)</f>
        <v/>
      </c>
      <c r="P541" s="71">
        <f>IF($A541="","",K541+N541)</f>
        <v/>
      </c>
      <c r="Q541" s="70">
        <f>IF($A541="","",I541+L541-F541)</f>
        <v/>
      </c>
      <c r="R541" s="72">
        <f>IF($A541="","",IF(H541="",Q541,H541))</f>
        <v/>
      </c>
      <c r="S541" s="73">
        <f>IF($A541="","",R541-Q541)</f>
        <v/>
      </c>
      <c r="T541" s="70">
        <f>IF($A541="","",SUMIFS($B$5:$B$800,$A$5:$A$800,"&gt;="&amp;DATE(YEAR($A541),MONTH($A541),1),$A$5:$A$800,"&lt;="&amp;$A541)+IF(AND(YEAR($A541)=YEAR(Settings!$B$3),MONTH($A541)=MONTH(Settings!$B$3)),Settings!$B$6,0))</f>
        <v/>
      </c>
      <c r="U541" s="71">
        <f>IF($A541="","",SUMIFS($J$5:$J$800,$A$5:$A$800,"&gt;="&amp;DATE(YEAR($A541),MONTH($A541),1),$A$5:$A$800,"&lt;="&amp;$A541)+IF(AND(YEAR($A541)=YEAR(Settings!$B$3),MONTH($A541)=MONTH(Settings!$B$3)),Settings!$B$7,0))</f>
        <v/>
      </c>
      <c r="V541" s="70">
        <f>IF($A541="","",Settings!$B$8+SUM($B$5:B541))</f>
        <v/>
      </c>
      <c r="W541" s="71">
        <f>IF($A541="","",Settings!$B$9+SUM($J$5:J541))</f>
        <v/>
      </c>
      <c r="X541" s="71">
        <f>IF($A541="","",IF(AND(N541&gt;0,F541&gt;0),ROUND(F541/N541,0),X540))</f>
        <v/>
      </c>
      <c r="Y541" s="74">
        <f>IF($A541="","",IF(AND(M541&gt;0,L541&gt;0),ROUND(L541/M541,0),IF(AND(J541&gt;0,B541&gt;0),ROUND(B541/J541,0),Y540)))</f>
        <v/>
      </c>
    </row>
    <row r="542">
      <c r="A542" s="67" t="n"/>
      <c r="B542" s="68" t="n"/>
      <c r="C542" s="69" t="n"/>
      <c r="D542" s="68" t="n"/>
      <c r="E542" s="69" t="n"/>
      <c r="F542" s="68" t="n"/>
      <c r="G542" s="69" t="n"/>
      <c r="H542" s="68" t="n"/>
      <c r="I542" s="70">
        <f>IF($A542="","",R541)</f>
        <v/>
      </c>
      <c r="J542" s="71">
        <f>IF($A542="","",IF(C542="",0,C542))</f>
        <v/>
      </c>
      <c r="K542" s="71">
        <f>IF($A542="","",IF(E542="",0,E542))</f>
        <v/>
      </c>
      <c r="L542" s="70">
        <f>IF($A542="","",B542-D542)</f>
        <v/>
      </c>
      <c r="M542" s="71">
        <f>IF($A542="","",J542-K542)</f>
        <v/>
      </c>
      <c r="N542" s="71">
        <f>IF($A542="","",IF(G542="",0,G542))</f>
        <v/>
      </c>
      <c r="O542" s="70">
        <f>IF($A542="","",D542+F542)</f>
        <v/>
      </c>
      <c r="P542" s="71">
        <f>IF($A542="","",K542+N542)</f>
        <v/>
      </c>
      <c r="Q542" s="70">
        <f>IF($A542="","",I542+L542-F542)</f>
        <v/>
      </c>
      <c r="R542" s="72">
        <f>IF($A542="","",IF(H542="",Q542,H542))</f>
        <v/>
      </c>
      <c r="S542" s="73">
        <f>IF($A542="","",R542-Q542)</f>
        <v/>
      </c>
      <c r="T542" s="70">
        <f>IF($A542="","",SUMIFS($B$5:$B$800,$A$5:$A$800,"&gt;="&amp;DATE(YEAR($A542),MONTH($A542),1),$A$5:$A$800,"&lt;="&amp;$A542)+IF(AND(YEAR($A542)=YEAR(Settings!$B$3),MONTH($A542)=MONTH(Settings!$B$3)),Settings!$B$6,0))</f>
        <v/>
      </c>
      <c r="U542" s="71">
        <f>IF($A542="","",SUMIFS($J$5:$J$800,$A$5:$A$800,"&gt;="&amp;DATE(YEAR($A542),MONTH($A542),1),$A$5:$A$800,"&lt;="&amp;$A542)+IF(AND(YEAR($A542)=YEAR(Settings!$B$3),MONTH($A542)=MONTH(Settings!$B$3)),Settings!$B$7,0))</f>
        <v/>
      </c>
      <c r="V542" s="70">
        <f>IF($A542="","",Settings!$B$8+SUM($B$5:B542))</f>
        <v/>
      </c>
      <c r="W542" s="71">
        <f>IF($A542="","",Settings!$B$9+SUM($J$5:J542))</f>
        <v/>
      </c>
      <c r="X542" s="71">
        <f>IF($A542="","",IF(AND(N542&gt;0,F542&gt;0),ROUND(F542/N542,0),X541))</f>
        <v/>
      </c>
      <c r="Y542" s="74">
        <f>IF($A542="","",IF(AND(M542&gt;0,L542&gt;0),ROUND(L542/M542,0),IF(AND(J542&gt;0,B542&gt;0),ROUND(B542/J542,0),Y541)))</f>
        <v/>
      </c>
    </row>
    <row r="543">
      <c r="A543" s="67" t="n"/>
      <c r="B543" s="68" t="n"/>
      <c r="C543" s="69" t="n"/>
      <c r="D543" s="68" t="n"/>
      <c r="E543" s="69" t="n"/>
      <c r="F543" s="68" t="n"/>
      <c r="G543" s="69" t="n"/>
      <c r="H543" s="68" t="n"/>
      <c r="I543" s="70">
        <f>IF($A543="","",R542)</f>
        <v/>
      </c>
      <c r="J543" s="71">
        <f>IF($A543="","",IF(C543="",0,C543))</f>
        <v/>
      </c>
      <c r="K543" s="71">
        <f>IF($A543="","",IF(E543="",0,E543))</f>
        <v/>
      </c>
      <c r="L543" s="70">
        <f>IF($A543="","",B543-D543)</f>
        <v/>
      </c>
      <c r="M543" s="71">
        <f>IF($A543="","",J543-K543)</f>
        <v/>
      </c>
      <c r="N543" s="71">
        <f>IF($A543="","",IF(G543="",0,G543))</f>
        <v/>
      </c>
      <c r="O543" s="70">
        <f>IF($A543="","",D543+F543)</f>
        <v/>
      </c>
      <c r="P543" s="71">
        <f>IF($A543="","",K543+N543)</f>
        <v/>
      </c>
      <c r="Q543" s="70">
        <f>IF($A543="","",I543+L543-F543)</f>
        <v/>
      </c>
      <c r="R543" s="72">
        <f>IF($A543="","",IF(H543="",Q543,H543))</f>
        <v/>
      </c>
      <c r="S543" s="73">
        <f>IF($A543="","",R543-Q543)</f>
        <v/>
      </c>
      <c r="T543" s="70">
        <f>IF($A543="","",SUMIFS($B$5:$B$800,$A$5:$A$800,"&gt;="&amp;DATE(YEAR($A543),MONTH($A543),1),$A$5:$A$800,"&lt;="&amp;$A543)+IF(AND(YEAR($A543)=YEAR(Settings!$B$3),MONTH($A543)=MONTH(Settings!$B$3)),Settings!$B$6,0))</f>
        <v/>
      </c>
      <c r="U543" s="71">
        <f>IF($A543="","",SUMIFS($J$5:$J$800,$A$5:$A$800,"&gt;="&amp;DATE(YEAR($A543),MONTH($A543),1),$A$5:$A$800,"&lt;="&amp;$A543)+IF(AND(YEAR($A543)=YEAR(Settings!$B$3),MONTH($A543)=MONTH(Settings!$B$3)),Settings!$B$7,0))</f>
        <v/>
      </c>
      <c r="V543" s="70">
        <f>IF($A543="","",Settings!$B$8+SUM($B$5:B543))</f>
        <v/>
      </c>
      <c r="W543" s="71">
        <f>IF($A543="","",Settings!$B$9+SUM($J$5:J543))</f>
        <v/>
      </c>
      <c r="X543" s="71">
        <f>IF($A543="","",IF(AND(N543&gt;0,F543&gt;0),ROUND(F543/N543,0),X542))</f>
        <v/>
      </c>
      <c r="Y543" s="74">
        <f>IF($A543="","",IF(AND(M543&gt;0,L543&gt;0),ROUND(L543/M543,0),IF(AND(J543&gt;0,B543&gt;0),ROUND(B543/J543,0),Y542)))</f>
        <v/>
      </c>
    </row>
    <row r="544">
      <c r="A544" s="67" t="n"/>
      <c r="B544" s="68" t="n"/>
      <c r="C544" s="69" t="n"/>
      <c r="D544" s="68" t="n"/>
      <c r="E544" s="69" t="n"/>
      <c r="F544" s="68" t="n"/>
      <c r="G544" s="69" t="n"/>
      <c r="H544" s="68" t="n"/>
      <c r="I544" s="70">
        <f>IF($A544="","",R543)</f>
        <v/>
      </c>
      <c r="J544" s="71">
        <f>IF($A544="","",IF(C544="",0,C544))</f>
        <v/>
      </c>
      <c r="K544" s="71">
        <f>IF($A544="","",IF(E544="",0,E544))</f>
        <v/>
      </c>
      <c r="L544" s="70">
        <f>IF($A544="","",B544-D544)</f>
        <v/>
      </c>
      <c r="M544" s="71">
        <f>IF($A544="","",J544-K544)</f>
        <v/>
      </c>
      <c r="N544" s="71">
        <f>IF($A544="","",IF(G544="",0,G544))</f>
        <v/>
      </c>
      <c r="O544" s="70">
        <f>IF($A544="","",D544+F544)</f>
        <v/>
      </c>
      <c r="P544" s="71">
        <f>IF($A544="","",K544+N544)</f>
        <v/>
      </c>
      <c r="Q544" s="70">
        <f>IF($A544="","",I544+L544-F544)</f>
        <v/>
      </c>
      <c r="R544" s="72">
        <f>IF($A544="","",IF(H544="",Q544,H544))</f>
        <v/>
      </c>
      <c r="S544" s="73">
        <f>IF($A544="","",R544-Q544)</f>
        <v/>
      </c>
      <c r="T544" s="70">
        <f>IF($A544="","",SUMIFS($B$5:$B$800,$A$5:$A$800,"&gt;="&amp;DATE(YEAR($A544),MONTH($A544),1),$A$5:$A$800,"&lt;="&amp;$A544)+IF(AND(YEAR($A544)=YEAR(Settings!$B$3),MONTH($A544)=MONTH(Settings!$B$3)),Settings!$B$6,0))</f>
        <v/>
      </c>
      <c r="U544" s="71">
        <f>IF($A544="","",SUMIFS($J$5:$J$800,$A$5:$A$800,"&gt;="&amp;DATE(YEAR($A544),MONTH($A544),1),$A$5:$A$800,"&lt;="&amp;$A544)+IF(AND(YEAR($A544)=YEAR(Settings!$B$3),MONTH($A544)=MONTH(Settings!$B$3)),Settings!$B$7,0))</f>
        <v/>
      </c>
      <c r="V544" s="70">
        <f>IF($A544="","",Settings!$B$8+SUM($B$5:B544))</f>
        <v/>
      </c>
      <c r="W544" s="71">
        <f>IF($A544="","",Settings!$B$9+SUM($J$5:J544))</f>
        <v/>
      </c>
      <c r="X544" s="71">
        <f>IF($A544="","",IF(AND(N544&gt;0,F544&gt;0),ROUND(F544/N544,0),X543))</f>
        <v/>
      </c>
      <c r="Y544" s="74">
        <f>IF($A544="","",IF(AND(M544&gt;0,L544&gt;0),ROUND(L544/M544,0),IF(AND(J544&gt;0,B544&gt;0),ROUND(B544/J544,0),Y543)))</f>
        <v/>
      </c>
    </row>
    <row r="545">
      <c r="A545" s="67" t="n"/>
      <c r="B545" s="68" t="n"/>
      <c r="C545" s="69" t="n"/>
      <c r="D545" s="68" t="n"/>
      <c r="E545" s="69" t="n"/>
      <c r="F545" s="68" t="n"/>
      <c r="G545" s="69" t="n"/>
      <c r="H545" s="68" t="n"/>
      <c r="I545" s="70">
        <f>IF($A545="","",R544)</f>
        <v/>
      </c>
      <c r="J545" s="71">
        <f>IF($A545="","",IF(C545="",0,C545))</f>
        <v/>
      </c>
      <c r="K545" s="71">
        <f>IF($A545="","",IF(E545="",0,E545))</f>
        <v/>
      </c>
      <c r="L545" s="70">
        <f>IF($A545="","",B545-D545)</f>
        <v/>
      </c>
      <c r="M545" s="71">
        <f>IF($A545="","",J545-K545)</f>
        <v/>
      </c>
      <c r="N545" s="71">
        <f>IF($A545="","",IF(G545="",0,G545))</f>
        <v/>
      </c>
      <c r="O545" s="70">
        <f>IF($A545="","",D545+F545)</f>
        <v/>
      </c>
      <c r="P545" s="71">
        <f>IF($A545="","",K545+N545)</f>
        <v/>
      </c>
      <c r="Q545" s="70">
        <f>IF($A545="","",I545+L545-F545)</f>
        <v/>
      </c>
      <c r="R545" s="72">
        <f>IF($A545="","",IF(H545="",Q545,H545))</f>
        <v/>
      </c>
      <c r="S545" s="73">
        <f>IF($A545="","",R545-Q545)</f>
        <v/>
      </c>
      <c r="T545" s="70">
        <f>IF($A545="","",SUMIFS($B$5:$B$800,$A$5:$A$800,"&gt;="&amp;DATE(YEAR($A545),MONTH($A545),1),$A$5:$A$800,"&lt;="&amp;$A545)+IF(AND(YEAR($A545)=YEAR(Settings!$B$3),MONTH($A545)=MONTH(Settings!$B$3)),Settings!$B$6,0))</f>
        <v/>
      </c>
      <c r="U545" s="71">
        <f>IF($A545="","",SUMIFS($J$5:$J$800,$A$5:$A$800,"&gt;="&amp;DATE(YEAR($A545),MONTH($A545),1),$A$5:$A$800,"&lt;="&amp;$A545)+IF(AND(YEAR($A545)=YEAR(Settings!$B$3),MONTH($A545)=MONTH(Settings!$B$3)),Settings!$B$7,0))</f>
        <v/>
      </c>
      <c r="V545" s="70">
        <f>IF($A545="","",Settings!$B$8+SUM($B$5:B545))</f>
        <v/>
      </c>
      <c r="W545" s="71">
        <f>IF($A545="","",Settings!$B$9+SUM($J$5:J545))</f>
        <v/>
      </c>
      <c r="X545" s="71">
        <f>IF($A545="","",IF(AND(N545&gt;0,F545&gt;0),ROUND(F545/N545,0),X544))</f>
        <v/>
      </c>
      <c r="Y545" s="74">
        <f>IF($A545="","",IF(AND(M545&gt;0,L545&gt;0),ROUND(L545/M545,0),IF(AND(J545&gt;0,B545&gt;0),ROUND(B545/J545,0),Y544)))</f>
        <v/>
      </c>
    </row>
    <row r="546">
      <c r="A546" s="67" t="n"/>
      <c r="B546" s="68" t="n"/>
      <c r="C546" s="69" t="n"/>
      <c r="D546" s="68" t="n"/>
      <c r="E546" s="69" t="n"/>
      <c r="F546" s="68" t="n"/>
      <c r="G546" s="69" t="n"/>
      <c r="H546" s="68" t="n"/>
      <c r="I546" s="70">
        <f>IF($A546="","",R545)</f>
        <v/>
      </c>
      <c r="J546" s="71">
        <f>IF($A546="","",IF(C546="",0,C546))</f>
        <v/>
      </c>
      <c r="K546" s="71">
        <f>IF($A546="","",IF(E546="",0,E546))</f>
        <v/>
      </c>
      <c r="L546" s="70">
        <f>IF($A546="","",B546-D546)</f>
        <v/>
      </c>
      <c r="M546" s="71">
        <f>IF($A546="","",J546-K546)</f>
        <v/>
      </c>
      <c r="N546" s="71">
        <f>IF($A546="","",IF(G546="",0,G546))</f>
        <v/>
      </c>
      <c r="O546" s="70">
        <f>IF($A546="","",D546+F546)</f>
        <v/>
      </c>
      <c r="P546" s="71">
        <f>IF($A546="","",K546+N546)</f>
        <v/>
      </c>
      <c r="Q546" s="70">
        <f>IF($A546="","",I546+L546-F546)</f>
        <v/>
      </c>
      <c r="R546" s="72">
        <f>IF($A546="","",IF(H546="",Q546,H546))</f>
        <v/>
      </c>
      <c r="S546" s="73">
        <f>IF($A546="","",R546-Q546)</f>
        <v/>
      </c>
      <c r="T546" s="70">
        <f>IF($A546="","",SUMIFS($B$5:$B$800,$A$5:$A$800,"&gt;="&amp;DATE(YEAR($A546),MONTH($A546),1),$A$5:$A$800,"&lt;="&amp;$A546)+IF(AND(YEAR($A546)=YEAR(Settings!$B$3),MONTH($A546)=MONTH(Settings!$B$3)),Settings!$B$6,0))</f>
        <v/>
      </c>
      <c r="U546" s="71">
        <f>IF($A546="","",SUMIFS($J$5:$J$800,$A$5:$A$800,"&gt;="&amp;DATE(YEAR($A546),MONTH($A546),1),$A$5:$A$800,"&lt;="&amp;$A546)+IF(AND(YEAR($A546)=YEAR(Settings!$B$3),MONTH($A546)=MONTH(Settings!$B$3)),Settings!$B$7,0))</f>
        <v/>
      </c>
      <c r="V546" s="70">
        <f>IF($A546="","",Settings!$B$8+SUM($B$5:B546))</f>
        <v/>
      </c>
      <c r="W546" s="71">
        <f>IF($A546="","",Settings!$B$9+SUM($J$5:J546))</f>
        <v/>
      </c>
      <c r="X546" s="71">
        <f>IF($A546="","",IF(AND(N546&gt;0,F546&gt;0),ROUND(F546/N546,0),X545))</f>
        <v/>
      </c>
      <c r="Y546" s="74">
        <f>IF($A546="","",IF(AND(M546&gt;0,L546&gt;0),ROUND(L546/M546,0),IF(AND(J546&gt;0,B546&gt;0),ROUND(B546/J546,0),Y545)))</f>
        <v/>
      </c>
    </row>
    <row r="547">
      <c r="A547" s="67" t="n"/>
      <c r="B547" s="68" t="n"/>
      <c r="C547" s="69" t="n"/>
      <c r="D547" s="68" t="n"/>
      <c r="E547" s="69" t="n"/>
      <c r="F547" s="68" t="n"/>
      <c r="G547" s="69" t="n"/>
      <c r="H547" s="68" t="n"/>
      <c r="I547" s="70">
        <f>IF($A547="","",R546)</f>
        <v/>
      </c>
      <c r="J547" s="71">
        <f>IF($A547="","",IF(C547="",0,C547))</f>
        <v/>
      </c>
      <c r="K547" s="71">
        <f>IF($A547="","",IF(E547="",0,E547))</f>
        <v/>
      </c>
      <c r="L547" s="70">
        <f>IF($A547="","",B547-D547)</f>
        <v/>
      </c>
      <c r="M547" s="71">
        <f>IF($A547="","",J547-K547)</f>
        <v/>
      </c>
      <c r="N547" s="71">
        <f>IF($A547="","",IF(G547="",0,G547))</f>
        <v/>
      </c>
      <c r="O547" s="70">
        <f>IF($A547="","",D547+F547)</f>
        <v/>
      </c>
      <c r="P547" s="71">
        <f>IF($A547="","",K547+N547)</f>
        <v/>
      </c>
      <c r="Q547" s="70">
        <f>IF($A547="","",I547+L547-F547)</f>
        <v/>
      </c>
      <c r="R547" s="72">
        <f>IF($A547="","",IF(H547="",Q547,H547))</f>
        <v/>
      </c>
      <c r="S547" s="73">
        <f>IF($A547="","",R547-Q547)</f>
        <v/>
      </c>
      <c r="T547" s="70">
        <f>IF($A547="","",SUMIFS($B$5:$B$800,$A$5:$A$800,"&gt;="&amp;DATE(YEAR($A547),MONTH($A547),1),$A$5:$A$800,"&lt;="&amp;$A547)+IF(AND(YEAR($A547)=YEAR(Settings!$B$3),MONTH($A547)=MONTH(Settings!$B$3)),Settings!$B$6,0))</f>
        <v/>
      </c>
      <c r="U547" s="71">
        <f>IF($A547="","",SUMIFS($J$5:$J$800,$A$5:$A$800,"&gt;="&amp;DATE(YEAR($A547),MONTH($A547),1),$A$5:$A$800,"&lt;="&amp;$A547)+IF(AND(YEAR($A547)=YEAR(Settings!$B$3),MONTH($A547)=MONTH(Settings!$B$3)),Settings!$B$7,0))</f>
        <v/>
      </c>
      <c r="V547" s="70">
        <f>IF($A547="","",Settings!$B$8+SUM($B$5:B547))</f>
        <v/>
      </c>
      <c r="W547" s="71">
        <f>IF($A547="","",Settings!$B$9+SUM($J$5:J547))</f>
        <v/>
      </c>
      <c r="X547" s="71">
        <f>IF($A547="","",IF(AND(N547&gt;0,F547&gt;0),ROUND(F547/N547,0),X546))</f>
        <v/>
      </c>
      <c r="Y547" s="74">
        <f>IF($A547="","",IF(AND(M547&gt;0,L547&gt;0),ROUND(L547/M547,0),IF(AND(J547&gt;0,B547&gt;0),ROUND(B547/J547,0),Y546)))</f>
        <v/>
      </c>
    </row>
    <row r="548">
      <c r="A548" s="67" t="n"/>
      <c r="B548" s="68" t="n"/>
      <c r="C548" s="69" t="n"/>
      <c r="D548" s="68" t="n"/>
      <c r="E548" s="69" t="n"/>
      <c r="F548" s="68" t="n"/>
      <c r="G548" s="69" t="n"/>
      <c r="H548" s="68" t="n"/>
      <c r="I548" s="70">
        <f>IF($A548="","",R547)</f>
        <v/>
      </c>
      <c r="J548" s="71">
        <f>IF($A548="","",IF(C548="",0,C548))</f>
        <v/>
      </c>
      <c r="K548" s="71">
        <f>IF($A548="","",IF(E548="",0,E548))</f>
        <v/>
      </c>
      <c r="L548" s="70">
        <f>IF($A548="","",B548-D548)</f>
        <v/>
      </c>
      <c r="M548" s="71">
        <f>IF($A548="","",J548-K548)</f>
        <v/>
      </c>
      <c r="N548" s="71">
        <f>IF($A548="","",IF(G548="",0,G548))</f>
        <v/>
      </c>
      <c r="O548" s="70">
        <f>IF($A548="","",D548+F548)</f>
        <v/>
      </c>
      <c r="P548" s="71">
        <f>IF($A548="","",K548+N548)</f>
        <v/>
      </c>
      <c r="Q548" s="70">
        <f>IF($A548="","",I548+L548-F548)</f>
        <v/>
      </c>
      <c r="R548" s="72">
        <f>IF($A548="","",IF(H548="",Q548,H548))</f>
        <v/>
      </c>
      <c r="S548" s="73">
        <f>IF($A548="","",R548-Q548)</f>
        <v/>
      </c>
      <c r="T548" s="70">
        <f>IF($A548="","",SUMIFS($B$5:$B$800,$A$5:$A$800,"&gt;="&amp;DATE(YEAR($A548),MONTH($A548),1),$A$5:$A$800,"&lt;="&amp;$A548)+IF(AND(YEAR($A548)=YEAR(Settings!$B$3),MONTH($A548)=MONTH(Settings!$B$3)),Settings!$B$6,0))</f>
        <v/>
      </c>
      <c r="U548" s="71">
        <f>IF($A548="","",SUMIFS($J$5:$J$800,$A$5:$A$800,"&gt;="&amp;DATE(YEAR($A548),MONTH($A548),1),$A$5:$A$800,"&lt;="&amp;$A548)+IF(AND(YEAR($A548)=YEAR(Settings!$B$3),MONTH($A548)=MONTH(Settings!$B$3)),Settings!$B$7,0))</f>
        <v/>
      </c>
      <c r="V548" s="70">
        <f>IF($A548="","",Settings!$B$8+SUM($B$5:B548))</f>
        <v/>
      </c>
      <c r="W548" s="71">
        <f>IF($A548="","",Settings!$B$9+SUM($J$5:J548))</f>
        <v/>
      </c>
      <c r="X548" s="71">
        <f>IF($A548="","",IF(AND(N548&gt;0,F548&gt;0),ROUND(F548/N548,0),X547))</f>
        <v/>
      </c>
      <c r="Y548" s="74">
        <f>IF($A548="","",IF(AND(M548&gt;0,L548&gt;0),ROUND(L548/M548,0),IF(AND(J548&gt;0,B548&gt;0),ROUND(B548/J548,0),Y547)))</f>
        <v/>
      </c>
    </row>
    <row r="549">
      <c r="A549" s="67" t="n"/>
      <c r="B549" s="68" t="n"/>
      <c r="C549" s="69" t="n"/>
      <c r="D549" s="68" t="n"/>
      <c r="E549" s="69" t="n"/>
      <c r="F549" s="68" t="n"/>
      <c r="G549" s="69" t="n"/>
      <c r="H549" s="68" t="n"/>
      <c r="I549" s="70">
        <f>IF($A549="","",R548)</f>
        <v/>
      </c>
      <c r="J549" s="71">
        <f>IF($A549="","",IF(C549="",0,C549))</f>
        <v/>
      </c>
      <c r="K549" s="71">
        <f>IF($A549="","",IF(E549="",0,E549))</f>
        <v/>
      </c>
      <c r="L549" s="70">
        <f>IF($A549="","",B549-D549)</f>
        <v/>
      </c>
      <c r="M549" s="71">
        <f>IF($A549="","",J549-K549)</f>
        <v/>
      </c>
      <c r="N549" s="71">
        <f>IF($A549="","",IF(G549="",0,G549))</f>
        <v/>
      </c>
      <c r="O549" s="70">
        <f>IF($A549="","",D549+F549)</f>
        <v/>
      </c>
      <c r="P549" s="71">
        <f>IF($A549="","",K549+N549)</f>
        <v/>
      </c>
      <c r="Q549" s="70">
        <f>IF($A549="","",I549+L549-F549)</f>
        <v/>
      </c>
      <c r="R549" s="72">
        <f>IF($A549="","",IF(H549="",Q549,H549))</f>
        <v/>
      </c>
      <c r="S549" s="73">
        <f>IF($A549="","",R549-Q549)</f>
        <v/>
      </c>
      <c r="T549" s="70">
        <f>IF($A549="","",SUMIFS($B$5:$B$800,$A$5:$A$800,"&gt;="&amp;DATE(YEAR($A549),MONTH($A549),1),$A$5:$A$800,"&lt;="&amp;$A549)+IF(AND(YEAR($A549)=YEAR(Settings!$B$3),MONTH($A549)=MONTH(Settings!$B$3)),Settings!$B$6,0))</f>
        <v/>
      </c>
      <c r="U549" s="71">
        <f>IF($A549="","",SUMIFS($J$5:$J$800,$A$5:$A$800,"&gt;="&amp;DATE(YEAR($A549),MONTH($A549),1),$A$5:$A$800,"&lt;="&amp;$A549)+IF(AND(YEAR($A549)=YEAR(Settings!$B$3),MONTH($A549)=MONTH(Settings!$B$3)),Settings!$B$7,0))</f>
        <v/>
      </c>
      <c r="V549" s="70">
        <f>IF($A549="","",Settings!$B$8+SUM($B$5:B549))</f>
        <v/>
      </c>
      <c r="W549" s="71">
        <f>IF($A549="","",Settings!$B$9+SUM($J$5:J549))</f>
        <v/>
      </c>
      <c r="X549" s="71">
        <f>IF($A549="","",IF(AND(N549&gt;0,F549&gt;0),ROUND(F549/N549,0),X548))</f>
        <v/>
      </c>
      <c r="Y549" s="74">
        <f>IF($A549="","",IF(AND(M549&gt;0,L549&gt;0),ROUND(L549/M549,0),IF(AND(J549&gt;0,B549&gt;0),ROUND(B549/J549,0),Y548)))</f>
        <v/>
      </c>
    </row>
    <row r="550">
      <c r="A550" s="67" t="n"/>
      <c r="B550" s="68" t="n"/>
      <c r="C550" s="69" t="n"/>
      <c r="D550" s="68" t="n"/>
      <c r="E550" s="69" t="n"/>
      <c r="F550" s="68" t="n"/>
      <c r="G550" s="69" t="n"/>
      <c r="H550" s="68" t="n"/>
      <c r="I550" s="70">
        <f>IF($A550="","",R549)</f>
        <v/>
      </c>
      <c r="J550" s="71">
        <f>IF($A550="","",IF(C550="",0,C550))</f>
        <v/>
      </c>
      <c r="K550" s="71">
        <f>IF($A550="","",IF(E550="",0,E550))</f>
        <v/>
      </c>
      <c r="L550" s="70">
        <f>IF($A550="","",B550-D550)</f>
        <v/>
      </c>
      <c r="M550" s="71">
        <f>IF($A550="","",J550-K550)</f>
        <v/>
      </c>
      <c r="N550" s="71">
        <f>IF($A550="","",IF(G550="",0,G550))</f>
        <v/>
      </c>
      <c r="O550" s="70">
        <f>IF($A550="","",D550+F550)</f>
        <v/>
      </c>
      <c r="P550" s="71">
        <f>IF($A550="","",K550+N550)</f>
        <v/>
      </c>
      <c r="Q550" s="70">
        <f>IF($A550="","",I550+L550-F550)</f>
        <v/>
      </c>
      <c r="R550" s="72">
        <f>IF($A550="","",IF(H550="",Q550,H550))</f>
        <v/>
      </c>
      <c r="S550" s="73">
        <f>IF($A550="","",R550-Q550)</f>
        <v/>
      </c>
      <c r="T550" s="70">
        <f>IF($A550="","",SUMIFS($B$5:$B$800,$A$5:$A$800,"&gt;="&amp;DATE(YEAR($A550),MONTH($A550),1),$A$5:$A$800,"&lt;="&amp;$A550)+IF(AND(YEAR($A550)=YEAR(Settings!$B$3),MONTH($A550)=MONTH(Settings!$B$3)),Settings!$B$6,0))</f>
        <v/>
      </c>
      <c r="U550" s="71">
        <f>IF($A550="","",SUMIFS($J$5:$J$800,$A$5:$A$800,"&gt;="&amp;DATE(YEAR($A550),MONTH($A550),1),$A$5:$A$800,"&lt;="&amp;$A550)+IF(AND(YEAR($A550)=YEAR(Settings!$B$3),MONTH($A550)=MONTH(Settings!$B$3)),Settings!$B$7,0))</f>
        <v/>
      </c>
      <c r="V550" s="70">
        <f>IF($A550="","",Settings!$B$8+SUM($B$5:B550))</f>
        <v/>
      </c>
      <c r="W550" s="71">
        <f>IF($A550="","",Settings!$B$9+SUM($J$5:J550))</f>
        <v/>
      </c>
      <c r="X550" s="71">
        <f>IF($A550="","",IF(AND(N550&gt;0,F550&gt;0),ROUND(F550/N550,0),X549))</f>
        <v/>
      </c>
      <c r="Y550" s="74">
        <f>IF($A550="","",IF(AND(M550&gt;0,L550&gt;0),ROUND(L550/M550,0),IF(AND(J550&gt;0,B550&gt;0),ROUND(B550/J550,0),Y549)))</f>
        <v/>
      </c>
    </row>
    <row r="551">
      <c r="A551" s="67" t="n"/>
      <c r="B551" s="68" t="n"/>
      <c r="C551" s="69" t="n"/>
      <c r="D551" s="68" t="n"/>
      <c r="E551" s="69" t="n"/>
      <c r="F551" s="68" t="n"/>
      <c r="G551" s="69" t="n"/>
      <c r="H551" s="68" t="n"/>
      <c r="I551" s="70">
        <f>IF($A551="","",R550)</f>
        <v/>
      </c>
      <c r="J551" s="71">
        <f>IF($A551="","",IF(C551="",0,C551))</f>
        <v/>
      </c>
      <c r="K551" s="71">
        <f>IF($A551="","",IF(E551="",0,E551))</f>
        <v/>
      </c>
      <c r="L551" s="70">
        <f>IF($A551="","",B551-D551)</f>
        <v/>
      </c>
      <c r="M551" s="71">
        <f>IF($A551="","",J551-K551)</f>
        <v/>
      </c>
      <c r="N551" s="71">
        <f>IF($A551="","",IF(G551="",0,G551))</f>
        <v/>
      </c>
      <c r="O551" s="70">
        <f>IF($A551="","",D551+F551)</f>
        <v/>
      </c>
      <c r="P551" s="71">
        <f>IF($A551="","",K551+N551)</f>
        <v/>
      </c>
      <c r="Q551" s="70">
        <f>IF($A551="","",I551+L551-F551)</f>
        <v/>
      </c>
      <c r="R551" s="72">
        <f>IF($A551="","",IF(H551="",Q551,H551))</f>
        <v/>
      </c>
      <c r="S551" s="73">
        <f>IF($A551="","",R551-Q551)</f>
        <v/>
      </c>
      <c r="T551" s="70">
        <f>IF($A551="","",SUMIFS($B$5:$B$800,$A$5:$A$800,"&gt;="&amp;DATE(YEAR($A551),MONTH($A551),1),$A$5:$A$800,"&lt;="&amp;$A551)+IF(AND(YEAR($A551)=YEAR(Settings!$B$3),MONTH($A551)=MONTH(Settings!$B$3)),Settings!$B$6,0))</f>
        <v/>
      </c>
      <c r="U551" s="71">
        <f>IF($A551="","",SUMIFS($J$5:$J$800,$A$5:$A$800,"&gt;="&amp;DATE(YEAR($A551),MONTH($A551),1),$A$5:$A$800,"&lt;="&amp;$A551)+IF(AND(YEAR($A551)=YEAR(Settings!$B$3),MONTH($A551)=MONTH(Settings!$B$3)),Settings!$B$7,0))</f>
        <v/>
      </c>
      <c r="V551" s="70">
        <f>IF($A551="","",Settings!$B$8+SUM($B$5:B551))</f>
        <v/>
      </c>
      <c r="W551" s="71">
        <f>IF($A551="","",Settings!$B$9+SUM($J$5:J551))</f>
        <v/>
      </c>
      <c r="X551" s="71">
        <f>IF($A551="","",IF(AND(N551&gt;0,F551&gt;0),ROUND(F551/N551,0),X550))</f>
        <v/>
      </c>
      <c r="Y551" s="74">
        <f>IF($A551="","",IF(AND(M551&gt;0,L551&gt;0),ROUND(L551/M551,0),IF(AND(J551&gt;0,B551&gt;0),ROUND(B551/J551,0),Y550)))</f>
        <v/>
      </c>
    </row>
    <row r="552">
      <c r="A552" s="67" t="n"/>
      <c r="B552" s="68" t="n"/>
      <c r="C552" s="69" t="n"/>
      <c r="D552" s="68" t="n"/>
      <c r="E552" s="69" t="n"/>
      <c r="F552" s="68" t="n"/>
      <c r="G552" s="69" t="n"/>
      <c r="H552" s="68" t="n"/>
      <c r="I552" s="70">
        <f>IF($A552="","",R551)</f>
        <v/>
      </c>
      <c r="J552" s="71">
        <f>IF($A552="","",IF(C552="",0,C552))</f>
        <v/>
      </c>
      <c r="K552" s="71">
        <f>IF($A552="","",IF(E552="",0,E552))</f>
        <v/>
      </c>
      <c r="L552" s="70">
        <f>IF($A552="","",B552-D552)</f>
        <v/>
      </c>
      <c r="M552" s="71">
        <f>IF($A552="","",J552-K552)</f>
        <v/>
      </c>
      <c r="N552" s="71">
        <f>IF($A552="","",IF(G552="",0,G552))</f>
        <v/>
      </c>
      <c r="O552" s="70">
        <f>IF($A552="","",D552+F552)</f>
        <v/>
      </c>
      <c r="P552" s="71">
        <f>IF($A552="","",K552+N552)</f>
        <v/>
      </c>
      <c r="Q552" s="70">
        <f>IF($A552="","",I552+L552-F552)</f>
        <v/>
      </c>
      <c r="R552" s="72">
        <f>IF($A552="","",IF(H552="",Q552,H552))</f>
        <v/>
      </c>
      <c r="S552" s="73">
        <f>IF($A552="","",R552-Q552)</f>
        <v/>
      </c>
      <c r="T552" s="70">
        <f>IF($A552="","",SUMIFS($B$5:$B$800,$A$5:$A$800,"&gt;="&amp;DATE(YEAR($A552),MONTH($A552),1),$A$5:$A$800,"&lt;="&amp;$A552)+IF(AND(YEAR($A552)=YEAR(Settings!$B$3),MONTH($A552)=MONTH(Settings!$B$3)),Settings!$B$6,0))</f>
        <v/>
      </c>
      <c r="U552" s="71">
        <f>IF($A552="","",SUMIFS($J$5:$J$800,$A$5:$A$800,"&gt;="&amp;DATE(YEAR($A552),MONTH($A552),1),$A$5:$A$800,"&lt;="&amp;$A552)+IF(AND(YEAR($A552)=YEAR(Settings!$B$3),MONTH($A552)=MONTH(Settings!$B$3)),Settings!$B$7,0))</f>
        <v/>
      </c>
      <c r="V552" s="70">
        <f>IF($A552="","",Settings!$B$8+SUM($B$5:B552))</f>
        <v/>
      </c>
      <c r="W552" s="71">
        <f>IF($A552="","",Settings!$B$9+SUM($J$5:J552))</f>
        <v/>
      </c>
      <c r="X552" s="71">
        <f>IF($A552="","",IF(AND(N552&gt;0,F552&gt;0),ROUND(F552/N552,0),X551))</f>
        <v/>
      </c>
      <c r="Y552" s="74">
        <f>IF($A552="","",IF(AND(M552&gt;0,L552&gt;0),ROUND(L552/M552,0),IF(AND(J552&gt;0,B552&gt;0),ROUND(B552/J552,0),Y551)))</f>
        <v/>
      </c>
    </row>
    <row r="553">
      <c r="A553" s="67" t="n"/>
      <c r="B553" s="68" t="n"/>
      <c r="C553" s="69" t="n"/>
      <c r="D553" s="68" t="n"/>
      <c r="E553" s="69" t="n"/>
      <c r="F553" s="68" t="n"/>
      <c r="G553" s="69" t="n"/>
      <c r="H553" s="68" t="n"/>
      <c r="I553" s="70">
        <f>IF($A553="","",R552)</f>
        <v/>
      </c>
      <c r="J553" s="71">
        <f>IF($A553="","",IF(C553="",0,C553))</f>
        <v/>
      </c>
      <c r="K553" s="71">
        <f>IF($A553="","",IF(E553="",0,E553))</f>
        <v/>
      </c>
      <c r="L553" s="70">
        <f>IF($A553="","",B553-D553)</f>
        <v/>
      </c>
      <c r="M553" s="71">
        <f>IF($A553="","",J553-K553)</f>
        <v/>
      </c>
      <c r="N553" s="71">
        <f>IF($A553="","",IF(G553="",0,G553))</f>
        <v/>
      </c>
      <c r="O553" s="70">
        <f>IF($A553="","",D553+F553)</f>
        <v/>
      </c>
      <c r="P553" s="71">
        <f>IF($A553="","",K553+N553)</f>
        <v/>
      </c>
      <c r="Q553" s="70">
        <f>IF($A553="","",I553+L553-F553)</f>
        <v/>
      </c>
      <c r="R553" s="72">
        <f>IF($A553="","",IF(H553="",Q553,H553))</f>
        <v/>
      </c>
      <c r="S553" s="73">
        <f>IF($A553="","",R553-Q553)</f>
        <v/>
      </c>
      <c r="T553" s="70">
        <f>IF($A553="","",SUMIFS($B$5:$B$800,$A$5:$A$800,"&gt;="&amp;DATE(YEAR($A553),MONTH($A553),1),$A$5:$A$800,"&lt;="&amp;$A553)+IF(AND(YEAR($A553)=YEAR(Settings!$B$3),MONTH($A553)=MONTH(Settings!$B$3)),Settings!$B$6,0))</f>
        <v/>
      </c>
      <c r="U553" s="71">
        <f>IF($A553="","",SUMIFS($J$5:$J$800,$A$5:$A$800,"&gt;="&amp;DATE(YEAR($A553),MONTH($A553),1),$A$5:$A$800,"&lt;="&amp;$A553)+IF(AND(YEAR($A553)=YEAR(Settings!$B$3),MONTH($A553)=MONTH(Settings!$B$3)),Settings!$B$7,0))</f>
        <v/>
      </c>
      <c r="V553" s="70">
        <f>IF($A553="","",Settings!$B$8+SUM($B$5:B553))</f>
        <v/>
      </c>
      <c r="W553" s="71">
        <f>IF($A553="","",Settings!$B$9+SUM($J$5:J553))</f>
        <v/>
      </c>
      <c r="X553" s="71">
        <f>IF($A553="","",IF(AND(N553&gt;0,F553&gt;0),ROUND(F553/N553,0),X552))</f>
        <v/>
      </c>
      <c r="Y553" s="74">
        <f>IF($A553="","",IF(AND(M553&gt;0,L553&gt;0),ROUND(L553/M553,0),IF(AND(J553&gt;0,B553&gt;0),ROUND(B553/J553,0),Y552)))</f>
        <v/>
      </c>
    </row>
    <row r="554">
      <c r="A554" s="67" t="n"/>
      <c r="B554" s="68" t="n"/>
      <c r="C554" s="69" t="n"/>
      <c r="D554" s="68" t="n"/>
      <c r="E554" s="69" t="n"/>
      <c r="F554" s="68" t="n"/>
      <c r="G554" s="69" t="n"/>
      <c r="H554" s="68" t="n"/>
      <c r="I554" s="70">
        <f>IF($A554="","",R553)</f>
        <v/>
      </c>
      <c r="J554" s="71">
        <f>IF($A554="","",IF(C554="",0,C554))</f>
        <v/>
      </c>
      <c r="K554" s="71">
        <f>IF($A554="","",IF(E554="",0,E554))</f>
        <v/>
      </c>
      <c r="L554" s="70">
        <f>IF($A554="","",B554-D554)</f>
        <v/>
      </c>
      <c r="M554" s="71">
        <f>IF($A554="","",J554-K554)</f>
        <v/>
      </c>
      <c r="N554" s="71">
        <f>IF($A554="","",IF(G554="",0,G554))</f>
        <v/>
      </c>
      <c r="O554" s="70">
        <f>IF($A554="","",D554+F554)</f>
        <v/>
      </c>
      <c r="P554" s="71">
        <f>IF($A554="","",K554+N554)</f>
        <v/>
      </c>
      <c r="Q554" s="70">
        <f>IF($A554="","",I554+L554-F554)</f>
        <v/>
      </c>
      <c r="R554" s="72">
        <f>IF($A554="","",IF(H554="",Q554,H554))</f>
        <v/>
      </c>
      <c r="S554" s="73">
        <f>IF($A554="","",R554-Q554)</f>
        <v/>
      </c>
      <c r="T554" s="70">
        <f>IF($A554="","",SUMIFS($B$5:$B$800,$A$5:$A$800,"&gt;="&amp;DATE(YEAR($A554),MONTH($A554),1),$A$5:$A$800,"&lt;="&amp;$A554)+IF(AND(YEAR($A554)=YEAR(Settings!$B$3),MONTH($A554)=MONTH(Settings!$B$3)),Settings!$B$6,0))</f>
        <v/>
      </c>
      <c r="U554" s="71">
        <f>IF($A554="","",SUMIFS($J$5:$J$800,$A$5:$A$800,"&gt;="&amp;DATE(YEAR($A554),MONTH($A554),1),$A$5:$A$800,"&lt;="&amp;$A554)+IF(AND(YEAR($A554)=YEAR(Settings!$B$3),MONTH($A554)=MONTH(Settings!$B$3)),Settings!$B$7,0))</f>
        <v/>
      </c>
      <c r="V554" s="70">
        <f>IF($A554="","",Settings!$B$8+SUM($B$5:B554))</f>
        <v/>
      </c>
      <c r="W554" s="71">
        <f>IF($A554="","",Settings!$B$9+SUM($J$5:J554))</f>
        <v/>
      </c>
      <c r="X554" s="71">
        <f>IF($A554="","",IF(AND(N554&gt;0,F554&gt;0),ROUND(F554/N554,0),X553))</f>
        <v/>
      </c>
      <c r="Y554" s="74">
        <f>IF($A554="","",IF(AND(M554&gt;0,L554&gt;0),ROUND(L554/M554,0),IF(AND(J554&gt;0,B554&gt;0),ROUND(B554/J554,0),Y553)))</f>
        <v/>
      </c>
    </row>
    <row r="555">
      <c r="A555" s="67" t="n"/>
      <c r="B555" s="68" t="n"/>
      <c r="C555" s="69" t="n"/>
      <c r="D555" s="68" t="n"/>
      <c r="E555" s="69" t="n"/>
      <c r="F555" s="68" t="n"/>
      <c r="G555" s="69" t="n"/>
      <c r="H555" s="68" t="n"/>
      <c r="I555" s="70">
        <f>IF($A555="","",R554)</f>
        <v/>
      </c>
      <c r="J555" s="71">
        <f>IF($A555="","",IF(C555="",0,C555))</f>
        <v/>
      </c>
      <c r="K555" s="71">
        <f>IF($A555="","",IF(E555="",0,E555))</f>
        <v/>
      </c>
      <c r="L555" s="70">
        <f>IF($A555="","",B555-D555)</f>
        <v/>
      </c>
      <c r="M555" s="71">
        <f>IF($A555="","",J555-K555)</f>
        <v/>
      </c>
      <c r="N555" s="71">
        <f>IF($A555="","",IF(G555="",0,G555))</f>
        <v/>
      </c>
      <c r="O555" s="70">
        <f>IF($A555="","",D555+F555)</f>
        <v/>
      </c>
      <c r="P555" s="71">
        <f>IF($A555="","",K555+N555)</f>
        <v/>
      </c>
      <c r="Q555" s="70">
        <f>IF($A555="","",I555+L555-F555)</f>
        <v/>
      </c>
      <c r="R555" s="72">
        <f>IF($A555="","",IF(H555="",Q555,H555))</f>
        <v/>
      </c>
      <c r="S555" s="73">
        <f>IF($A555="","",R555-Q555)</f>
        <v/>
      </c>
      <c r="T555" s="70">
        <f>IF($A555="","",SUMIFS($B$5:$B$800,$A$5:$A$800,"&gt;="&amp;DATE(YEAR($A555),MONTH($A555),1),$A$5:$A$800,"&lt;="&amp;$A555)+IF(AND(YEAR($A555)=YEAR(Settings!$B$3),MONTH($A555)=MONTH(Settings!$B$3)),Settings!$B$6,0))</f>
        <v/>
      </c>
      <c r="U555" s="71">
        <f>IF($A555="","",SUMIFS($J$5:$J$800,$A$5:$A$800,"&gt;="&amp;DATE(YEAR($A555),MONTH($A555),1),$A$5:$A$800,"&lt;="&amp;$A555)+IF(AND(YEAR($A555)=YEAR(Settings!$B$3),MONTH($A555)=MONTH(Settings!$B$3)),Settings!$B$7,0))</f>
        <v/>
      </c>
      <c r="V555" s="70">
        <f>IF($A555="","",Settings!$B$8+SUM($B$5:B555))</f>
        <v/>
      </c>
      <c r="W555" s="71">
        <f>IF($A555="","",Settings!$B$9+SUM($J$5:J555))</f>
        <v/>
      </c>
      <c r="X555" s="71">
        <f>IF($A555="","",IF(AND(N555&gt;0,F555&gt;0),ROUND(F555/N555,0),X554))</f>
        <v/>
      </c>
      <c r="Y555" s="74">
        <f>IF($A555="","",IF(AND(M555&gt;0,L555&gt;0),ROUND(L555/M555,0),IF(AND(J555&gt;0,B555&gt;0),ROUND(B555/J555,0),Y554)))</f>
        <v/>
      </c>
    </row>
    <row r="556">
      <c r="A556" s="67" t="n"/>
      <c r="B556" s="68" t="n"/>
      <c r="C556" s="69" t="n"/>
      <c r="D556" s="68" t="n"/>
      <c r="E556" s="69" t="n"/>
      <c r="F556" s="68" t="n"/>
      <c r="G556" s="69" t="n"/>
      <c r="H556" s="68" t="n"/>
      <c r="I556" s="70">
        <f>IF($A556="","",R555)</f>
        <v/>
      </c>
      <c r="J556" s="71">
        <f>IF($A556="","",IF(C556="",0,C556))</f>
        <v/>
      </c>
      <c r="K556" s="71">
        <f>IF($A556="","",IF(E556="",0,E556))</f>
        <v/>
      </c>
      <c r="L556" s="70">
        <f>IF($A556="","",B556-D556)</f>
        <v/>
      </c>
      <c r="M556" s="71">
        <f>IF($A556="","",J556-K556)</f>
        <v/>
      </c>
      <c r="N556" s="71">
        <f>IF($A556="","",IF(G556="",0,G556))</f>
        <v/>
      </c>
      <c r="O556" s="70">
        <f>IF($A556="","",D556+F556)</f>
        <v/>
      </c>
      <c r="P556" s="71">
        <f>IF($A556="","",K556+N556)</f>
        <v/>
      </c>
      <c r="Q556" s="70">
        <f>IF($A556="","",I556+L556-F556)</f>
        <v/>
      </c>
      <c r="R556" s="72">
        <f>IF($A556="","",IF(H556="",Q556,H556))</f>
        <v/>
      </c>
      <c r="S556" s="73">
        <f>IF($A556="","",R556-Q556)</f>
        <v/>
      </c>
      <c r="T556" s="70">
        <f>IF($A556="","",SUMIFS($B$5:$B$800,$A$5:$A$800,"&gt;="&amp;DATE(YEAR($A556),MONTH($A556),1),$A$5:$A$800,"&lt;="&amp;$A556)+IF(AND(YEAR($A556)=YEAR(Settings!$B$3),MONTH($A556)=MONTH(Settings!$B$3)),Settings!$B$6,0))</f>
        <v/>
      </c>
      <c r="U556" s="71">
        <f>IF($A556="","",SUMIFS($J$5:$J$800,$A$5:$A$800,"&gt;="&amp;DATE(YEAR($A556),MONTH($A556),1),$A$5:$A$800,"&lt;="&amp;$A556)+IF(AND(YEAR($A556)=YEAR(Settings!$B$3),MONTH($A556)=MONTH(Settings!$B$3)),Settings!$B$7,0))</f>
        <v/>
      </c>
      <c r="V556" s="70">
        <f>IF($A556="","",Settings!$B$8+SUM($B$5:B556))</f>
        <v/>
      </c>
      <c r="W556" s="71">
        <f>IF($A556="","",Settings!$B$9+SUM($J$5:J556))</f>
        <v/>
      </c>
      <c r="X556" s="71">
        <f>IF($A556="","",IF(AND(N556&gt;0,F556&gt;0),ROUND(F556/N556,0),X555))</f>
        <v/>
      </c>
      <c r="Y556" s="74">
        <f>IF($A556="","",IF(AND(M556&gt;0,L556&gt;0),ROUND(L556/M556,0),IF(AND(J556&gt;0,B556&gt;0),ROUND(B556/J556,0),Y555)))</f>
        <v/>
      </c>
    </row>
    <row r="557">
      <c r="A557" s="67" t="n"/>
      <c r="B557" s="68" t="n"/>
      <c r="C557" s="69" t="n"/>
      <c r="D557" s="68" t="n"/>
      <c r="E557" s="69" t="n"/>
      <c r="F557" s="68" t="n"/>
      <c r="G557" s="69" t="n"/>
      <c r="H557" s="68" t="n"/>
      <c r="I557" s="70">
        <f>IF($A557="","",R556)</f>
        <v/>
      </c>
      <c r="J557" s="71">
        <f>IF($A557="","",IF(C557="",0,C557))</f>
        <v/>
      </c>
      <c r="K557" s="71">
        <f>IF($A557="","",IF(E557="",0,E557))</f>
        <v/>
      </c>
      <c r="L557" s="70">
        <f>IF($A557="","",B557-D557)</f>
        <v/>
      </c>
      <c r="M557" s="71">
        <f>IF($A557="","",J557-K557)</f>
        <v/>
      </c>
      <c r="N557" s="71">
        <f>IF($A557="","",IF(G557="",0,G557))</f>
        <v/>
      </c>
      <c r="O557" s="70">
        <f>IF($A557="","",D557+F557)</f>
        <v/>
      </c>
      <c r="P557" s="71">
        <f>IF($A557="","",K557+N557)</f>
        <v/>
      </c>
      <c r="Q557" s="70">
        <f>IF($A557="","",I557+L557-F557)</f>
        <v/>
      </c>
      <c r="R557" s="72">
        <f>IF($A557="","",IF(H557="",Q557,H557))</f>
        <v/>
      </c>
      <c r="S557" s="73">
        <f>IF($A557="","",R557-Q557)</f>
        <v/>
      </c>
      <c r="T557" s="70">
        <f>IF($A557="","",SUMIFS($B$5:$B$800,$A$5:$A$800,"&gt;="&amp;DATE(YEAR($A557),MONTH($A557),1),$A$5:$A$800,"&lt;="&amp;$A557)+IF(AND(YEAR($A557)=YEAR(Settings!$B$3),MONTH($A557)=MONTH(Settings!$B$3)),Settings!$B$6,0))</f>
        <v/>
      </c>
      <c r="U557" s="71">
        <f>IF($A557="","",SUMIFS($J$5:$J$800,$A$5:$A$800,"&gt;="&amp;DATE(YEAR($A557),MONTH($A557),1),$A$5:$A$800,"&lt;="&amp;$A557)+IF(AND(YEAR($A557)=YEAR(Settings!$B$3),MONTH($A557)=MONTH(Settings!$B$3)),Settings!$B$7,0))</f>
        <v/>
      </c>
      <c r="V557" s="70">
        <f>IF($A557="","",Settings!$B$8+SUM($B$5:B557))</f>
        <v/>
      </c>
      <c r="W557" s="71">
        <f>IF($A557="","",Settings!$B$9+SUM($J$5:J557))</f>
        <v/>
      </c>
      <c r="X557" s="71">
        <f>IF($A557="","",IF(AND(N557&gt;0,F557&gt;0),ROUND(F557/N557,0),X556))</f>
        <v/>
      </c>
      <c r="Y557" s="74">
        <f>IF($A557="","",IF(AND(M557&gt;0,L557&gt;0),ROUND(L557/M557,0),IF(AND(J557&gt;0,B557&gt;0),ROUND(B557/J557,0),Y556)))</f>
        <v/>
      </c>
    </row>
    <row r="558">
      <c r="A558" s="67" t="n"/>
      <c r="B558" s="68" t="n"/>
      <c r="C558" s="69" t="n"/>
      <c r="D558" s="68" t="n"/>
      <c r="E558" s="69" t="n"/>
      <c r="F558" s="68" t="n"/>
      <c r="G558" s="69" t="n"/>
      <c r="H558" s="68" t="n"/>
      <c r="I558" s="70">
        <f>IF($A558="","",R557)</f>
        <v/>
      </c>
      <c r="J558" s="71">
        <f>IF($A558="","",IF(C558="",0,C558))</f>
        <v/>
      </c>
      <c r="K558" s="71">
        <f>IF($A558="","",IF(E558="",0,E558))</f>
        <v/>
      </c>
      <c r="L558" s="70">
        <f>IF($A558="","",B558-D558)</f>
        <v/>
      </c>
      <c r="M558" s="71">
        <f>IF($A558="","",J558-K558)</f>
        <v/>
      </c>
      <c r="N558" s="71">
        <f>IF($A558="","",IF(G558="",0,G558))</f>
        <v/>
      </c>
      <c r="O558" s="70">
        <f>IF($A558="","",D558+F558)</f>
        <v/>
      </c>
      <c r="P558" s="71">
        <f>IF($A558="","",K558+N558)</f>
        <v/>
      </c>
      <c r="Q558" s="70">
        <f>IF($A558="","",I558+L558-F558)</f>
        <v/>
      </c>
      <c r="R558" s="72">
        <f>IF($A558="","",IF(H558="",Q558,H558))</f>
        <v/>
      </c>
      <c r="S558" s="73">
        <f>IF($A558="","",R558-Q558)</f>
        <v/>
      </c>
      <c r="T558" s="70">
        <f>IF($A558="","",SUMIFS($B$5:$B$800,$A$5:$A$800,"&gt;="&amp;DATE(YEAR($A558),MONTH($A558),1),$A$5:$A$800,"&lt;="&amp;$A558)+IF(AND(YEAR($A558)=YEAR(Settings!$B$3),MONTH($A558)=MONTH(Settings!$B$3)),Settings!$B$6,0))</f>
        <v/>
      </c>
      <c r="U558" s="71">
        <f>IF($A558="","",SUMIFS($J$5:$J$800,$A$5:$A$800,"&gt;="&amp;DATE(YEAR($A558),MONTH($A558),1),$A$5:$A$800,"&lt;="&amp;$A558)+IF(AND(YEAR($A558)=YEAR(Settings!$B$3),MONTH($A558)=MONTH(Settings!$B$3)),Settings!$B$7,0))</f>
        <v/>
      </c>
      <c r="V558" s="70">
        <f>IF($A558="","",Settings!$B$8+SUM($B$5:B558))</f>
        <v/>
      </c>
      <c r="W558" s="71">
        <f>IF($A558="","",Settings!$B$9+SUM($J$5:J558))</f>
        <v/>
      </c>
      <c r="X558" s="71">
        <f>IF($A558="","",IF(AND(N558&gt;0,F558&gt;0),ROUND(F558/N558,0),X557))</f>
        <v/>
      </c>
      <c r="Y558" s="74">
        <f>IF($A558="","",IF(AND(M558&gt;0,L558&gt;0),ROUND(L558/M558,0),IF(AND(J558&gt;0,B558&gt;0),ROUND(B558/J558,0),Y557)))</f>
        <v/>
      </c>
    </row>
    <row r="559">
      <c r="A559" s="67" t="n"/>
      <c r="B559" s="68" t="n"/>
      <c r="C559" s="69" t="n"/>
      <c r="D559" s="68" t="n"/>
      <c r="E559" s="69" t="n"/>
      <c r="F559" s="68" t="n"/>
      <c r="G559" s="69" t="n"/>
      <c r="H559" s="68" t="n"/>
      <c r="I559" s="70">
        <f>IF($A559="","",R558)</f>
        <v/>
      </c>
      <c r="J559" s="71">
        <f>IF($A559="","",IF(C559="",0,C559))</f>
        <v/>
      </c>
      <c r="K559" s="71">
        <f>IF($A559="","",IF(E559="",0,E559))</f>
        <v/>
      </c>
      <c r="L559" s="70">
        <f>IF($A559="","",B559-D559)</f>
        <v/>
      </c>
      <c r="M559" s="71">
        <f>IF($A559="","",J559-K559)</f>
        <v/>
      </c>
      <c r="N559" s="71">
        <f>IF($A559="","",IF(G559="",0,G559))</f>
        <v/>
      </c>
      <c r="O559" s="70">
        <f>IF($A559="","",D559+F559)</f>
        <v/>
      </c>
      <c r="P559" s="71">
        <f>IF($A559="","",K559+N559)</f>
        <v/>
      </c>
      <c r="Q559" s="70">
        <f>IF($A559="","",I559+L559-F559)</f>
        <v/>
      </c>
      <c r="R559" s="72">
        <f>IF($A559="","",IF(H559="",Q559,H559))</f>
        <v/>
      </c>
      <c r="S559" s="73">
        <f>IF($A559="","",R559-Q559)</f>
        <v/>
      </c>
      <c r="T559" s="70">
        <f>IF($A559="","",SUMIFS($B$5:$B$800,$A$5:$A$800,"&gt;="&amp;DATE(YEAR($A559),MONTH($A559),1),$A$5:$A$800,"&lt;="&amp;$A559)+IF(AND(YEAR($A559)=YEAR(Settings!$B$3),MONTH($A559)=MONTH(Settings!$B$3)),Settings!$B$6,0))</f>
        <v/>
      </c>
      <c r="U559" s="71">
        <f>IF($A559="","",SUMIFS($J$5:$J$800,$A$5:$A$800,"&gt;="&amp;DATE(YEAR($A559),MONTH($A559),1),$A$5:$A$800,"&lt;="&amp;$A559)+IF(AND(YEAR($A559)=YEAR(Settings!$B$3),MONTH($A559)=MONTH(Settings!$B$3)),Settings!$B$7,0))</f>
        <v/>
      </c>
      <c r="V559" s="70">
        <f>IF($A559="","",Settings!$B$8+SUM($B$5:B559))</f>
        <v/>
      </c>
      <c r="W559" s="71">
        <f>IF($A559="","",Settings!$B$9+SUM($J$5:J559))</f>
        <v/>
      </c>
      <c r="X559" s="71">
        <f>IF($A559="","",IF(AND(N559&gt;0,F559&gt;0),ROUND(F559/N559,0),X558))</f>
        <v/>
      </c>
      <c r="Y559" s="74">
        <f>IF($A559="","",IF(AND(M559&gt;0,L559&gt;0),ROUND(L559/M559,0),IF(AND(J559&gt;0,B559&gt;0),ROUND(B559/J559,0),Y558)))</f>
        <v/>
      </c>
    </row>
    <row r="560">
      <c r="A560" s="67" t="n"/>
      <c r="B560" s="68" t="n"/>
      <c r="C560" s="69" t="n"/>
      <c r="D560" s="68" t="n"/>
      <c r="E560" s="69" t="n"/>
      <c r="F560" s="68" t="n"/>
      <c r="G560" s="69" t="n"/>
      <c r="H560" s="68" t="n"/>
      <c r="I560" s="70">
        <f>IF($A560="","",R559)</f>
        <v/>
      </c>
      <c r="J560" s="71">
        <f>IF($A560="","",IF(C560="",0,C560))</f>
        <v/>
      </c>
      <c r="K560" s="71">
        <f>IF($A560="","",IF(E560="",0,E560))</f>
        <v/>
      </c>
      <c r="L560" s="70">
        <f>IF($A560="","",B560-D560)</f>
        <v/>
      </c>
      <c r="M560" s="71">
        <f>IF($A560="","",J560-K560)</f>
        <v/>
      </c>
      <c r="N560" s="71">
        <f>IF($A560="","",IF(G560="",0,G560))</f>
        <v/>
      </c>
      <c r="O560" s="70">
        <f>IF($A560="","",D560+F560)</f>
        <v/>
      </c>
      <c r="P560" s="71">
        <f>IF($A560="","",K560+N560)</f>
        <v/>
      </c>
      <c r="Q560" s="70">
        <f>IF($A560="","",I560+L560-F560)</f>
        <v/>
      </c>
      <c r="R560" s="72">
        <f>IF($A560="","",IF(H560="",Q560,H560))</f>
        <v/>
      </c>
      <c r="S560" s="73">
        <f>IF($A560="","",R560-Q560)</f>
        <v/>
      </c>
      <c r="T560" s="70">
        <f>IF($A560="","",SUMIFS($B$5:$B$800,$A$5:$A$800,"&gt;="&amp;DATE(YEAR($A560),MONTH($A560),1),$A$5:$A$800,"&lt;="&amp;$A560)+IF(AND(YEAR($A560)=YEAR(Settings!$B$3),MONTH($A560)=MONTH(Settings!$B$3)),Settings!$B$6,0))</f>
        <v/>
      </c>
      <c r="U560" s="71">
        <f>IF($A560="","",SUMIFS($J$5:$J$800,$A$5:$A$800,"&gt;="&amp;DATE(YEAR($A560),MONTH($A560),1),$A$5:$A$800,"&lt;="&amp;$A560)+IF(AND(YEAR($A560)=YEAR(Settings!$B$3),MONTH($A560)=MONTH(Settings!$B$3)),Settings!$B$7,0))</f>
        <v/>
      </c>
      <c r="V560" s="70">
        <f>IF($A560="","",Settings!$B$8+SUM($B$5:B560))</f>
        <v/>
      </c>
      <c r="W560" s="71">
        <f>IF($A560="","",Settings!$B$9+SUM($J$5:J560))</f>
        <v/>
      </c>
      <c r="X560" s="71">
        <f>IF($A560="","",IF(AND(N560&gt;0,F560&gt;0),ROUND(F560/N560,0),X559))</f>
        <v/>
      </c>
      <c r="Y560" s="74">
        <f>IF($A560="","",IF(AND(M560&gt;0,L560&gt;0),ROUND(L560/M560,0),IF(AND(J560&gt;0,B560&gt;0),ROUND(B560/J560,0),Y559)))</f>
        <v/>
      </c>
    </row>
    <row r="561">
      <c r="A561" s="67" t="n"/>
      <c r="B561" s="68" t="n"/>
      <c r="C561" s="69" t="n"/>
      <c r="D561" s="68" t="n"/>
      <c r="E561" s="69" t="n"/>
      <c r="F561" s="68" t="n"/>
      <c r="G561" s="69" t="n"/>
      <c r="H561" s="68" t="n"/>
      <c r="I561" s="70">
        <f>IF($A561="","",R560)</f>
        <v/>
      </c>
      <c r="J561" s="71">
        <f>IF($A561="","",IF(C561="",0,C561))</f>
        <v/>
      </c>
      <c r="K561" s="71">
        <f>IF($A561="","",IF(E561="",0,E561))</f>
        <v/>
      </c>
      <c r="L561" s="70">
        <f>IF($A561="","",B561-D561)</f>
        <v/>
      </c>
      <c r="M561" s="71">
        <f>IF($A561="","",J561-K561)</f>
        <v/>
      </c>
      <c r="N561" s="71">
        <f>IF($A561="","",IF(G561="",0,G561))</f>
        <v/>
      </c>
      <c r="O561" s="70">
        <f>IF($A561="","",D561+F561)</f>
        <v/>
      </c>
      <c r="P561" s="71">
        <f>IF($A561="","",K561+N561)</f>
        <v/>
      </c>
      <c r="Q561" s="70">
        <f>IF($A561="","",I561+L561-F561)</f>
        <v/>
      </c>
      <c r="R561" s="72">
        <f>IF($A561="","",IF(H561="",Q561,H561))</f>
        <v/>
      </c>
      <c r="S561" s="73">
        <f>IF($A561="","",R561-Q561)</f>
        <v/>
      </c>
      <c r="T561" s="70">
        <f>IF($A561="","",SUMIFS($B$5:$B$800,$A$5:$A$800,"&gt;="&amp;DATE(YEAR($A561),MONTH($A561),1),$A$5:$A$800,"&lt;="&amp;$A561)+IF(AND(YEAR($A561)=YEAR(Settings!$B$3),MONTH($A561)=MONTH(Settings!$B$3)),Settings!$B$6,0))</f>
        <v/>
      </c>
      <c r="U561" s="71">
        <f>IF($A561="","",SUMIFS($J$5:$J$800,$A$5:$A$800,"&gt;="&amp;DATE(YEAR($A561),MONTH($A561),1),$A$5:$A$800,"&lt;="&amp;$A561)+IF(AND(YEAR($A561)=YEAR(Settings!$B$3),MONTH($A561)=MONTH(Settings!$B$3)),Settings!$B$7,0))</f>
        <v/>
      </c>
      <c r="V561" s="70">
        <f>IF($A561="","",Settings!$B$8+SUM($B$5:B561))</f>
        <v/>
      </c>
      <c r="W561" s="71">
        <f>IF($A561="","",Settings!$B$9+SUM($J$5:J561))</f>
        <v/>
      </c>
      <c r="X561" s="71">
        <f>IF($A561="","",IF(AND(N561&gt;0,F561&gt;0),ROUND(F561/N561,0),X560))</f>
        <v/>
      </c>
      <c r="Y561" s="74">
        <f>IF($A561="","",IF(AND(M561&gt;0,L561&gt;0),ROUND(L561/M561,0),IF(AND(J561&gt;0,B561&gt;0),ROUND(B561/J561,0),Y560)))</f>
        <v/>
      </c>
    </row>
    <row r="562">
      <c r="A562" s="67" t="n"/>
      <c r="B562" s="68" t="n"/>
      <c r="C562" s="69" t="n"/>
      <c r="D562" s="68" t="n"/>
      <c r="E562" s="69" t="n"/>
      <c r="F562" s="68" t="n"/>
      <c r="G562" s="69" t="n"/>
      <c r="H562" s="68" t="n"/>
      <c r="I562" s="70">
        <f>IF($A562="","",R561)</f>
        <v/>
      </c>
      <c r="J562" s="71">
        <f>IF($A562="","",IF(C562="",0,C562))</f>
        <v/>
      </c>
      <c r="K562" s="71">
        <f>IF($A562="","",IF(E562="",0,E562))</f>
        <v/>
      </c>
      <c r="L562" s="70">
        <f>IF($A562="","",B562-D562)</f>
        <v/>
      </c>
      <c r="M562" s="71">
        <f>IF($A562="","",J562-K562)</f>
        <v/>
      </c>
      <c r="N562" s="71">
        <f>IF($A562="","",IF(G562="",0,G562))</f>
        <v/>
      </c>
      <c r="O562" s="70">
        <f>IF($A562="","",D562+F562)</f>
        <v/>
      </c>
      <c r="P562" s="71">
        <f>IF($A562="","",K562+N562)</f>
        <v/>
      </c>
      <c r="Q562" s="70">
        <f>IF($A562="","",I562+L562-F562)</f>
        <v/>
      </c>
      <c r="R562" s="72">
        <f>IF($A562="","",IF(H562="",Q562,H562))</f>
        <v/>
      </c>
      <c r="S562" s="73">
        <f>IF($A562="","",R562-Q562)</f>
        <v/>
      </c>
      <c r="T562" s="70">
        <f>IF($A562="","",SUMIFS($B$5:$B$800,$A$5:$A$800,"&gt;="&amp;DATE(YEAR($A562),MONTH($A562),1),$A$5:$A$800,"&lt;="&amp;$A562)+IF(AND(YEAR($A562)=YEAR(Settings!$B$3),MONTH($A562)=MONTH(Settings!$B$3)),Settings!$B$6,0))</f>
        <v/>
      </c>
      <c r="U562" s="71">
        <f>IF($A562="","",SUMIFS($J$5:$J$800,$A$5:$A$800,"&gt;="&amp;DATE(YEAR($A562),MONTH($A562),1),$A$5:$A$800,"&lt;="&amp;$A562)+IF(AND(YEAR($A562)=YEAR(Settings!$B$3),MONTH($A562)=MONTH(Settings!$B$3)),Settings!$B$7,0))</f>
        <v/>
      </c>
      <c r="V562" s="70">
        <f>IF($A562="","",Settings!$B$8+SUM($B$5:B562))</f>
        <v/>
      </c>
      <c r="W562" s="71">
        <f>IF($A562="","",Settings!$B$9+SUM($J$5:J562))</f>
        <v/>
      </c>
      <c r="X562" s="71">
        <f>IF($A562="","",IF(AND(N562&gt;0,F562&gt;0),ROUND(F562/N562,0),X561))</f>
        <v/>
      </c>
      <c r="Y562" s="74">
        <f>IF($A562="","",IF(AND(M562&gt;0,L562&gt;0),ROUND(L562/M562,0),IF(AND(J562&gt;0,B562&gt;0),ROUND(B562/J562,0),Y561)))</f>
        <v/>
      </c>
    </row>
    <row r="563">
      <c r="A563" s="67" t="n"/>
      <c r="B563" s="68" t="n"/>
      <c r="C563" s="69" t="n"/>
      <c r="D563" s="68" t="n"/>
      <c r="E563" s="69" t="n"/>
      <c r="F563" s="68" t="n"/>
      <c r="G563" s="69" t="n"/>
      <c r="H563" s="68" t="n"/>
      <c r="I563" s="70">
        <f>IF($A563="","",R562)</f>
        <v/>
      </c>
      <c r="J563" s="71">
        <f>IF($A563="","",IF(C563="",0,C563))</f>
        <v/>
      </c>
      <c r="K563" s="71">
        <f>IF($A563="","",IF(E563="",0,E563))</f>
        <v/>
      </c>
      <c r="L563" s="70">
        <f>IF($A563="","",B563-D563)</f>
        <v/>
      </c>
      <c r="M563" s="71">
        <f>IF($A563="","",J563-K563)</f>
        <v/>
      </c>
      <c r="N563" s="71">
        <f>IF($A563="","",IF(G563="",0,G563))</f>
        <v/>
      </c>
      <c r="O563" s="70">
        <f>IF($A563="","",D563+F563)</f>
        <v/>
      </c>
      <c r="P563" s="71">
        <f>IF($A563="","",K563+N563)</f>
        <v/>
      </c>
      <c r="Q563" s="70">
        <f>IF($A563="","",I563+L563-F563)</f>
        <v/>
      </c>
      <c r="R563" s="72">
        <f>IF($A563="","",IF(H563="",Q563,H563))</f>
        <v/>
      </c>
      <c r="S563" s="73">
        <f>IF($A563="","",R563-Q563)</f>
        <v/>
      </c>
      <c r="T563" s="70">
        <f>IF($A563="","",SUMIFS($B$5:$B$800,$A$5:$A$800,"&gt;="&amp;DATE(YEAR($A563),MONTH($A563),1),$A$5:$A$800,"&lt;="&amp;$A563)+IF(AND(YEAR($A563)=YEAR(Settings!$B$3),MONTH($A563)=MONTH(Settings!$B$3)),Settings!$B$6,0))</f>
        <v/>
      </c>
      <c r="U563" s="71">
        <f>IF($A563="","",SUMIFS($J$5:$J$800,$A$5:$A$800,"&gt;="&amp;DATE(YEAR($A563),MONTH($A563),1),$A$5:$A$800,"&lt;="&amp;$A563)+IF(AND(YEAR($A563)=YEAR(Settings!$B$3),MONTH($A563)=MONTH(Settings!$B$3)),Settings!$B$7,0))</f>
        <v/>
      </c>
      <c r="V563" s="70">
        <f>IF($A563="","",Settings!$B$8+SUM($B$5:B563))</f>
        <v/>
      </c>
      <c r="W563" s="71">
        <f>IF($A563="","",Settings!$B$9+SUM($J$5:J563))</f>
        <v/>
      </c>
      <c r="X563" s="71">
        <f>IF($A563="","",IF(AND(N563&gt;0,F563&gt;0),ROUND(F563/N563,0),X562))</f>
        <v/>
      </c>
      <c r="Y563" s="74">
        <f>IF($A563="","",IF(AND(M563&gt;0,L563&gt;0),ROUND(L563/M563,0),IF(AND(J563&gt;0,B563&gt;0),ROUND(B563/J563,0),Y562)))</f>
        <v/>
      </c>
    </row>
    <row r="564">
      <c r="A564" s="67" t="n"/>
      <c r="B564" s="68" t="n"/>
      <c r="C564" s="69" t="n"/>
      <c r="D564" s="68" t="n"/>
      <c r="E564" s="69" t="n"/>
      <c r="F564" s="68" t="n"/>
      <c r="G564" s="69" t="n"/>
      <c r="H564" s="68" t="n"/>
      <c r="I564" s="70">
        <f>IF($A564="","",R563)</f>
        <v/>
      </c>
      <c r="J564" s="71">
        <f>IF($A564="","",IF(C564="",0,C564))</f>
        <v/>
      </c>
      <c r="K564" s="71">
        <f>IF($A564="","",IF(E564="",0,E564))</f>
        <v/>
      </c>
      <c r="L564" s="70">
        <f>IF($A564="","",B564-D564)</f>
        <v/>
      </c>
      <c r="M564" s="71">
        <f>IF($A564="","",J564-K564)</f>
        <v/>
      </c>
      <c r="N564" s="71">
        <f>IF($A564="","",IF(G564="",0,G564))</f>
        <v/>
      </c>
      <c r="O564" s="70">
        <f>IF($A564="","",D564+F564)</f>
        <v/>
      </c>
      <c r="P564" s="71">
        <f>IF($A564="","",K564+N564)</f>
        <v/>
      </c>
      <c r="Q564" s="70">
        <f>IF($A564="","",I564+L564-F564)</f>
        <v/>
      </c>
      <c r="R564" s="72">
        <f>IF($A564="","",IF(H564="",Q564,H564))</f>
        <v/>
      </c>
      <c r="S564" s="73">
        <f>IF($A564="","",R564-Q564)</f>
        <v/>
      </c>
      <c r="T564" s="70">
        <f>IF($A564="","",SUMIFS($B$5:$B$800,$A$5:$A$800,"&gt;="&amp;DATE(YEAR($A564),MONTH($A564),1),$A$5:$A$800,"&lt;="&amp;$A564)+IF(AND(YEAR($A564)=YEAR(Settings!$B$3),MONTH($A564)=MONTH(Settings!$B$3)),Settings!$B$6,0))</f>
        <v/>
      </c>
      <c r="U564" s="71">
        <f>IF($A564="","",SUMIFS($J$5:$J$800,$A$5:$A$800,"&gt;="&amp;DATE(YEAR($A564),MONTH($A564),1),$A$5:$A$800,"&lt;="&amp;$A564)+IF(AND(YEAR($A564)=YEAR(Settings!$B$3),MONTH($A564)=MONTH(Settings!$B$3)),Settings!$B$7,0))</f>
        <v/>
      </c>
      <c r="V564" s="70">
        <f>IF($A564="","",Settings!$B$8+SUM($B$5:B564))</f>
        <v/>
      </c>
      <c r="W564" s="71">
        <f>IF($A564="","",Settings!$B$9+SUM($J$5:J564))</f>
        <v/>
      </c>
      <c r="X564" s="71">
        <f>IF($A564="","",IF(AND(N564&gt;0,F564&gt;0),ROUND(F564/N564,0),X563))</f>
        <v/>
      </c>
      <c r="Y564" s="74">
        <f>IF($A564="","",IF(AND(M564&gt;0,L564&gt;0),ROUND(L564/M564,0),IF(AND(J564&gt;0,B564&gt;0),ROUND(B564/J564,0),Y563)))</f>
        <v/>
      </c>
    </row>
    <row r="565">
      <c r="A565" s="67" t="n"/>
      <c r="B565" s="68" t="n"/>
      <c r="C565" s="69" t="n"/>
      <c r="D565" s="68" t="n"/>
      <c r="E565" s="69" t="n"/>
      <c r="F565" s="68" t="n"/>
      <c r="G565" s="69" t="n"/>
      <c r="H565" s="68" t="n"/>
      <c r="I565" s="70">
        <f>IF($A565="","",R564)</f>
        <v/>
      </c>
      <c r="J565" s="71">
        <f>IF($A565="","",IF(C565="",0,C565))</f>
        <v/>
      </c>
      <c r="K565" s="71">
        <f>IF($A565="","",IF(E565="",0,E565))</f>
        <v/>
      </c>
      <c r="L565" s="70">
        <f>IF($A565="","",B565-D565)</f>
        <v/>
      </c>
      <c r="M565" s="71">
        <f>IF($A565="","",J565-K565)</f>
        <v/>
      </c>
      <c r="N565" s="71">
        <f>IF($A565="","",IF(G565="",0,G565))</f>
        <v/>
      </c>
      <c r="O565" s="70">
        <f>IF($A565="","",D565+F565)</f>
        <v/>
      </c>
      <c r="P565" s="71">
        <f>IF($A565="","",K565+N565)</f>
        <v/>
      </c>
      <c r="Q565" s="70">
        <f>IF($A565="","",I565+L565-F565)</f>
        <v/>
      </c>
      <c r="R565" s="72">
        <f>IF($A565="","",IF(H565="",Q565,H565))</f>
        <v/>
      </c>
      <c r="S565" s="73">
        <f>IF($A565="","",R565-Q565)</f>
        <v/>
      </c>
      <c r="T565" s="70">
        <f>IF($A565="","",SUMIFS($B$5:$B$800,$A$5:$A$800,"&gt;="&amp;DATE(YEAR($A565),MONTH($A565),1),$A$5:$A$800,"&lt;="&amp;$A565)+IF(AND(YEAR($A565)=YEAR(Settings!$B$3),MONTH($A565)=MONTH(Settings!$B$3)),Settings!$B$6,0))</f>
        <v/>
      </c>
      <c r="U565" s="71">
        <f>IF($A565="","",SUMIFS($J$5:$J$800,$A$5:$A$800,"&gt;="&amp;DATE(YEAR($A565),MONTH($A565),1),$A$5:$A$800,"&lt;="&amp;$A565)+IF(AND(YEAR($A565)=YEAR(Settings!$B$3),MONTH($A565)=MONTH(Settings!$B$3)),Settings!$B$7,0))</f>
        <v/>
      </c>
      <c r="V565" s="70">
        <f>IF($A565="","",Settings!$B$8+SUM($B$5:B565))</f>
        <v/>
      </c>
      <c r="W565" s="71">
        <f>IF($A565="","",Settings!$B$9+SUM($J$5:J565))</f>
        <v/>
      </c>
      <c r="X565" s="71">
        <f>IF($A565="","",IF(AND(N565&gt;0,F565&gt;0),ROUND(F565/N565,0),X564))</f>
        <v/>
      </c>
      <c r="Y565" s="74">
        <f>IF($A565="","",IF(AND(M565&gt;0,L565&gt;0),ROUND(L565/M565,0),IF(AND(J565&gt;0,B565&gt;0),ROUND(B565/J565,0),Y564)))</f>
        <v/>
      </c>
    </row>
    <row r="566">
      <c r="A566" s="67" t="n"/>
      <c r="B566" s="68" t="n"/>
      <c r="C566" s="69" t="n"/>
      <c r="D566" s="68" t="n"/>
      <c r="E566" s="69" t="n"/>
      <c r="F566" s="68" t="n"/>
      <c r="G566" s="69" t="n"/>
      <c r="H566" s="68" t="n"/>
      <c r="I566" s="70">
        <f>IF($A566="","",R565)</f>
        <v/>
      </c>
      <c r="J566" s="71">
        <f>IF($A566="","",IF(C566="",0,C566))</f>
        <v/>
      </c>
      <c r="K566" s="71">
        <f>IF($A566="","",IF(E566="",0,E566))</f>
        <v/>
      </c>
      <c r="L566" s="70">
        <f>IF($A566="","",B566-D566)</f>
        <v/>
      </c>
      <c r="M566" s="71">
        <f>IF($A566="","",J566-K566)</f>
        <v/>
      </c>
      <c r="N566" s="71">
        <f>IF($A566="","",IF(G566="",0,G566))</f>
        <v/>
      </c>
      <c r="O566" s="70">
        <f>IF($A566="","",D566+F566)</f>
        <v/>
      </c>
      <c r="P566" s="71">
        <f>IF($A566="","",K566+N566)</f>
        <v/>
      </c>
      <c r="Q566" s="70">
        <f>IF($A566="","",I566+L566-F566)</f>
        <v/>
      </c>
      <c r="R566" s="72">
        <f>IF($A566="","",IF(H566="",Q566,H566))</f>
        <v/>
      </c>
      <c r="S566" s="73">
        <f>IF($A566="","",R566-Q566)</f>
        <v/>
      </c>
      <c r="T566" s="70">
        <f>IF($A566="","",SUMIFS($B$5:$B$800,$A$5:$A$800,"&gt;="&amp;DATE(YEAR($A566),MONTH($A566),1),$A$5:$A$800,"&lt;="&amp;$A566)+IF(AND(YEAR($A566)=YEAR(Settings!$B$3),MONTH($A566)=MONTH(Settings!$B$3)),Settings!$B$6,0))</f>
        <v/>
      </c>
      <c r="U566" s="71">
        <f>IF($A566="","",SUMIFS($J$5:$J$800,$A$5:$A$800,"&gt;="&amp;DATE(YEAR($A566),MONTH($A566),1),$A$5:$A$800,"&lt;="&amp;$A566)+IF(AND(YEAR($A566)=YEAR(Settings!$B$3),MONTH($A566)=MONTH(Settings!$B$3)),Settings!$B$7,0))</f>
        <v/>
      </c>
      <c r="V566" s="70">
        <f>IF($A566="","",Settings!$B$8+SUM($B$5:B566))</f>
        <v/>
      </c>
      <c r="W566" s="71">
        <f>IF($A566="","",Settings!$B$9+SUM($J$5:J566))</f>
        <v/>
      </c>
      <c r="X566" s="71">
        <f>IF($A566="","",IF(AND(N566&gt;0,F566&gt;0),ROUND(F566/N566,0),X565))</f>
        <v/>
      </c>
      <c r="Y566" s="74">
        <f>IF($A566="","",IF(AND(M566&gt;0,L566&gt;0),ROUND(L566/M566,0),IF(AND(J566&gt;0,B566&gt;0),ROUND(B566/J566,0),Y565)))</f>
        <v/>
      </c>
    </row>
    <row r="567">
      <c r="A567" s="67" t="n"/>
      <c r="B567" s="68" t="n"/>
      <c r="C567" s="69" t="n"/>
      <c r="D567" s="68" t="n"/>
      <c r="E567" s="69" t="n"/>
      <c r="F567" s="68" t="n"/>
      <c r="G567" s="69" t="n"/>
      <c r="H567" s="68" t="n"/>
      <c r="I567" s="70">
        <f>IF($A567="","",R566)</f>
        <v/>
      </c>
      <c r="J567" s="71">
        <f>IF($A567="","",IF(C567="",0,C567))</f>
        <v/>
      </c>
      <c r="K567" s="71">
        <f>IF($A567="","",IF(E567="",0,E567))</f>
        <v/>
      </c>
      <c r="L567" s="70">
        <f>IF($A567="","",B567-D567)</f>
        <v/>
      </c>
      <c r="M567" s="71">
        <f>IF($A567="","",J567-K567)</f>
        <v/>
      </c>
      <c r="N567" s="71">
        <f>IF($A567="","",IF(G567="",0,G567))</f>
        <v/>
      </c>
      <c r="O567" s="70">
        <f>IF($A567="","",D567+F567)</f>
        <v/>
      </c>
      <c r="P567" s="71">
        <f>IF($A567="","",K567+N567)</f>
        <v/>
      </c>
      <c r="Q567" s="70">
        <f>IF($A567="","",I567+L567-F567)</f>
        <v/>
      </c>
      <c r="R567" s="72">
        <f>IF($A567="","",IF(H567="",Q567,H567))</f>
        <v/>
      </c>
      <c r="S567" s="73">
        <f>IF($A567="","",R567-Q567)</f>
        <v/>
      </c>
      <c r="T567" s="70">
        <f>IF($A567="","",SUMIFS($B$5:$B$800,$A$5:$A$800,"&gt;="&amp;DATE(YEAR($A567),MONTH($A567),1),$A$5:$A$800,"&lt;="&amp;$A567)+IF(AND(YEAR($A567)=YEAR(Settings!$B$3),MONTH($A567)=MONTH(Settings!$B$3)),Settings!$B$6,0))</f>
        <v/>
      </c>
      <c r="U567" s="71">
        <f>IF($A567="","",SUMIFS($J$5:$J$800,$A$5:$A$800,"&gt;="&amp;DATE(YEAR($A567),MONTH($A567),1),$A$5:$A$800,"&lt;="&amp;$A567)+IF(AND(YEAR($A567)=YEAR(Settings!$B$3),MONTH($A567)=MONTH(Settings!$B$3)),Settings!$B$7,0))</f>
        <v/>
      </c>
      <c r="V567" s="70">
        <f>IF($A567="","",Settings!$B$8+SUM($B$5:B567))</f>
        <v/>
      </c>
      <c r="W567" s="71">
        <f>IF($A567="","",Settings!$B$9+SUM($J$5:J567))</f>
        <v/>
      </c>
      <c r="X567" s="71">
        <f>IF($A567="","",IF(AND(N567&gt;0,F567&gt;0),ROUND(F567/N567,0),X566))</f>
        <v/>
      </c>
      <c r="Y567" s="74">
        <f>IF($A567="","",IF(AND(M567&gt;0,L567&gt;0),ROUND(L567/M567,0),IF(AND(J567&gt;0,B567&gt;0),ROUND(B567/J567,0),Y566)))</f>
        <v/>
      </c>
    </row>
    <row r="568">
      <c r="A568" s="67" t="n"/>
      <c r="B568" s="68" t="n"/>
      <c r="C568" s="69" t="n"/>
      <c r="D568" s="68" t="n"/>
      <c r="E568" s="69" t="n"/>
      <c r="F568" s="68" t="n"/>
      <c r="G568" s="69" t="n"/>
      <c r="H568" s="68" t="n"/>
      <c r="I568" s="70">
        <f>IF($A568="","",R567)</f>
        <v/>
      </c>
      <c r="J568" s="71">
        <f>IF($A568="","",IF(C568="",0,C568))</f>
        <v/>
      </c>
      <c r="K568" s="71">
        <f>IF($A568="","",IF(E568="",0,E568))</f>
        <v/>
      </c>
      <c r="L568" s="70">
        <f>IF($A568="","",B568-D568)</f>
        <v/>
      </c>
      <c r="M568" s="71">
        <f>IF($A568="","",J568-K568)</f>
        <v/>
      </c>
      <c r="N568" s="71">
        <f>IF($A568="","",IF(G568="",0,G568))</f>
        <v/>
      </c>
      <c r="O568" s="70">
        <f>IF($A568="","",D568+F568)</f>
        <v/>
      </c>
      <c r="P568" s="71">
        <f>IF($A568="","",K568+N568)</f>
        <v/>
      </c>
      <c r="Q568" s="70">
        <f>IF($A568="","",I568+L568-F568)</f>
        <v/>
      </c>
      <c r="R568" s="72">
        <f>IF($A568="","",IF(H568="",Q568,H568))</f>
        <v/>
      </c>
      <c r="S568" s="73">
        <f>IF($A568="","",R568-Q568)</f>
        <v/>
      </c>
      <c r="T568" s="70">
        <f>IF($A568="","",SUMIFS($B$5:$B$800,$A$5:$A$800,"&gt;="&amp;DATE(YEAR($A568),MONTH($A568),1),$A$5:$A$800,"&lt;="&amp;$A568)+IF(AND(YEAR($A568)=YEAR(Settings!$B$3),MONTH($A568)=MONTH(Settings!$B$3)),Settings!$B$6,0))</f>
        <v/>
      </c>
      <c r="U568" s="71">
        <f>IF($A568="","",SUMIFS($J$5:$J$800,$A$5:$A$800,"&gt;="&amp;DATE(YEAR($A568),MONTH($A568),1),$A$5:$A$800,"&lt;="&amp;$A568)+IF(AND(YEAR($A568)=YEAR(Settings!$B$3),MONTH($A568)=MONTH(Settings!$B$3)),Settings!$B$7,0))</f>
        <v/>
      </c>
      <c r="V568" s="70">
        <f>IF($A568="","",Settings!$B$8+SUM($B$5:B568))</f>
        <v/>
      </c>
      <c r="W568" s="71">
        <f>IF($A568="","",Settings!$B$9+SUM($J$5:J568))</f>
        <v/>
      </c>
      <c r="X568" s="71">
        <f>IF($A568="","",IF(AND(N568&gt;0,F568&gt;0),ROUND(F568/N568,0),X567))</f>
        <v/>
      </c>
      <c r="Y568" s="74">
        <f>IF($A568="","",IF(AND(M568&gt;0,L568&gt;0),ROUND(L568/M568,0),IF(AND(J568&gt;0,B568&gt;0),ROUND(B568/J568,0),Y567)))</f>
        <v/>
      </c>
    </row>
    <row r="569">
      <c r="A569" s="67" t="n"/>
      <c r="B569" s="68" t="n"/>
      <c r="C569" s="69" t="n"/>
      <c r="D569" s="68" t="n"/>
      <c r="E569" s="69" t="n"/>
      <c r="F569" s="68" t="n"/>
      <c r="G569" s="69" t="n"/>
      <c r="H569" s="68" t="n"/>
      <c r="I569" s="70">
        <f>IF($A569="","",R568)</f>
        <v/>
      </c>
      <c r="J569" s="71">
        <f>IF($A569="","",IF(C569="",0,C569))</f>
        <v/>
      </c>
      <c r="K569" s="71">
        <f>IF($A569="","",IF(E569="",0,E569))</f>
        <v/>
      </c>
      <c r="L569" s="70">
        <f>IF($A569="","",B569-D569)</f>
        <v/>
      </c>
      <c r="M569" s="71">
        <f>IF($A569="","",J569-K569)</f>
        <v/>
      </c>
      <c r="N569" s="71">
        <f>IF($A569="","",IF(G569="",0,G569))</f>
        <v/>
      </c>
      <c r="O569" s="70">
        <f>IF($A569="","",D569+F569)</f>
        <v/>
      </c>
      <c r="P569" s="71">
        <f>IF($A569="","",K569+N569)</f>
        <v/>
      </c>
      <c r="Q569" s="70">
        <f>IF($A569="","",I569+L569-F569)</f>
        <v/>
      </c>
      <c r="R569" s="72">
        <f>IF($A569="","",IF(H569="",Q569,H569))</f>
        <v/>
      </c>
      <c r="S569" s="73">
        <f>IF($A569="","",R569-Q569)</f>
        <v/>
      </c>
      <c r="T569" s="70">
        <f>IF($A569="","",SUMIFS($B$5:$B$800,$A$5:$A$800,"&gt;="&amp;DATE(YEAR($A569),MONTH($A569),1),$A$5:$A$800,"&lt;="&amp;$A569)+IF(AND(YEAR($A569)=YEAR(Settings!$B$3),MONTH($A569)=MONTH(Settings!$B$3)),Settings!$B$6,0))</f>
        <v/>
      </c>
      <c r="U569" s="71">
        <f>IF($A569="","",SUMIFS($J$5:$J$800,$A$5:$A$800,"&gt;="&amp;DATE(YEAR($A569),MONTH($A569),1),$A$5:$A$800,"&lt;="&amp;$A569)+IF(AND(YEAR($A569)=YEAR(Settings!$B$3),MONTH($A569)=MONTH(Settings!$B$3)),Settings!$B$7,0))</f>
        <v/>
      </c>
      <c r="V569" s="70">
        <f>IF($A569="","",Settings!$B$8+SUM($B$5:B569))</f>
        <v/>
      </c>
      <c r="W569" s="71">
        <f>IF($A569="","",Settings!$B$9+SUM($J$5:J569))</f>
        <v/>
      </c>
      <c r="X569" s="71">
        <f>IF($A569="","",IF(AND(N569&gt;0,F569&gt;0),ROUND(F569/N569,0),X568))</f>
        <v/>
      </c>
      <c r="Y569" s="74">
        <f>IF($A569="","",IF(AND(M569&gt;0,L569&gt;0),ROUND(L569/M569,0),IF(AND(J569&gt;0,B569&gt;0),ROUND(B569/J569,0),Y568)))</f>
        <v/>
      </c>
    </row>
    <row r="570">
      <c r="A570" s="67" t="n"/>
      <c r="B570" s="68" t="n"/>
      <c r="C570" s="69" t="n"/>
      <c r="D570" s="68" t="n"/>
      <c r="E570" s="69" t="n"/>
      <c r="F570" s="68" t="n"/>
      <c r="G570" s="69" t="n"/>
      <c r="H570" s="68" t="n"/>
      <c r="I570" s="70">
        <f>IF($A570="","",R569)</f>
        <v/>
      </c>
      <c r="J570" s="71">
        <f>IF($A570="","",IF(C570="",0,C570))</f>
        <v/>
      </c>
      <c r="K570" s="71">
        <f>IF($A570="","",IF(E570="",0,E570))</f>
        <v/>
      </c>
      <c r="L570" s="70">
        <f>IF($A570="","",B570-D570)</f>
        <v/>
      </c>
      <c r="M570" s="71">
        <f>IF($A570="","",J570-K570)</f>
        <v/>
      </c>
      <c r="N570" s="71">
        <f>IF($A570="","",IF(G570="",0,G570))</f>
        <v/>
      </c>
      <c r="O570" s="70">
        <f>IF($A570="","",D570+F570)</f>
        <v/>
      </c>
      <c r="P570" s="71">
        <f>IF($A570="","",K570+N570)</f>
        <v/>
      </c>
      <c r="Q570" s="70">
        <f>IF($A570="","",I570+L570-F570)</f>
        <v/>
      </c>
      <c r="R570" s="72">
        <f>IF($A570="","",IF(H570="",Q570,H570))</f>
        <v/>
      </c>
      <c r="S570" s="73">
        <f>IF($A570="","",R570-Q570)</f>
        <v/>
      </c>
      <c r="T570" s="70">
        <f>IF($A570="","",SUMIFS($B$5:$B$800,$A$5:$A$800,"&gt;="&amp;DATE(YEAR($A570),MONTH($A570),1),$A$5:$A$800,"&lt;="&amp;$A570)+IF(AND(YEAR($A570)=YEAR(Settings!$B$3),MONTH($A570)=MONTH(Settings!$B$3)),Settings!$B$6,0))</f>
        <v/>
      </c>
      <c r="U570" s="71">
        <f>IF($A570="","",SUMIFS($J$5:$J$800,$A$5:$A$800,"&gt;="&amp;DATE(YEAR($A570),MONTH($A570),1),$A$5:$A$800,"&lt;="&amp;$A570)+IF(AND(YEAR($A570)=YEAR(Settings!$B$3),MONTH($A570)=MONTH(Settings!$B$3)),Settings!$B$7,0))</f>
        <v/>
      </c>
      <c r="V570" s="70">
        <f>IF($A570="","",Settings!$B$8+SUM($B$5:B570))</f>
        <v/>
      </c>
      <c r="W570" s="71">
        <f>IF($A570="","",Settings!$B$9+SUM($J$5:J570))</f>
        <v/>
      </c>
      <c r="X570" s="71">
        <f>IF($A570="","",IF(AND(N570&gt;0,F570&gt;0),ROUND(F570/N570,0),X569))</f>
        <v/>
      </c>
      <c r="Y570" s="74">
        <f>IF($A570="","",IF(AND(M570&gt;0,L570&gt;0),ROUND(L570/M570,0),IF(AND(J570&gt;0,B570&gt;0),ROUND(B570/J570,0),Y569)))</f>
        <v/>
      </c>
    </row>
    <row r="571">
      <c r="A571" s="67" t="n"/>
      <c r="B571" s="68" t="n"/>
      <c r="C571" s="69" t="n"/>
      <c r="D571" s="68" t="n"/>
      <c r="E571" s="69" t="n"/>
      <c r="F571" s="68" t="n"/>
      <c r="G571" s="69" t="n"/>
      <c r="H571" s="68" t="n"/>
      <c r="I571" s="70">
        <f>IF($A571="","",R570)</f>
        <v/>
      </c>
      <c r="J571" s="71">
        <f>IF($A571="","",IF(C571="",0,C571))</f>
        <v/>
      </c>
      <c r="K571" s="71">
        <f>IF($A571="","",IF(E571="",0,E571))</f>
        <v/>
      </c>
      <c r="L571" s="70">
        <f>IF($A571="","",B571-D571)</f>
        <v/>
      </c>
      <c r="M571" s="71">
        <f>IF($A571="","",J571-K571)</f>
        <v/>
      </c>
      <c r="N571" s="71">
        <f>IF($A571="","",IF(G571="",0,G571))</f>
        <v/>
      </c>
      <c r="O571" s="70">
        <f>IF($A571="","",D571+F571)</f>
        <v/>
      </c>
      <c r="P571" s="71">
        <f>IF($A571="","",K571+N571)</f>
        <v/>
      </c>
      <c r="Q571" s="70">
        <f>IF($A571="","",I571+L571-F571)</f>
        <v/>
      </c>
      <c r="R571" s="72">
        <f>IF($A571="","",IF(H571="",Q571,H571))</f>
        <v/>
      </c>
      <c r="S571" s="73">
        <f>IF($A571="","",R571-Q571)</f>
        <v/>
      </c>
      <c r="T571" s="70">
        <f>IF($A571="","",SUMIFS($B$5:$B$800,$A$5:$A$800,"&gt;="&amp;DATE(YEAR($A571),MONTH($A571),1),$A$5:$A$800,"&lt;="&amp;$A571)+IF(AND(YEAR($A571)=YEAR(Settings!$B$3),MONTH($A571)=MONTH(Settings!$B$3)),Settings!$B$6,0))</f>
        <v/>
      </c>
      <c r="U571" s="71">
        <f>IF($A571="","",SUMIFS($J$5:$J$800,$A$5:$A$800,"&gt;="&amp;DATE(YEAR($A571),MONTH($A571),1),$A$5:$A$800,"&lt;="&amp;$A571)+IF(AND(YEAR($A571)=YEAR(Settings!$B$3),MONTH($A571)=MONTH(Settings!$B$3)),Settings!$B$7,0))</f>
        <v/>
      </c>
      <c r="V571" s="70">
        <f>IF($A571="","",Settings!$B$8+SUM($B$5:B571))</f>
        <v/>
      </c>
      <c r="W571" s="71">
        <f>IF($A571="","",Settings!$B$9+SUM($J$5:J571))</f>
        <v/>
      </c>
      <c r="X571" s="71">
        <f>IF($A571="","",IF(AND(N571&gt;0,F571&gt;0),ROUND(F571/N571,0),X570))</f>
        <v/>
      </c>
      <c r="Y571" s="74">
        <f>IF($A571="","",IF(AND(M571&gt;0,L571&gt;0),ROUND(L571/M571,0),IF(AND(J571&gt;0,B571&gt;0),ROUND(B571/J571,0),Y570)))</f>
        <v/>
      </c>
    </row>
    <row r="572">
      <c r="A572" s="67" t="n"/>
      <c r="B572" s="68" t="n"/>
      <c r="C572" s="69" t="n"/>
      <c r="D572" s="68" t="n"/>
      <c r="E572" s="69" t="n"/>
      <c r="F572" s="68" t="n"/>
      <c r="G572" s="69" t="n"/>
      <c r="H572" s="68" t="n"/>
      <c r="I572" s="70">
        <f>IF($A572="","",R571)</f>
        <v/>
      </c>
      <c r="J572" s="71">
        <f>IF($A572="","",IF(C572="",0,C572))</f>
        <v/>
      </c>
      <c r="K572" s="71">
        <f>IF($A572="","",IF(E572="",0,E572))</f>
        <v/>
      </c>
      <c r="L572" s="70">
        <f>IF($A572="","",B572-D572)</f>
        <v/>
      </c>
      <c r="M572" s="71">
        <f>IF($A572="","",J572-K572)</f>
        <v/>
      </c>
      <c r="N572" s="71">
        <f>IF($A572="","",IF(G572="",0,G572))</f>
        <v/>
      </c>
      <c r="O572" s="70">
        <f>IF($A572="","",D572+F572)</f>
        <v/>
      </c>
      <c r="P572" s="71">
        <f>IF($A572="","",K572+N572)</f>
        <v/>
      </c>
      <c r="Q572" s="70">
        <f>IF($A572="","",I572+L572-F572)</f>
        <v/>
      </c>
      <c r="R572" s="72">
        <f>IF($A572="","",IF(H572="",Q572,H572))</f>
        <v/>
      </c>
      <c r="S572" s="73">
        <f>IF($A572="","",R572-Q572)</f>
        <v/>
      </c>
      <c r="T572" s="70">
        <f>IF($A572="","",SUMIFS($B$5:$B$800,$A$5:$A$800,"&gt;="&amp;DATE(YEAR($A572),MONTH($A572),1),$A$5:$A$800,"&lt;="&amp;$A572)+IF(AND(YEAR($A572)=YEAR(Settings!$B$3),MONTH($A572)=MONTH(Settings!$B$3)),Settings!$B$6,0))</f>
        <v/>
      </c>
      <c r="U572" s="71">
        <f>IF($A572="","",SUMIFS($J$5:$J$800,$A$5:$A$800,"&gt;="&amp;DATE(YEAR($A572),MONTH($A572),1),$A$5:$A$800,"&lt;="&amp;$A572)+IF(AND(YEAR($A572)=YEAR(Settings!$B$3),MONTH($A572)=MONTH(Settings!$B$3)),Settings!$B$7,0))</f>
        <v/>
      </c>
      <c r="V572" s="70">
        <f>IF($A572="","",Settings!$B$8+SUM($B$5:B572))</f>
        <v/>
      </c>
      <c r="W572" s="71">
        <f>IF($A572="","",Settings!$B$9+SUM($J$5:J572))</f>
        <v/>
      </c>
      <c r="X572" s="71">
        <f>IF($A572="","",IF(AND(N572&gt;0,F572&gt;0),ROUND(F572/N572,0),X571))</f>
        <v/>
      </c>
      <c r="Y572" s="74">
        <f>IF($A572="","",IF(AND(M572&gt;0,L572&gt;0),ROUND(L572/M572,0),IF(AND(J572&gt;0,B572&gt;0),ROUND(B572/J572,0),Y571)))</f>
        <v/>
      </c>
    </row>
    <row r="573">
      <c r="A573" s="67" t="n"/>
      <c r="B573" s="68" t="n"/>
      <c r="C573" s="69" t="n"/>
      <c r="D573" s="68" t="n"/>
      <c r="E573" s="69" t="n"/>
      <c r="F573" s="68" t="n"/>
      <c r="G573" s="69" t="n"/>
      <c r="H573" s="68" t="n"/>
      <c r="I573" s="70">
        <f>IF($A573="","",R572)</f>
        <v/>
      </c>
      <c r="J573" s="71">
        <f>IF($A573="","",IF(C573="",0,C573))</f>
        <v/>
      </c>
      <c r="K573" s="71">
        <f>IF($A573="","",IF(E573="",0,E573))</f>
        <v/>
      </c>
      <c r="L573" s="70">
        <f>IF($A573="","",B573-D573)</f>
        <v/>
      </c>
      <c r="M573" s="71">
        <f>IF($A573="","",J573-K573)</f>
        <v/>
      </c>
      <c r="N573" s="71">
        <f>IF($A573="","",IF(G573="",0,G573))</f>
        <v/>
      </c>
      <c r="O573" s="70">
        <f>IF($A573="","",D573+F573)</f>
        <v/>
      </c>
      <c r="P573" s="71">
        <f>IF($A573="","",K573+N573)</f>
        <v/>
      </c>
      <c r="Q573" s="70">
        <f>IF($A573="","",I573+L573-F573)</f>
        <v/>
      </c>
      <c r="R573" s="72">
        <f>IF($A573="","",IF(H573="",Q573,H573))</f>
        <v/>
      </c>
      <c r="S573" s="73">
        <f>IF($A573="","",R573-Q573)</f>
        <v/>
      </c>
      <c r="T573" s="70">
        <f>IF($A573="","",SUMIFS($B$5:$B$800,$A$5:$A$800,"&gt;="&amp;DATE(YEAR($A573),MONTH($A573),1),$A$5:$A$800,"&lt;="&amp;$A573)+IF(AND(YEAR($A573)=YEAR(Settings!$B$3),MONTH($A573)=MONTH(Settings!$B$3)),Settings!$B$6,0))</f>
        <v/>
      </c>
      <c r="U573" s="71">
        <f>IF($A573="","",SUMIFS($J$5:$J$800,$A$5:$A$800,"&gt;="&amp;DATE(YEAR($A573),MONTH($A573),1),$A$5:$A$800,"&lt;="&amp;$A573)+IF(AND(YEAR($A573)=YEAR(Settings!$B$3),MONTH($A573)=MONTH(Settings!$B$3)),Settings!$B$7,0))</f>
        <v/>
      </c>
      <c r="V573" s="70">
        <f>IF($A573="","",Settings!$B$8+SUM($B$5:B573))</f>
        <v/>
      </c>
      <c r="W573" s="71">
        <f>IF($A573="","",Settings!$B$9+SUM($J$5:J573))</f>
        <v/>
      </c>
      <c r="X573" s="71">
        <f>IF($A573="","",IF(AND(N573&gt;0,F573&gt;0),ROUND(F573/N573,0),X572))</f>
        <v/>
      </c>
      <c r="Y573" s="74">
        <f>IF($A573="","",IF(AND(M573&gt;0,L573&gt;0),ROUND(L573/M573,0),IF(AND(J573&gt;0,B573&gt;0),ROUND(B573/J573,0),Y572)))</f>
        <v/>
      </c>
    </row>
    <row r="574">
      <c r="A574" s="67" t="n"/>
      <c r="B574" s="68" t="n"/>
      <c r="C574" s="69" t="n"/>
      <c r="D574" s="68" t="n"/>
      <c r="E574" s="69" t="n"/>
      <c r="F574" s="68" t="n"/>
      <c r="G574" s="69" t="n"/>
      <c r="H574" s="68" t="n"/>
      <c r="I574" s="70">
        <f>IF($A574="","",R573)</f>
        <v/>
      </c>
      <c r="J574" s="71">
        <f>IF($A574="","",IF(C574="",0,C574))</f>
        <v/>
      </c>
      <c r="K574" s="71">
        <f>IF($A574="","",IF(E574="",0,E574))</f>
        <v/>
      </c>
      <c r="L574" s="70">
        <f>IF($A574="","",B574-D574)</f>
        <v/>
      </c>
      <c r="M574" s="71">
        <f>IF($A574="","",J574-K574)</f>
        <v/>
      </c>
      <c r="N574" s="71">
        <f>IF($A574="","",IF(G574="",0,G574))</f>
        <v/>
      </c>
      <c r="O574" s="70">
        <f>IF($A574="","",D574+F574)</f>
        <v/>
      </c>
      <c r="P574" s="71">
        <f>IF($A574="","",K574+N574)</f>
        <v/>
      </c>
      <c r="Q574" s="70">
        <f>IF($A574="","",I574+L574-F574)</f>
        <v/>
      </c>
      <c r="R574" s="72">
        <f>IF($A574="","",IF(H574="",Q574,H574))</f>
        <v/>
      </c>
      <c r="S574" s="73">
        <f>IF($A574="","",R574-Q574)</f>
        <v/>
      </c>
      <c r="T574" s="70">
        <f>IF($A574="","",SUMIFS($B$5:$B$800,$A$5:$A$800,"&gt;="&amp;DATE(YEAR($A574),MONTH($A574),1),$A$5:$A$800,"&lt;="&amp;$A574)+IF(AND(YEAR($A574)=YEAR(Settings!$B$3),MONTH($A574)=MONTH(Settings!$B$3)),Settings!$B$6,0))</f>
        <v/>
      </c>
      <c r="U574" s="71">
        <f>IF($A574="","",SUMIFS($J$5:$J$800,$A$5:$A$800,"&gt;="&amp;DATE(YEAR($A574),MONTH($A574),1),$A$5:$A$800,"&lt;="&amp;$A574)+IF(AND(YEAR($A574)=YEAR(Settings!$B$3),MONTH($A574)=MONTH(Settings!$B$3)),Settings!$B$7,0))</f>
        <v/>
      </c>
      <c r="V574" s="70">
        <f>IF($A574="","",Settings!$B$8+SUM($B$5:B574))</f>
        <v/>
      </c>
      <c r="W574" s="71">
        <f>IF($A574="","",Settings!$B$9+SUM($J$5:J574))</f>
        <v/>
      </c>
      <c r="X574" s="71">
        <f>IF($A574="","",IF(AND(N574&gt;0,F574&gt;0),ROUND(F574/N574,0),X573))</f>
        <v/>
      </c>
      <c r="Y574" s="74">
        <f>IF($A574="","",IF(AND(M574&gt;0,L574&gt;0),ROUND(L574/M574,0),IF(AND(J574&gt;0,B574&gt;0),ROUND(B574/J574,0),Y573)))</f>
        <v/>
      </c>
    </row>
    <row r="575">
      <c r="A575" s="67" t="n"/>
      <c r="B575" s="68" t="n"/>
      <c r="C575" s="69" t="n"/>
      <c r="D575" s="68" t="n"/>
      <c r="E575" s="69" t="n"/>
      <c r="F575" s="68" t="n"/>
      <c r="G575" s="69" t="n"/>
      <c r="H575" s="68" t="n"/>
      <c r="I575" s="70">
        <f>IF($A575="","",R574)</f>
        <v/>
      </c>
      <c r="J575" s="71">
        <f>IF($A575="","",IF(C575="",0,C575))</f>
        <v/>
      </c>
      <c r="K575" s="71">
        <f>IF($A575="","",IF(E575="",0,E575))</f>
        <v/>
      </c>
      <c r="L575" s="70">
        <f>IF($A575="","",B575-D575)</f>
        <v/>
      </c>
      <c r="M575" s="71">
        <f>IF($A575="","",J575-K575)</f>
        <v/>
      </c>
      <c r="N575" s="71">
        <f>IF($A575="","",IF(G575="",0,G575))</f>
        <v/>
      </c>
      <c r="O575" s="70">
        <f>IF($A575="","",D575+F575)</f>
        <v/>
      </c>
      <c r="P575" s="71">
        <f>IF($A575="","",K575+N575)</f>
        <v/>
      </c>
      <c r="Q575" s="70">
        <f>IF($A575="","",I575+L575-F575)</f>
        <v/>
      </c>
      <c r="R575" s="72">
        <f>IF($A575="","",IF(H575="",Q575,H575))</f>
        <v/>
      </c>
      <c r="S575" s="73">
        <f>IF($A575="","",R575-Q575)</f>
        <v/>
      </c>
      <c r="T575" s="70">
        <f>IF($A575="","",SUMIFS($B$5:$B$800,$A$5:$A$800,"&gt;="&amp;DATE(YEAR($A575),MONTH($A575),1),$A$5:$A$800,"&lt;="&amp;$A575)+IF(AND(YEAR($A575)=YEAR(Settings!$B$3),MONTH($A575)=MONTH(Settings!$B$3)),Settings!$B$6,0))</f>
        <v/>
      </c>
      <c r="U575" s="71">
        <f>IF($A575="","",SUMIFS($J$5:$J$800,$A$5:$A$800,"&gt;="&amp;DATE(YEAR($A575),MONTH($A575),1),$A$5:$A$800,"&lt;="&amp;$A575)+IF(AND(YEAR($A575)=YEAR(Settings!$B$3),MONTH($A575)=MONTH(Settings!$B$3)),Settings!$B$7,0))</f>
        <v/>
      </c>
      <c r="V575" s="70">
        <f>IF($A575="","",Settings!$B$8+SUM($B$5:B575))</f>
        <v/>
      </c>
      <c r="W575" s="71">
        <f>IF($A575="","",Settings!$B$9+SUM($J$5:J575))</f>
        <v/>
      </c>
      <c r="X575" s="71">
        <f>IF($A575="","",IF(AND(N575&gt;0,F575&gt;0),ROUND(F575/N575,0),X574))</f>
        <v/>
      </c>
      <c r="Y575" s="74">
        <f>IF($A575="","",IF(AND(M575&gt;0,L575&gt;0),ROUND(L575/M575,0),IF(AND(J575&gt;0,B575&gt;0),ROUND(B575/J575,0),Y574)))</f>
        <v/>
      </c>
    </row>
    <row r="576">
      <c r="A576" s="67" t="n"/>
      <c r="B576" s="68" t="n"/>
      <c r="C576" s="69" t="n"/>
      <c r="D576" s="68" t="n"/>
      <c r="E576" s="69" t="n"/>
      <c r="F576" s="68" t="n"/>
      <c r="G576" s="69" t="n"/>
      <c r="H576" s="68" t="n"/>
      <c r="I576" s="70">
        <f>IF($A576="","",R575)</f>
        <v/>
      </c>
      <c r="J576" s="71">
        <f>IF($A576="","",IF(C576="",0,C576))</f>
        <v/>
      </c>
      <c r="K576" s="71">
        <f>IF($A576="","",IF(E576="",0,E576))</f>
        <v/>
      </c>
      <c r="L576" s="70">
        <f>IF($A576="","",B576-D576)</f>
        <v/>
      </c>
      <c r="M576" s="71">
        <f>IF($A576="","",J576-K576)</f>
        <v/>
      </c>
      <c r="N576" s="71">
        <f>IF($A576="","",IF(G576="",0,G576))</f>
        <v/>
      </c>
      <c r="O576" s="70">
        <f>IF($A576="","",D576+F576)</f>
        <v/>
      </c>
      <c r="P576" s="71">
        <f>IF($A576="","",K576+N576)</f>
        <v/>
      </c>
      <c r="Q576" s="70">
        <f>IF($A576="","",I576+L576-F576)</f>
        <v/>
      </c>
      <c r="R576" s="72">
        <f>IF($A576="","",IF(H576="",Q576,H576))</f>
        <v/>
      </c>
      <c r="S576" s="73">
        <f>IF($A576="","",R576-Q576)</f>
        <v/>
      </c>
      <c r="T576" s="70">
        <f>IF($A576="","",SUMIFS($B$5:$B$800,$A$5:$A$800,"&gt;="&amp;DATE(YEAR($A576),MONTH($A576),1),$A$5:$A$800,"&lt;="&amp;$A576)+IF(AND(YEAR($A576)=YEAR(Settings!$B$3),MONTH($A576)=MONTH(Settings!$B$3)),Settings!$B$6,0))</f>
        <v/>
      </c>
      <c r="U576" s="71">
        <f>IF($A576="","",SUMIFS($J$5:$J$800,$A$5:$A$800,"&gt;="&amp;DATE(YEAR($A576),MONTH($A576),1),$A$5:$A$800,"&lt;="&amp;$A576)+IF(AND(YEAR($A576)=YEAR(Settings!$B$3),MONTH($A576)=MONTH(Settings!$B$3)),Settings!$B$7,0))</f>
        <v/>
      </c>
      <c r="V576" s="70">
        <f>IF($A576="","",Settings!$B$8+SUM($B$5:B576))</f>
        <v/>
      </c>
      <c r="W576" s="71">
        <f>IF($A576="","",Settings!$B$9+SUM($J$5:J576))</f>
        <v/>
      </c>
      <c r="X576" s="71">
        <f>IF($A576="","",IF(AND(N576&gt;0,F576&gt;0),ROUND(F576/N576,0),X575))</f>
        <v/>
      </c>
      <c r="Y576" s="74">
        <f>IF($A576="","",IF(AND(M576&gt;0,L576&gt;0),ROUND(L576/M576,0),IF(AND(J576&gt;0,B576&gt;0),ROUND(B576/J576,0),Y575)))</f>
        <v/>
      </c>
    </row>
    <row r="577">
      <c r="A577" s="67" t="n"/>
      <c r="B577" s="68" t="n"/>
      <c r="C577" s="69" t="n"/>
      <c r="D577" s="68" t="n"/>
      <c r="E577" s="69" t="n"/>
      <c r="F577" s="68" t="n"/>
      <c r="G577" s="69" t="n"/>
      <c r="H577" s="68" t="n"/>
      <c r="I577" s="70">
        <f>IF($A577="","",R576)</f>
        <v/>
      </c>
      <c r="J577" s="71">
        <f>IF($A577="","",IF(C577="",0,C577))</f>
        <v/>
      </c>
      <c r="K577" s="71">
        <f>IF($A577="","",IF(E577="",0,E577))</f>
        <v/>
      </c>
      <c r="L577" s="70">
        <f>IF($A577="","",B577-D577)</f>
        <v/>
      </c>
      <c r="M577" s="71">
        <f>IF($A577="","",J577-K577)</f>
        <v/>
      </c>
      <c r="N577" s="71">
        <f>IF($A577="","",IF(G577="",0,G577))</f>
        <v/>
      </c>
      <c r="O577" s="70">
        <f>IF($A577="","",D577+F577)</f>
        <v/>
      </c>
      <c r="P577" s="71">
        <f>IF($A577="","",K577+N577)</f>
        <v/>
      </c>
      <c r="Q577" s="70">
        <f>IF($A577="","",I577+L577-F577)</f>
        <v/>
      </c>
      <c r="R577" s="72">
        <f>IF($A577="","",IF(H577="",Q577,H577))</f>
        <v/>
      </c>
      <c r="S577" s="73">
        <f>IF($A577="","",R577-Q577)</f>
        <v/>
      </c>
      <c r="T577" s="70">
        <f>IF($A577="","",SUMIFS($B$5:$B$800,$A$5:$A$800,"&gt;="&amp;DATE(YEAR($A577),MONTH($A577),1),$A$5:$A$800,"&lt;="&amp;$A577)+IF(AND(YEAR($A577)=YEAR(Settings!$B$3),MONTH($A577)=MONTH(Settings!$B$3)),Settings!$B$6,0))</f>
        <v/>
      </c>
      <c r="U577" s="71">
        <f>IF($A577="","",SUMIFS($J$5:$J$800,$A$5:$A$800,"&gt;="&amp;DATE(YEAR($A577),MONTH($A577),1),$A$5:$A$800,"&lt;="&amp;$A577)+IF(AND(YEAR($A577)=YEAR(Settings!$B$3),MONTH($A577)=MONTH(Settings!$B$3)),Settings!$B$7,0))</f>
        <v/>
      </c>
      <c r="V577" s="70">
        <f>IF($A577="","",Settings!$B$8+SUM($B$5:B577))</f>
        <v/>
      </c>
      <c r="W577" s="71">
        <f>IF($A577="","",Settings!$B$9+SUM($J$5:J577))</f>
        <v/>
      </c>
      <c r="X577" s="71">
        <f>IF($A577="","",IF(AND(N577&gt;0,F577&gt;0),ROUND(F577/N577,0),X576))</f>
        <v/>
      </c>
      <c r="Y577" s="74">
        <f>IF($A577="","",IF(AND(M577&gt;0,L577&gt;0),ROUND(L577/M577,0),IF(AND(J577&gt;0,B577&gt;0),ROUND(B577/J577,0),Y576)))</f>
        <v/>
      </c>
    </row>
    <row r="578">
      <c r="A578" s="67" t="n"/>
      <c r="B578" s="68" t="n"/>
      <c r="C578" s="69" t="n"/>
      <c r="D578" s="68" t="n"/>
      <c r="E578" s="69" t="n"/>
      <c r="F578" s="68" t="n"/>
      <c r="G578" s="69" t="n"/>
      <c r="H578" s="68" t="n"/>
      <c r="I578" s="70">
        <f>IF($A578="","",R577)</f>
        <v/>
      </c>
      <c r="J578" s="71">
        <f>IF($A578="","",IF(C578="",0,C578))</f>
        <v/>
      </c>
      <c r="K578" s="71">
        <f>IF($A578="","",IF(E578="",0,E578))</f>
        <v/>
      </c>
      <c r="L578" s="70">
        <f>IF($A578="","",B578-D578)</f>
        <v/>
      </c>
      <c r="M578" s="71">
        <f>IF($A578="","",J578-K578)</f>
        <v/>
      </c>
      <c r="N578" s="71">
        <f>IF($A578="","",IF(G578="",0,G578))</f>
        <v/>
      </c>
      <c r="O578" s="70">
        <f>IF($A578="","",D578+F578)</f>
        <v/>
      </c>
      <c r="P578" s="71">
        <f>IF($A578="","",K578+N578)</f>
        <v/>
      </c>
      <c r="Q578" s="70">
        <f>IF($A578="","",I578+L578-F578)</f>
        <v/>
      </c>
      <c r="R578" s="72">
        <f>IF($A578="","",IF(H578="",Q578,H578))</f>
        <v/>
      </c>
      <c r="S578" s="73">
        <f>IF($A578="","",R578-Q578)</f>
        <v/>
      </c>
      <c r="T578" s="70">
        <f>IF($A578="","",SUMIFS($B$5:$B$800,$A$5:$A$800,"&gt;="&amp;DATE(YEAR($A578),MONTH($A578),1),$A$5:$A$800,"&lt;="&amp;$A578)+IF(AND(YEAR($A578)=YEAR(Settings!$B$3),MONTH($A578)=MONTH(Settings!$B$3)),Settings!$B$6,0))</f>
        <v/>
      </c>
      <c r="U578" s="71">
        <f>IF($A578="","",SUMIFS($J$5:$J$800,$A$5:$A$800,"&gt;="&amp;DATE(YEAR($A578),MONTH($A578),1),$A$5:$A$800,"&lt;="&amp;$A578)+IF(AND(YEAR($A578)=YEAR(Settings!$B$3),MONTH($A578)=MONTH(Settings!$B$3)),Settings!$B$7,0))</f>
        <v/>
      </c>
      <c r="V578" s="70">
        <f>IF($A578="","",Settings!$B$8+SUM($B$5:B578))</f>
        <v/>
      </c>
      <c r="W578" s="71">
        <f>IF($A578="","",Settings!$B$9+SUM($J$5:J578))</f>
        <v/>
      </c>
      <c r="X578" s="71">
        <f>IF($A578="","",IF(AND(N578&gt;0,F578&gt;0),ROUND(F578/N578,0),X577))</f>
        <v/>
      </c>
      <c r="Y578" s="74">
        <f>IF($A578="","",IF(AND(M578&gt;0,L578&gt;0),ROUND(L578/M578,0),IF(AND(J578&gt;0,B578&gt;0),ROUND(B578/J578,0),Y577)))</f>
        <v/>
      </c>
    </row>
    <row r="579">
      <c r="A579" s="67" t="n"/>
      <c r="B579" s="68" t="n"/>
      <c r="C579" s="69" t="n"/>
      <c r="D579" s="68" t="n"/>
      <c r="E579" s="69" t="n"/>
      <c r="F579" s="68" t="n"/>
      <c r="G579" s="69" t="n"/>
      <c r="H579" s="68" t="n"/>
      <c r="I579" s="70">
        <f>IF($A579="","",R578)</f>
        <v/>
      </c>
      <c r="J579" s="71">
        <f>IF($A579="","",IF(C579="",0,C579))</f>
        <v/>
      </c>
      <c r="K579" s="71">
        <f>IF($A579="","",IF(E579="",0,E579))</f>
        <v/>
      </c>
      <c r="L579" s="70">
        <f>IF($A579="","",B579-D579)</f>
        <v/>
      </c>
      <c r="M579" s="71">
        <f>IF($A579="","",J579-K579)</f>
        <v/>
      </c>
      <c r="N579" s="71">
        <f>IF($A579="","",IF(G579="",0,G579))</f>
        <v/>
      </c>
      <c r="O579" s="70">
        <f>IF($A579="","",D579+F579)</f>
        <v/>
      </c>
      <c r="P579" s="71">
        <f>IF($A579="","",K579+N579)</f>
        <v/>
      </c>
      <c r="Q579" s="70">
        <f>IF($A579="","",I579+L579-F579)</f>
        <v/>
      </c>
      <c r="R579" s="72">
        <f>IF($A579="","",IF(H579="",Q579,H579))</f>
        <v/>
      </c>
      <c r="S579" s="73">
        <f>IF($A579="","",R579-Q579)</f>
        <v/>
      </c>
      <c r="T579" s="70">
        <f>IF($A579="","",SUMIFS($B$5:$B$800,$A$5:$A$800,"&gt;="&amp;DATE(YEAR($A579),MONTH($A579),1),$A$5:$A$800,"&lt;="&amp;$A579)+IF(AND(YEAR($A579)=YEAR(Settings!$B$3),MONTH($A579)=MONTH(Settings!$B$3)),Settings!$B$6,0))</f>
        <v/>
      </c>
      <c r="U579" s="71">
        <f>IF($A579="","",SUMIFS($J$5:$J$800,$A$5:$A$800,"&gt;="&amp;DATE(YEAR($A579),MONTH($A579),1),$A$5:$A$800,"&lt;="&amp;$A579)+IF(AND(YEAR($A579)=YEAR(Settings!$B$3),MONTH($A579)=MONTH(Settings!$B$3)),Settings!$B$7,0))</f>
        <v/>
      </c>
      <c r="V579" s="70">
        <f>IF($A579="","",Settings!$B$8+SUM($B$5:B579))</f>
        <v/>
      </c>
      <c r="W579" s="71">
        <f>IF($A579="","",Settings!$B$9+SUM($J$5:J579))</f>
        <v/>
      </c>
      <c r="X579" s="71">
        <f>IF($A579="","",IF(AND(N579&gt;0,F579&gt;0),ROUND(F579/N579,0),X578))</f>
        <v/>
      </c>
      <c r="Y579" s="74">
        <f>IF($A579="","",IF(AND(M579&gt;0,L579&gt;0),ROUND(L579/M579,0),IF(AND(J579&gt;0,B579&gt;0),ROUND(B579/J579,0),Y578)))</f>
        <v/>
      </c>
    </row>
    <row r="580">
      <c r="A580" s="67" t="n"/>
      <c r="B580" s="68" t="n"/>
      <c r="C580" s="69" t="n"/>
      <c r="D580" s="68" t="n"/>
      <c r="E580" s="69" t="n"/>
      <c r="F580" s="68" t="n"/>
      <c r="G580" s="69" t="n"/>
      <c r="H580" s="68" t="n"/>
      <c r="I580" s="70">
        <f>IF($A580="","",R579)</f>
        <v/>
      </c>
      <c r="J580" s="71">
        <f>IF($A580="","",IF(C580="",0,C580))</f>
        <v/>
      </c>
      <c r="K580" s="71">
        <f>IF($A580="","",IF(E580="",0,E580))</f>
        <v/>
      </c>
      <c r="L580" s="70">
        <f>IF($A580="","",B580-D580)</f>
        <v/>
      </c>
      <c r="M580" s="71">
        <f>IF($A580="","",J580-K580)</f>
        <v/>
      </c>
      <c r="N580" s="71">
        <f>IF($A580="","",IF(G580="",0,G580))</f>
        <v/>
      </c>
      <c r="O580" s="70">
        <f>IF($A580="","",D580+F580)</f>
        <v/>
      </c>
      <c r="P580" s="71">
        <f>IF($A580="","",K580+N580)</f>
        <v/>
      </c>
      <c r="Q580" s="70">
        <f>IF($A580="","",I580+L580-F580)</f>
        <v/>
      </c>
      <c r="R580" s="72">
        <f>IF($A580="","",IF(H580="",Q580,H580))</f>
        <v/>
      </c>
      <c r="S580" s="73">
        <f>IF($A580="","",R580-Q580)</f>
        <v/>
      </c>
      <c r="T580" s="70">
        <f>IF($A580="","",SUMIFS($B$5:$B$800,$A$5:$A$800,"&gt;="&amp;DATE(YEAR($A580),MONTH($A580),1),$A$5:$A$800,"&lt;="&amp;$A580)+IF(AND(YEAR($A580)=YEAR(Settings!$B$3),MONTH($A580)=MONTH(Settings!$B$3)),Settings!$B$6,0))</f>
        <v/>
      </c>
      <c r="U580" s="71">
        <f>IF($A580="","",SUMIFS($J$5:$J$800,$A$5:$A$800,"&gt;="&amp;DATE(YEAR($A580),MONTH($A580),1),$A$5:$A$800,"&lt;="&amp;$A580)+IF(AND(YEAR($A580)=YEAR(Settings!$B$3),MONTH($A580)=MONTH(Settings!$B$3)),Settings!$B$7,0))</f>
        <v/>
      </c>
      <c r="V580" s="70">
        <f>IF($A580="","",Settings!$B$8+SUM($B$5:B580))</f>
        <v/>
      </c>
      <c r="W580" s="71">
        <f>IF($A580="","",Settings!$B$9+SUM($J$5:J580))</f>
        <v/>
      </c>
      <c r="X580" s="71">
        <f>IF($A580="","",IF(AND(N580&gt;0,F580&gt;0),ROUND(F580/N580,0),X579))</f>
        <v/>
      </c>
      <c r="Y580" s="74">
        <f>IF($A580="","",IF(AND(M580&gt;0,L580&gt;0),ROUND(L580/M580,0),IF(AND(J580&gt;0,B580&gt;0),ROUND(B580/J580,0),Y579)))</f>
        <v/>
      </c>
    </row>
    <row r="581">
      <c r="A581" s="67" t="n"/>
      <c r="B581" s="68" t="n"/>
      <c r="C581" s="69" t="n"/>
      <c r="D581" s="68" t="n"/>
      <c r="E581" s="69" t="n"/>
      <c r="F581" s="68" t="n"/>
      <c r="G581" s="69" t="n"/>
      <c r="H581" s="68" t="n"/>
      <c r="I581" s="70">
        <f>IF($A581="","",R580)</f>
        <v/>
      </c>
      <c r="J581" s="71">
        <f>IF($A581="","",IF(C581="",0,C581))</f>
        <v/>
      </c>
      <c r="K581" s="71">
        <f>IF($A581="","",IF(E581="",0,E581))</f>
        <v/>
      </c>
      <c r="L581" s="70">
        <f>IF($A581="","",B581-D581)</f>
        <v/>
      </c>
      <c r="M581" s="71">
        <f>IF($A581="","",J581-K581)</f>
        <v/>
      </c>
      <c r="N581" s="71">
        <f>IF($A581="","",IF(G581="",0,G581))</f>
        <v/>
      </c>
      <c r="O581" s="70">
        <f>IF($A581="","",D581+F581)</f>
        <v/>
      </c>
      <c r="P581" s="71">
        <f>IF($A581="","",K581+N581)</f>
        <v/>
      </c>
      <c r="Q581" s="70">
        <f>IF($A581="","",I581+L581-F581)</f>
        <v/>
      </c>
      <c r="R581" s="72">
        <f>IF($A581="","",IF(H581="",Q581,H581))</f>
        <v/>
      </c>
      <c r="S581" s="73">
        <f>IF($A581="","",R581-Q581)</f>
        <v/>
      </c>
      <c r="T581" s="70">
        <f>IF($A581="","",SUMIFS($B$5:$B$800,$A$5:$A$800,"&gt;="&amp;DATE(YEAR($A581),MONTH($A581),1),$A$5:$A$800,"&lt;="&amp;$A581)+IF(AND(YEAR($A581)=YEAR(Settings!$B$3),MONTH($A581)=MONTH(Settings!$B$3)),Settings!$B$6,0))</f>
        <v/>
      </c>
      <c r="U581" s="71">
        <f>IF($A581="","",SUMIFS($J$5:$J$800,$A$5:$A$800,"&gt;="&amp;DATE(YEAR($A581),MONTH($A581),1),$A$5:$A$800,"&lt;="&amp;$A581)+IF(AND(YEAR($A581)=YEAR(Settings!$B$3),MONTH($A581)=MONTH(Settings!$B$3)),Settings!$B$7,0))</f>
        <v/>
      </c>
      <c r="V581" s="70">
        <f>IF($A581="","",Settings!$B$8+SUM($B$5:B581))</f>
        <v/>
      </c>
      <c r="W581" s="71">
        <f>IF($A581="","",Settings!$B$9+SUM($J$5:J581))</f>
        <v/>
      </c>
      <c r="X581" s="71">
        <f>IF($A581="","",IF(AND(N581&gt;0,F581&gt;0),ROUND(F581/N581,0),X580))</f>
        <v/>
      </c>
      <c r="Y581" s="74">
        <f>IF($A581="","",IF(AND(M581&gt;0,L581&gt;0),ROUND(L581/M581,0),IF(AND(J581&gt;0,B581&gt;0),ROUND(B581/J581,0),Y580)))</f>
        <v/>
      </c>
    </row>
    <row r="582">
      <c r="A582" s="67" t="n"/>
      <c r="B582" s="68" t="n"/>
      <c r="C582" s="69" t="n"/>
      <c r="D582" s="68" t="n"/>
      <c r="E582" s="69" t="n"/>
      <c r="F582" s="68" t="n"/>
      <c r="G582" s="69" t="n"/>
      <c r="H582" s="68" t="n"/>
      <c r="I582" s="70">
        <f>IF($A582="","",R581)</f>
        <v/>
      </c>
      <c r="J582" s="71">
        <f>IF($A582="","",IF(C582="",0,C582))</f>
        <v/>
      </c>
      <c r="K582" s="71">
        <f>IF($A582="","",IF(E582="",0,E582))</f>
        <v/>
      </c>
      <c r="L582" s="70">
        <f>IF($A582="","",B582-D582)</f>
        <v/>
      </c>
      <c r="M582" s="71">
        <f>IF($A582="","",J582-K582)</f>
        <v/>
      </c>
      <c r="N582" s="71">
        <f>IF($A582="","",IF(G582="",0,G582))</f>
        <v/>
      </c>
      <c r="O582" s="70">
        <f>IF($A582="","",D582+F582)</f>
        <v/>
      </c>
      <c r="P582" s="71">
        <f>IF($A582="","",K582+N582)</f>
        <v/>
      </c>
      <c r="Q582" s="70">
        <f>IF($A582="","",I582+L582-F582)</f>
        <v/>
      </c>
      <c r="R582" s="72">
        <f>IF($A582="","",IF(H582="",Q582,H582))</f>
        <v/>
      </c>
      <c r="S582" s="73">
        <f>IF($A582="","",R582-Q582)</f>
        <v/>
      </c>
      <c r="T582" s="70">
        <f>IF($A582="","",SUMIFS($B$5:$B$800,$A$5:$A$800,"&gt;="&amp;DATE(YEAR($A582),MONTH($A582),1),$A$5:$A$800,"&lt;="&amp;$A582)+IF(AND(YEAR($A582)=YEAR(Settings!$B$3),MONTH($A582)=MONTH(Settings!$B$3)),Settings!$B$6,0))</f>
        <v/>
      </c>
      <c r="U582" s="71">
        <f>IF($A582="","",SUMIFS($J$5:$J$800,$A$5:$A$800,"&gt;="&amp;DATE(YEAR($A582),MONTH($A582),1),$A$5:$A$800,"&lt;="&amp;$A582)+IF(AND(YEAR($A582)=YEAR(Settings!$B$3),MONTH($A582)=MONTH(Settings!$B$3)),Settings!$B$7,0))</f>
        <v/>
      </c>
      <c r="V582" s="70">
        <f>IF($A582="","",Settings!$B$8+SUM($B$5:B582))</f>
        <v/>
      </c>
      <c r="W582" s="71">
        <f>IF($A582="","",Settings!$B$9+SUM($J$5:J582))</f>
        <v/>
      </c>
      <c r="X582" s="71">
        <f>IF($A582="","",IF(AND(N582&gt;0,F582&gt;0),ROUND(F582/N582,0),X581))</f>
        <v/>
      </c>
      <c r="Y582" s="74">
        <f>IF($A582="","",IF(AND(M582&gt;0,L582&gt;0),ROUND(L582/M582,0),IF(AND(J582&gt;0,B582&gt;0),ROUND(B582/J582,0),Y581)))</f>
        <v/>
      </c>
    </row>
    <row r="583">
      <c r="A583" s="67" t="n"/>
      <c r="B583" s="68" t="n"/>
      <c r="C583" s="69" t="n"/>
      <c r="D583" s="68" t="n"/>
      <c r="E583" s="69" t="n"/>
      <c r="F583" s="68" t="n"/>
      <c r="G583" s="69" t="n"/>
      <c r="H583" s="68" t="n"/>
      <c r="I583" s="70">
        <f>IF($A583="","",R582)</f>
        <v/>
      </c>
      <c r="J583" s="71">
        <f>IF($A583="","",IF(C583="",0,C583))</f>
        <v/>
      </c>
      <c r="K583" s="71">
        <f>IF($A583="","",IF(E583="",0,E583))</f>
        <v/>
      </c>
      <c r="L583" s="70">
        <f>IF($A583="","",B583-D583)</f>
        <v/>
      </c>
      <c r="M583" s="71">
        <f>IF($A583="","",J583-K583)</f>
        <v/>
      </c>
      <c r="N583" s="71">
        <f>IF($A583="","",IF(G583="",0,G583))</f>
        <v/>
      </c>
      <c r="O583" s="70">
        <f>IF($A583="","",D583+F583)</f>
        <v/>
      </c>
      <c r="P583" s="71">
        <f>IF($A583="","",K583+N583)</f>
        <v/>
      </c>
      <c r="Q583" s="70">
        <f>IF($A583="","",I583+L583-F583)</f>
        <v/>
      </c>
      <c r="R583" s="72">
        <f>IF($A583="","",IF(H583="",Q583,H583))</f>
        <v/>
      </c>
      <c r="S583" s="73">
        <f>IF($A583="","",R583-Q583)</f>
        <v/>
      </c>
      <c r="T583" s="70">
        <f>IF($A583="","",SUMIFS($B$5:$B$800,$A$5:$A$800,"&gt;="&amp;DATE(YEAR($A583),MONTH($A583),1),$A$5:$A$800,"&lt;="&amp;$A583)+IF(AND(YEAR($A583)=YEAR(Settings!$B$3),MONTH($A583)=MONTH(Settings!$B$3)),Settings!$B$6,0))</f>
        <v/>
      </c>
      <c r="U583" s="71">
        <f>IF($A583="","",SUMIFS($J$5:$J$800,$A$5:$A$800,"&gt;="&amp;DATE(YEAR($A583),MONTH($A583),1),$A$5:$A$800,"&lt;="&amp;$A583)+IF(AND(YEAR($A583)=YEAR(Settings!$B$3),MONTH($A583)=MONTH(Settings!$B$3)),Settings!$B$7,0))</f>
        <v/>
      </c>
      <c r="V583" s="70">
        <f>IF($A583="","",Settings!$B$8+SUM($B$5:B583))</f>
        <v/>
      </c>
      <c r="W583" s="71">
        <f>IF($A583="","",Settings!$B$9+SUM($J$5:J583))</f>
        <v/>
      </c>
      <c r="X583" s="71">
        <f>IF($A583="","",IF(AND(N583&gt;0,F583&gt;0),ROUND(F583/N583,0),X582))</f>
        <v/>
      </c>
      <c r="Y583" s="74">
        <f>IF($A583="","",IF(AND(M583&gt;0,L583&gt;0),ROUND(L583/M583,0),IF(AND(J583&gt;0,B583&gt;0),ROUND(B583/J583,0),Y582)))</f>
        <v/>
      </c>
    </row>
    <row r="584">
      <c r="A584" s="67" t="n"/>
      <c r="B584" s="68" t="n"/>
      <c r="C584" s="69" t="n"/>
      <c r="D584" s="68" t="n"/>
      <c r="E584" s="69" t="n"/>
      <c r="F584" s="68" t="n"/>
      <c r="G584" s="69" t="n"/>
      <c r="H584" s="68" t="n"/>
      <c r="I584" s="70">
        <f>IF($A584="","",R583)</f>
        <v/>
      </c>
      <c r="J584" s="71">
        <f>IF($A584="","",IF(C584="",0,C584))</f>
        <v/>
      </c>
      <c r="K584" s="71">
        <f>IF($A584="","",IF(E584="",0,E584))</f>
        <v/>
      </c>
      <c r="L584" s="70">
        <f>IF($A584="","",B584-D584)</f>
        <v/>
      </c>
      <c r="M584" s="71">
        <f>IF($A584="","",J584-K584)</f>
        <v/>
      </c>
      <c r="N584" s="71">
        <f>IF($A584="","",IF(G584="",0,G584))</f>
        <v/>
      </c>
      <c r="O584" s="70">
        <f>IF($A584="","",D584+F584)</f>
        <v/>
      </c>
      <c r="P584" s="71">
        <f>IF($A584="","",K584+N584)</f>
        <v/>
      </c>
      <c r="Q584" s="70">
        <f>IF($A584="","",I584+L584-F584)</f>
        <v/>
      </c>
      <c r="R584" s="72">
        <f>IF($A584="","",IF(H584="",Q584,H584))</f>
        <v/>
      </c>
      <c r="S584" s="73">
        <f>IF($A584="","",R584-Q584)</f>
        <v/>
      </c>
      <c r="T584" s="70">
        <f>IF($A584="","",SUMIFS($B$5:$B$800,$A$5:$A$800,"&gt;="&amp;DATE(YEAR($A584),MONTH($A584),1),$A$5:$A$800,"&lt;="&amp;$A584)+IF(AND(YEAR($A584)=YEAR(Settings!$B$3),MONTH($A584)=MONTH(Settings!$B$3)),Settings!$B$6,0))</f>
        <v/>
      </c>
      <c r="U584" s="71">
        <f>IF($A584="","",SUMIFS($J$5:$J$800,$A$5:$A$800,"&gt;="&amp;DATE(YEAR($A584),MONTH($A584),1),$A$5:$A$800,"&lt;="&amp;$A584)+IF(AND(YEAR($A584)=YEAR(Settings!$B$3),MONTH($A584)=MONTH(Settings!$B$3)),Settings!$B$7,0))</f>
        <v/>
      </c>
      <c r="V584" s="70">
        <f>IF($A584="","",Settings!$B$8+SUM($B$5:B584))</f>
        <v/>
      </c>
      <c r="W584" s="71">
        <f>IF($A584="","",Settings!$B$9+SUM($J$5:J584))</f>
        <v/>
      </c>
      <c r="X584" s="71">
        <f>IF($A584="","",IF(AND(N584&gt;0,F584&gt;0),ROUND(F584/N584,0),X583))</f>
        <v/>
      </c>
      <c r="Y584" s="74">
        <f>IF($A584="","",IF(AND(M584&gt;0,L584&gt;0),ROUND(L584/M584,0),IF(AND(J584&gt;0,B584&gt;0),ROUND(B584/J584,0),Y583)))</f>
        <v/>
      </c>
    </row>
    <row r="585">
      <c r="A585" s="67" t="n"/>
      <c r="B585" s="68" t="n"/>
      <c r="C585" s="69" t="n"/>
      <c r="D585" s="68" t="n"/>
      <c r="E585" s="69" t="n"/>
      <c r="F585" s="68" t="n"/>
      <c r="G585" s="69" t="n"/>
      <c r="H585" s="68" t="n"/>
      <c r="I585" s="70">
        <f>IF($A585="","",R584)</f>
        <v/>
      </c>
      <c r="J585" s="71">
        <f>IF($A585="","",IF(C585="",0,C585))</f>
        <v/>
      </c>
      <c r="K585" s="71">
        <f>IF($A585="","",IF(E585="",0,E585))</f>
        <v/>
      </c>
      <c r="L585" s="70">
        <f>IF($A585="","",B585-D585)</f>
        <v/>
      </c>
      <c r="M585" s="71">
        <f>IF($A585="","",J585-K585)</f>
        <v/>
      </c>
      <c r="N585" s="71">
        <f>IF($A585="","",IF(G585="",0,G585))</f>
        <v/>
      </c>
      <c r="O585" s="70">
        <f>IF($A585="","",D585+F585)</f>
        <v/>
      </c>
      <c r="P585" s="71">
        <f>IF($A585="","",K585+N585)</f>
        <v/>
      </c>
      <c r="Q585" s="70">
        <f>IF($A585="","",I585+L585-F585)</f>
        <v/>
      </c>
      <c r="R585" s="72">
        <f>IF($A585="","",IF(H585="",Q585,H585))</f>
        <v/>
      </c>
      <c r="S585" s="73">
        <f>IF($A585="","",R585-Q585)</f>
        <v/>
      </c>
      <c r="T585" s="70">
        <f>IF($A585="","",SUMIFS($B$5:$B$800,$A$5:$A$800,"&gt;="&amp;DATE(YEAR($A585),MONTH($A585),1),$A$5:$A$800,"&lt;="&amp;$A585)+IF(AND(YEAR($A585)=YEAR(Settings!$B$3),MONTH($A585)=MONTH(Settings!$B$3)),Settings!$B$6,0))</f>
        <v/>
      </c>
      <c r="U585" s="71">
        <f>IF($A585="","",SUMIFS($J$5:$J$800,$A$5:$A$800,"&gt;="&amp;DATE(YEAR($A585),MONTH($A585),1),$A$5:$A$800,"&lt;="&amp;$A585)+IF(AND(YEAR($A585)=YEAR(Settings!$B$3),MONTH($A585)=MONTH(Settings!$B$3)),Settings!$B$7,0))</f>
        <v/>
      </c>
      <c r="V585" s="70">
        <f>IF($A585="","",Settings!$B$8+SUM($B$5:B585))</f>
        <v/>
      </c>
      <c r="W585" s="71">
        <f>IF($A585="","",Settings!$B$9+SUM($J$5:J585))</f>
        <v/>
      </c>
      <c r="X585" s="71">
        <f>IF($A585="","",IF(AND(N585&gt;0,F585&gt;0),ROUND(F585/N585,0),X584))</f>
        <v/>
      </c>
      <c r="Y585" s="74">
        <f>IF($A585="","",IF(AND(M585&gt;0,L585&gt;0),ROUND(L585/M585,0),IF(AND(J585&gt;0,B585&gt;0),ROUND(B585/J585,0),Y584)))</f>
        <v/>
      </c>
    </row>
    <row r="586">
      <c r="A586" s="67" t="n"/>
      <c r="B586" s="68" t="n"/>
      <c r="C586" s="69" t="n"/>
      <c r="D586" s="68" t="n"/>
      <c r="E586" s="69" t="n"/>
      <c r="F586" s="68" t="n"/>
      <c r="G586" s="69" t="n"/>
      <c r="H586" s="68" t="n"/>
      <c r="I586" s="70">
        <f>IF($A586="","",R585)</f>
        <v/>
      </c>
      <c r="J586" s="71">
        <f>IF($A586="","",IF(C586="",0,C586))</f>
        <v/>
      </c>
      <c r="K586" s="71">
        <f>IF($A586="","",IF(E586="",0,E586))</f>
        <v/>
      </c>
      <c r="L586" s="70">
        <f>IF($A586="","",B586-D586)</f>
        <v/>
      </c>
      <c r="M586" s="71">
        <f>IF($A586="","",J586-K586)</f>
        <v/>
      </c>
      <c r="N586" s="71">
        <f>IF($A586="","",IF(G586="",0,G586))</f>
        <v/>
      </c>
      <c r="O586" s="70">
        <f>IF($A586="","",D586+F586)</f>
        <v/>
      </c>
      <c r="P586" s="71">
        <f>IF($A586="","",K586+N586)</f>
        <v/>
      </c>
      <c r="Q586" s="70">
        <f>IF($A586="","",I586+L586-F586)</f>
        <v/>
      </c>
      <c r="R586" s="72">
        <f>IF($A586="","",IF(H586="",Q586,H586))</f>
        <v/>
      </c>
      <c r="S586" s="73">
        <f>IF($A586="","",R586-Q586)</f>
        <v/>
      </c>
      <c r="T586" s="70">
        <f>IF($A586="","",SUMIFS($B$5:$B$800,$A$5:$A$800,"&gt;="&amp;DATE(YEAR($A586),MONTH($A586),1),$A$5:$A$800,"&lt;="&amp;$A586)+IF(AND(YEAR($A586)=YEAR(Settings!$B$3),MONTH($A586)=MONTH(Settings!$B$3)),Settings!$B$6,0))</f>
        <v/>
      </c>
      <c r="U586" s="71">
        <f>IF($A586="","",SUMIFS($J$5:$J$800,$A$5:$A$800,"&gt;="&amp;DATE(YEAR($A586),MONTH($A586),1),$A$5:$A$800,"&lt;="&amp;$A586)+IF(AND(YEAR($A586)=YEAR(Settings!$B$3),MONTH($A586)=MONTH(Settings!$B$3)),Settings!$B$7,0))</f>
        <v/>
      </c>
      <c r="V586" s="70">
        <f>IF($A586="","",Settings!$B$8+SUM($B$5:B586))</f>
        <v/>
      </c>
      <c r="W586" s="71">
        <f>IF($A586="","",Settings!$B$9+SUM($J$5:J586))</f>
        <v/>
      </c>
      <c r="X586" s="71">
        <f>IF($A586="","",IF(AND(N586&gt;0,F586&gt;0),ROUND(F586/N586,0),X585))</f>
        <v/>
      </c>
      <c r="Y586" s="74">
        <f>IF($A586="","",IF(AND(M586&gt;0,L586&gt;0),ROUND(L586/M586,0),IF(AND(J586&gt;0,B586&gt;0),ROUND(B586/J586,0),Y585)))</f>
        <v/>
      </c>
    </row>
    <row r="587">
      <c r="A587" s="67" t="n"/>
      <c r="B587" s="68" t="n"/>
      <c r="C587" s="69" t="n"/>
      <c r="D587" s="68" t="n"/>
      <c r="E587" s="69" t="n"/>
      <c r="F587" s="68" t="n"/>
      <c r="G587" s="69" t="n"/>
      <c r="H587" s="68" t="n"/>
      <c r="I587" s="70">
        <f>IF($A587="","",R586)</f>
        <v/>
      </c>
      <c r="J587" s="71">
        <f>IF($A587="","",IF(C587="",0,C587))</f>
        <v/>
      </c>
      <c r="K587" s="71">
        <f>IF($A587="","",IF(E587="",0,E587))</f>
        <v/>
      </c>
      <c r="L587" s="70">
        <f>IF($A587="","",B587-D587)</f>
        <v/>
      </c>
      <c r="M587" s="71">
        <f>IF($A587="","",J587-K587)</f>
        <v/>
      </c>
      <c r="N587" s="71">
        <f>IF($A587="","",IF(G587="",0,G587))</f>
        <v/>
      </c>
      <c r="O587" s="70">
        <f>IF($A587="","",D587+F587)</f>
        <v/>
      </c>
      <c r="P587" s="71">
        <f>IF($A587="","",K587+N587)</f>
        <v/>
      </c>
      <c r="Q587" s="70">
        <f>IF($A587="","",I587+L587-F587)</f>
        <v/>
      </c>
      <c r="R587" s="72">
        <f>IF($A587="","",IF(H587="",Q587,H587))</f>
        <v/>
      </c>
      <c r="S587" s="73">
        <f>IF($A587="","",R587-Q587)</f>
        <v/>
      </c>
      <c r="T587" s="70">
        <f>IF($A587="","",SUMIFS($B$5:$B$800,$A$5:$A$800,"&gt;="&amp;DATE(YEAR($A587),MONTH($A587),1),$A$5:$A$800,"&lt;="&amp;$A587)+IF(AND(YEAR($A587)=YEAR(Settings!$B$3),MONTH($A587)=MONTH(Settings!$B$3)),Settings!$B$6,0))</f>
        <v/>
      </c>
      <c r="U587" s="71">
        <f>IF($A587="","",SUMIFS($J$5:$J$800,$A$5:$A$800,"&gt;="&amp;DATE(YEAR($A587),MONTH($A587),1),$A$5:$A$800,"&lt;="&amp;$A587)+IF(AND(YEAR($A587)=YEAR(Settings!$B$3),MONTH($A587)=MONTH(Settings!$B$3)),Settings!$B$7,0))</f>
        <v/>
      </c>
      <c r="V587" s="70">
        <f>IF($A587="","",Settings!$B$8+SUM($B$5:B587))</f>
        <v/>
      </c>
      <c r="W587" s="71">
        <f>IF($A587="","",Settings!$B$9+SUM($J$5:J587))</f>
        <v/>
      </c>
      <c r="X587" s="71">
        <f>IF($A587="","",IF(AND(N587&gt;0,F587&gt;0),ROUND(F587/N587,0),X586))</f>
        <v/>
      </c>
      <c r="Y587" s="74">
        <f>IF($A587="","",IF(AND(M587&gt;0,L587&gt;0),ROUND(L587/M587,0),IF(AND(J587&gt;0,B587&gt;0),ROUND(B587/J587,0),Y586)))</f>
        <v/>
      </c>
    </row>
    <row r="588">
      <c r="A588" s="67" t="n"/>
      <c r="B588" s="68" t="n"/>
      <c r="C588" s="69" t="n"/>
      <c r="D588" s="68" t="n"/>
      <c r="E588" s="69" t="n"/>
      <c r="F588" s="68" t="n"/>
      <c r="G588" s="69" t="n"/>
      <c r="H588" s="68" t="n"/>
      <c r="I588" s="70">
        <f>IF($A588="","",R587)</f>
        <v/>
      </c>
      <c r="J588" s="71">
        <f>IF($A588="","",IF(C588="",0,C588))</f>
        <v/>
      </c>
      <c r="K588" s="71">
        <f>IF($A588="","",IF(E588="",0,E588))</f>
        <v/>
      </c>
      <c r="L588" s="70">
        <f>IF($A588="","",B588-D588)</f>
        <v/>
      </c>
      <c r="M588" s="71">
        <f>IF($A588="","",J588-K588)</f>
        <v/>
      </c>
      <c r="N588" s="71">
        <f>IF($A588="","",IF(G588="",0,G588))</f>
        <v/>
      </c>
      <c r="O588" s="70">
        <f>IF($A588="","",D588+F588)</f>
        <v/>
      </c>
      <c r="P588" s="71">
        <f>IF($A588="","",K588+N588)</f>
        <v/>
      </c>
      <c r="Q588" s="70">
        <f>IF($A588="","",I588+L588-F588)</f>
        <v/>
      </c>
      <c r="R588" s="72">
        <f>IF($A588="","",IF(H588="",Q588,H588))</f>
        <v/>
      </c>
      <c r="S588" s="73">
        <f>IF($A588="","",R588-Q588)</f>
        <v/>
      </c>
      <c r="T588" s="70">
        <f>IF($A588="","",SUMIFS($B$5:$B$800,$A$5:$A$800,"&gt;="&amp;DATE(YEAR($A588),MONTH($A588),1),$A$5:$A$800,"&lt;="&amp;$A588)+IF(AND(YEAR($A588)=YEAR(Settings!$B$3),MONTH($A588)=MONTH(Settings!$B$3)),Settings!$B$6,0))</f>
        <v/>
      </c>
      <c r="U588" s="71">
        <f>IF($A588="","",SUMIFS($J$5:$J$800,$A$5:$A$800,"&gt;="&amp;DATE(YEAR($A588),MONTH($A588),1),$A$5:$A$800,"&lt;="&amp;$A588)+IF(AND(YEAR($A588)=YEAR(Settings!$B$3),MONTH($A588)=MONTH(Settings!$B$3)),Settings!$B$7,0))</f>
        <v/>
      </c>
      <c r="V588" s="70">
        <f>IF($A588="","",Settings!$B$8+SUM($B$5:B588))</f>
        <v/>
      </c>
      <c r="W588" s="71">
        <f>IF($A588="","",Settings!$B$9+SUM($J$5:J588))</f>
        <v/>
      </c>
      <c r="X588" s="71">
        <f>IF($A588="","",IF(AND(N588&gt;0,F588&gt;0),ROUND(F588/N588,0),X587))</f>
        <v/>
      </c>
      <c r="Y588" s="74">
        <f>IF($A588="","",IF(AND(M588&gt;0,L588&gt;0),ROUND(L588/M588,0),IF(AND(J588&gt;0,B588&gt;0),ROUND(B588/J588,0),Y587)))</f>
        <v/>
      </c>
    </row>
    <row r="589">
      <c r="A589" s="67" t="n"/>
      <c r="B589" s="68" t="n"/>
      <c r="C589" s="69" t="n"/>
      <c r="D589" s="68" t="n"/>
      <c r="E589" s="69" t="n"/>
      <c r="F589" s="68" t="n"/>
      <c r="G589" s="69" t="n"/>
      <c r="H589" s="68" t="n"/>
      <c r="I589" s="70">
        <f>IF($A589="","",R588)</f>
        <v/>
      </c>
      <c r="J589" s="71">
        <f>IF($A589="","",IF(C589="",0,C589))</f>
        <v/>
      </c>
      <c r="K589" s="71">
        <f>IF($A589="","",IF(E589="",0,E589))</f>
        <v/>
      </c>
      <c r="L589" s="70">
        <f>IF($A589="","",B589-D589)</f>
        <v/>
      </c>
      <c r="M589" s="71">
        <f>IF($A589="","",J589-K589)</f>
        <v/>
      </c>
      <c r="N589" s="71">
        <f>IF($A589="","",IF(G589="",0,G589))</f>
        <v/>
      </c>
      <c r="O589" s="70">
        <f>IF($A589="","",D589+F589)</f>
        <v/>
      </c>
      <c r="P589" s="71">
        <f>IF($A589="","",K589+N589)</f>
        <v/>
      </c>
      <c r="Q589" s="70">
        <f>IF($A589="","",I589+L589-F589)</f>
        <v/>
      </c>
      <c r="R589" s="72">
        <f>IF($A589="","",IF(H589="",Q589,H589))</f>
        <v/>
      </c>
      <c r="S589" s="73">
        <f>IF($A589="","",R589-Q589)</f>
        <v/>
      </c>
      <c r="T589" s="70">
        <f>IF($A589="","",SUMIFS($B$5:$B$800,$A$5:$A$800,"&gt;="&amp;DATE(YEAR($A589),MONTH($A589),1),$A$5:$A$800,"&lt;="&amp;$A589)+IF(AND(YEAR($A589)=YEAR(Settings!$B$3),MONTH($A589)=MONTH(Settings!$B$3)),Settings!$B$6,0))</f>
        <v/>
      </c>
      <c r="U589" s="71">
        <f>IF($A589="","",SUMIFS($J$5:$J$800,$A$5:$A$800,"&gt;="&amp;DATE(YEAR($A589),MONTH($A589),1),$A$5:$A$800,"&lt;="&amp;$A589)+IF(AND(YEAR($A589)=YEAR(Settings!$B$3),MONTH($A589)=MONTH(Settings!$B$3)),Settings!$B$7,0))</f>
        <v/>
      </c>
      <c r="V589" s="70">
        <f>IF($A589="","",Settings!$B$8+SUM($B$5:B589))</f>
        <v/>
      </c>
      <c r="W589" s="71">
        <f>IF($A589="","",Settings!$B$9+SUM($J$5:J589))</f>
        <v/>
      </c>
      <c r="X589" s="71">
        <f>IF($A589="","",IF(AND(N589&gt;0,F589&gt;0),ROUND(F589/N589,0),X588))</f>
        <v/>
      </c>
      <c r="Y589" s="74">
        <f>IF($A589="","",IF(AND(M589&gt;0,L589&gt;0),ROUND(L589/M589,0),IF(AND(J589&gt;0,B589&gt;0),ROUND(B589/J589,0),Y588)))</f>
        <v/>
      </c>
    </row>
    <row r="590">
      <c r="A590" s="67" t="n"/>
      <c r="B590" s="68" t="n"/>
      <c r="C590" s="69" t="n"/>
      <c r="D590" s="68" t="n"/>
      <c r="E590" s="69" t="n"/>
      <c r="F590" s="68" t="n"/>
      <c r="G590" s="69" t="n"/>
      <c r="H590" s="68" t="n"/>
      <c r="I590" s="70">
        <f>IF($A590="","",R589)</f>
        <v/>
      </c>
      <c r="J590" s="71">
        <f>IF($A590="","",IF(C590="",0,C590))</f>
        <v/>
      </c>
      <c r="K590" s="71">
        <f>IF($A590="","",IF(E590="",0,E590))</f>
        <v/>
      </c>
      <c r="L590" s="70">
        <f>IF($A590="","",B590-D590)</f>
        <v/>
      </c>
      <c r="M590" s="71">
        <f>IF($A590="","",J590-K590)</f>
        <v/>
      </c>
      <c r="N590" s="71">
        <f>IF($A590="","",IF(G590="",0,G590))</f>
        <v/>
      </c>
      <c r="O590" s="70">
        <f>IF($A590="","",D590+F590)</f>
        <v/>
      </c>
      <c r="P590" s="71">
        <f>IF($A590="","",K590+N590)</f>
        <v/>
      </c>
      <c r="Q590" s="70">
        <f>IF($A590="","",I590+L590-F590)</f>
        <v/>
      </c>
      <c r="R590" s="72">
        <f>IF($A590="","",IF(H590="",Q590,H590))</f>
        <v/>
      </c>
      <c r="S590" s="73">
        <f>IF($A590="","",R590-Q590)</f>
        <v/>
      </c>
      <c r="T590" s="70">
        <f>IF($A590="","",SUMIFS($B$5:$B$800,$A$5:$A$800,"&gt;="&amp;DATE(YEAR($A590),MONTH($A590),1),$A$5:$A$800,"&lt;="&amp;$A590)+IF(AND(YEAR($A590)=YEAR(Settings!$B$3),MONTH($A590)=MONTH(Settings!$B$3)),Settings!$B$6,0))</f>
        <v/>
      </c>
      <c r="U590" s="71">
        <f>IF($A590="","",SUMIFS($J$5:$J$800,$A$5:$A$800,"&gt;="&amp;DATE(YEAR($A590),MONTH($A590),1),$A$5:$A$800,"&lt;="&amp;$A590)+IF(AND(YEAR($A590)=YEAR(Settings!$B$3),MONTH($A590)=MONTH(Settings!$B$3)),Settings!$B$7,0))</f>
        <v/>
      </c>
      <c r="V590" s="70">
        <f>IF($A590="","",Settings!$B$8+SUM($B$5:B590))</f>
        <v/>
      </c>
      <c r="W590" s="71">
        <f>IF($A590="","",Settings!$B$9+SUM($J$5:J590))</f>
        <v/>
      </c>
      <c r="X590" s="71">
        <f>IF($A590="","",IF(AND(N590&gt;0,F590&gt;0),ROUND(F590/N590,0),X589))</f>
        <v/>
      </c>
      <c r="Y590" s="74">
        <f>IF($A590="","",IF(AND(M590&gt;0,L590&gt;0),ROUND(L590/M590,0),IF(AND(J590&gt;0,B590&gt;0),ROUND(B590/J590,0),Y589)))</f>
        <v/>
      </c>
    </row>
    <row r="591">
      <c r="A591" s="67" t="n"/>
      <c r="B591" s="68" t="n"/>
      <c r="C591" s="69" t="n"/>
      <c r="D591" s="68" t="n"/>
      <c r="E591" s="69" t="n"/>
      <c r="F591" s="68" t="n"/>
      <c r="G591" s="69" t="n"/>
      <c r="H591" s="68" t="n"/>
      <c r="I591" s="70">
        <f>IF($A591="","",R590)</f>
        <v/>
      </c>
      <c r="J591" s="71">
        <f>IF($A591="","",IF(C591="",0,C591))</f>
        <v/>
      </c>
      <c r="K591" s="71">
        <f>IF($A591="","",IF(E591="",0,E591))</f>
        <v/>
      </c>
      <c r="L591" s="70">
        <f>IF($A591="","",B591-D591)</f>
        <v/>
      </c>
      <c r="M591" s="71">
        <f>IF($A591="","",J591-K591)</f>
        <v/>
      </c>
      <c r="N591" s="71">
        <f>IF($A591="","",IF(G591="",0,G591))</f>
        <v/>
      </c>
      <c r="O591" s="70">
        <f>IF($A591="","",D591+F591)</f>
        <v/>
      </c>
      <c r="P591" s="71">
        <f>IF($A591="","",K591+N591)</f>
        <v/>
      </c>
      <c r="Q591" s="70">
        <f>IF($A591="","",I591+L591-F591)</f>
        <v/>
      </c>
      <c r="R591" s="72">
        <f>IF($A591="","",IF(H591="",Q591,H591))</f>
        <v/>
      </c>
      <c r="S591" s="73">
        <f>IF($A591="","",R591-Q591)</f>
        <v/>
      </c>
      <c r="T591" s="70">
        <f>IF($A591="","",SUMIFS($B$5:$B$800,$A$5:$A$800,"&gt;="&amp;DATE(YEAR($A591),MONTH($A591),1),$A$5:$A$800,"&lt;="&amp;$A591)+IF(AND(YEAR($A591)=YEAR(Settings!$B$3),MONTH($A591)=MONTH(Settings!$B$3)),Settings!$B$6,0))</f>
        <v/>
      </c>
      <c r="U591" s="71">
        <f>IF($A591="","",SUMIFS($J$5:$J$800,$A$5:$A$800,"&gt;="&amp;DATE(YEAR($A591),MONTH($A591),1),$A$5:$A$800,"&lt;="&amp;$A591)+IF(AND(YEAR($A591)=YEAR(Settings!$B$3),MONTH($A591)=MONTH(Settings!$B$3)),Settings!$B$7,0))</f>
        <v/>
      </c>
      <c r="V591" s="70">
        <f>IF($A591="","",Settings!$B$8+SUM($B$5:B591))</f>
        <v/>
      </c>
      <c r="W591" s="71">
        <f>IF($A591="","",Settings!$B$9+SUM($J$5:J591))</f>
        <v/>
      </c>
      <c r="X591" s="71">
        <f>IF($A591="","",IF(AND(N591&gt;0,F591&gt;0),ROUND(F591/N591,0),X590))</f>
        <v/>
      </c>
      <c r="Y591" s="74">
        <f>IF($A591="","",IF(AND(M591&gt;0,L591&gt;0),ROUND(L591/M591,0),IF(AND(J591&gt;0,B591&gt;0),ROUND(B591/J591,0),Y590)))</f>
        <v/>
      </c>
    </row>
    <row r="592">
      <c r="A592" s="67" t="n"/>
      <c r="B592" s="68" t="n"/>
      <c r="C592" s="69" t="n"/>
      <c r="D592" s="68" t="n"/>
      <c r="E592" s="69" t="n"/>
      <c r="F592" s="68" t="n"/>
      <c r="G592" s="69" t="n"/>
      <c r="H592" s="68" t="n"/>
      <c r="I592" s="70">
        <f>IF($A592="","",R591)</f>
        <v/>
      </c>
      <c r="J592" s="71">
        <f>IF($A592="","",IF(C592="",0,C592))</f>
        <v/>
      </c>
      <c r="K592" s="71">
        <f>IF($A592="","",IF(E592="",0,E592))</f>
        <v/>
      </c>
      <c r="L592" s="70">
        <f>IF($A592="","",B592-D592)</f>
        <v/>
      </c>
      <c r="M592" s="71">
        <f>IF($A592="","",J592-K592)</f>
        <v/>
      </c>
      <c r="N592" s="71">
        <f>IF($A592="","",IF(G592="",0,G592))</f>
        <v/>
      </c>
      <c r="O592" s="70">
        <f>IF($A592="","",D592+F592)</f>
        <v/>
      </c>
      <c r="P592" s="71">
        <f>IF($A592="","",K592+N592)</f>
        <v/>
      </c>
      <c r="Q592" s="70">
        <f>IF($A592="","",I592+L592-F592)</f>
        <v/>
      </c>
      <c r="R592" s="72">
        <f>IF($A592="","",IF(H592="",Q592,H592))</f>
        <v/>
      </c>
      <c r="S592" s="73">
        <f>IF($A592="","",R592-Q592)</f>
        <v/>
      </c>
      <c r="T592" s="70">
        <f>IF($A592="","",SUMIFS($B$5:$B$800,$A$5:$A$800,"&gt;="&amp;DATE(YEAR($A592),MONTH($A592),1),$A$5:$A$800,"&lt;="&amp;$A592)+IF(AND(YEAR($A592)=YEAR(Settings!$B$3),MONTH($A592)=MONTH(Settings!$B$3)),Settings!$B$6,0))</f>
        <v/>
      </c>
      <c r="U592" s="71">
        <f>IF($A592="","",SUMIFS($J$5:$J$800,$A$5:$A$800,"&gt;="&amp;DATE(YEAR($A592),MONTH($A592),1),$A$5:$A$800,"&lt;="&amp;$A592)+IF(AND(YEAR($A592)=YEAR(Settings!$B$3),MONTH($A592)=MONTH(Settings!$B$3)),Settings!$B$7,0))</f>
        <v/>
      </c>
      <c r="V592" s="70">
        <f>IF($A592="","",Settings!$B$8+SUM($B$5:B592))</f>
        <v/>
      </c>
      <c r="W592" s="71">
        <f>IF($A592="","",Settings!$B$9+SUM($J$5:J592))</f>
        <v/>
      </c>
      <c r="X592" s="71">
        <f>IF($A592="","",IF(AND(N592&gt;0,F592&gt;0),ROUND(F592/N592,0),X591))</f>
        <v/>
      </c>
      <c r="Y592" s="74">
        <f>IF($A592="","",IF(AND(M592&gt;0,L592&gt;0),ROUND(L592/M592,0),IF(AND(J592&gt;0,B592&gt;0),ROUND(B592/J592,0),Y591)))</f>
        <v/>
      </c>
    </row>
    <row r="593">
      <c r="A593" s="67" t="n"/>
      <c r="B593" s="68" t="n"/>
      <c r="C593" s="69" t="n"/>
      <c r="D593" s="68" t="n"/>
      <c r="E593" s="69" t="n"/>
      <c r="F593" s="68" t="n"/>
      <c r="G593" s="69" t="n"/>
      <c r="H593" s="68" t="n"/>
      <c r="I593" s="70">
        <f>IF($A593="","",R592)</f>
        <v/>
      </c>
      <c r="J593" s="71">
        <f>IF($A593="","",IF(C593="",0,C593))</f>
        <v/>
      </c>
      <c r="K593" s="71">
        <f>IF($A593="","",IF(E593="",0,E593))</f>
        <v/>
      </c>
      <c r="L593" s="70">
        <f>IF($A593="","",B593-D593)</f>
        <v/>
      </c>
      <c r="M593" s="71">
        <f>IF($A593="","",J593-K593)</f>
        <v/>
      </c>
      <c r="N593" s="71">
        <f>IF($A593="","",IF(G593="",0,G593))</f>
        <v/>
      </c>
      <c r="O593" s="70">
        <f>IF($A593="","",D593+F593)</f>
        <v/>
      </c>
      <c r="P593" s="71">
        <f>IF($A593="","",K593+N593)</f>
        <v/>
      </c>
      <c r="Q593" s="70">
        <f>IF($A593="","",I593+L593-F593)</f>
        <v/>
      </c>
      <c r="R593" s="72">
        <f>IF($A593="","",IF(H593="",Q593,H593))</f>
        <v/>
      </c>
      <c r="S593" s="73">
        <f>IF($A593="","",R593-Q593)</f>
        <v/>
      </c>
      <c r="T593" s="70">
        <f>IF($A593="","",SUMIFS($B$5:$B$800,$A$5:$A$800,"&gt;="&amp;DATE(YEAR($A593),MONTH($A593),1),$A$5:$A$800,"&lt;="&amp;$A593)+IF(AND(YEAR($A593)=YEAR(Settings!$B$3),MONTH($A593)=MONTH(Settings!$B$3)),Settings!$B$6,0))</f>
        <v/>
      </c>
      <c r="U593" s="71">
        <f>IF($A593="","",SUMIFS($J$5:$J$800,$A$5:$A$800,"&gt;="&amp;DATE(YEAR($A593),MONTH($A593),1),$A$5:$A$800,"&lt;="&amp;$A593)+IF(AND(YEAR($A593)=YEAR(Settings!$B$3),MONTH($A593)=MONTH(Settings!$B$3)),Settings!$B$7,0))</f>
        <v/>
      </c>
      <c r="V593" s="70">
        <f>IF($A593="","",Settings!$B$8+SUM($B$5:B593))</f>
        <v/>
      </c>
      <c r="W593" s="71">
        <f>IF($A593="","",Settings!$B$9+SUM($J$5:J593))</f>
        <v/>
      </c>
      <c r="X593" s="71">
        <f>IF($A593="","",IF(AND(N593&gt;0,F593&gt;0),ROUND(F593/N593,0),X592))</f>
        <v/>
      </c>
      <c r="Y593" s="74">
        <f>IF($A593="","",IF(AND(M593&gt;0,L593&gt;0),ROUND(L593/M593,0),IF(AND(J593&gt;0,B593&gt;0),ROUND(B593/J593,0),Y592)))</f>
        <v/>
      </c>
    </row>
    <row r="594">
      <c r="A594" s="67" t="n"/>
      <c r="B594" s="68" t="n"/>
      <c r="C594" s="69" t="n"/>
      <c r="D594" s="68" t="n"/>
      <c r="E594" s="69" t="n"/>
      <c r="F594" s="68" t="n"/>
      <c r="G594" s="69" t="n"/>
      <c r="H594" s="68" t="n"/>
      <c r="I594" s="70">
        <f>IF($A594="","",R593)</f>
        <v/>
      </c>
      <c r="J594" s="71">
        <f>IF($A594="","",IF(C594="",0,C594))</f>
        <v/>
      </c>
      <c r="K594" s="71">
        <f>IF($A594="","",IF(E594="",0,E594))</f>
        <v/>
      </c>
      <c r="L594" s="70">
        <f>IF($A594="","",B594-D594)</f>
        <v/>
      </c>
      <c r="M594" s="71">
        <f>IF($A594="","",J594-K594)</f>
        <v/>
      </c>
      <c r="N594" s="71">
        <f>IF($A594="","",IF(G594="",0,G594))</f>
        <v/>
      </c>
      <c r="O594" s="70">
        <f>IF($A594="","",D594+F594)</f>
        <v/>
      </c>
      <c r="P594" s="71">
        <f>IF($A594="","",K594+N594)</f>
        <v/>
      </c>
      <c r="Q594" s="70">
        <f>IF($A594="","",I594+L594-F594)</f>
        <v/>
      </c>
      <c r="R594" s="72">
        <f>IF($A594="","",IF(H594="",Q594,H594))</f>
        <v/>
      </c>
      <c r="S594" s="73">
        <f>IF($A594="","",R594-Q594)</f>
        <v/>
      </c>
      <c r="T594" s="70">
        <f>IF($A594="","",SUMIFS($B$5:$B$800,$A$5:$A$800,"&gt;="&amp;DATE(YEAR($A594),MONTH($A594),1),$A$5:$A$800,"&lt;="&amp;$A594)+IF(AND(YEAR($A594)=YEAR(Settings!$B$3),MONTH($A594)=MONTH(Settings!$B$3)),Settings!$B$6,0))</f>
        <v/>
      </c>
      <c r="U594" s="71">
        <f>IF($A594="","",SUMIFS($J$5:$J$800,$A$5:$A$800,"&gt;="&amp;DATE(YEAR($A594),MONTH($A594),1),$A$5:$A$800,"&lt;="&amp;$A594)+IF(AND(YEAR($A594)=YEAR(Settings!$B$3),MONTH($A594)=MONTH(Settings!$B$3)),Settings!$B$7,0))</f>
        <v/>
      </c>
      <c r="V594" s="70">
        <f>IF($A594="","",Settings!$B$8+SUM($B$5:B594))</f>
        <v/>
      </c>
      <c r="W594" s="71">
        <f>IF($A594="","",Settings!$B$9+SUM($J$5:J594))</f>
        <v/>
      </c>
      <c r="X594" s="71">
        <f>IF($A594="","",IF(AND(N594&gt;0,F594&gt;0),ROUND(F594/N594,0),X593))</f>
        <v/>
      </c>
      <c r="Y594" s="74">
        <f>IF($A594="","",IF(AND(M594&gt;0,L594&gt;0),ROUND(L594/M594,0),IF(AND(J594&gt;0,B594&gt;0),ROUND(B594/J594,0),Y593)))</f>
        <v/>
      </c>
    </row>
    <row r="595">
      <c r="A595" s="67" t="n"/>
      <c r="B595" s="68" t="n"/>
      <c r="C595" s="69" t="n"/>
      <c r="D595" s="68" t="n"/>
      <c r="E595" s="69" t="n"/>
      <c r="F595" s="68" t="n"/>
      <c r="G595" s="69" t="n"/>
      <c r="H595" s="68" t="n"/>
      <c r="I595" s="70">
        <f>IF($A595="","",R594)</f>
        <v/>
      </c>
      <c r="J595" s="71">
        <f>IF($A595="","",IF(C595="",0,C595))</f>
        <v/>
      </c>
      <c r="K595" s="71">
        <f>IF($A595="","",IF(E595="",0,E595))</f>
        <v/>
      </c>
      <c r="L595" s="70">
        <f>IF($A595="","",B595-D595)</f>
        <v/>
      </c>
      <c r="M595" s="71">
        <f>IF($A595="","",J595-K595)</f>
        <v/>
      </c>
      <c r="N595" s="71">
        <f>IF($A595="","",IF(G595="",0,G595))</f>
        <v/>
      </c>
      <c r="O595" s="70">
        <f>IF($A595="","",D595+F595)</f>
        <v/>
      </c>
      <c r="P595" s="71">
        <f>IF($A595="","",K595+N595)</f>
        <v/>
      </c>
      <c r="Q595" s="70">
        <f>IF($A595="","",I595+L595-F595)</f>
        <v/>
      </c>
      <c r="R595" s="72">
        <f>IF($A595="","",IF(H595="",Q595,H595))</f>
        <v/>
      </c>
      <c r="S595" s="73">
        <f>IF($A595="","",R595-Q595)</f>
        <v/>
      </c>
      <c r="T595" s="70">
        <f>IF($A595="","",SUMIFS($B$5:$B$800,$A$5:$A$800,"&gt;="&amp;DATE(YEAR($A595),MONTH($A595),1),$A$5:$A$800,"&lt;="&amp;$A595)+IF(AND(YEAR($A595)=YEAR(Settings!$B$3),MONTH($A595)=MONTH(Settings!$B$3)),Settings!$B$6,0))</f>
        <v/>
      </c>
      <c r="U595" s="71">
        <f>IF($A595="","",SUMIFS($J$5:$J$800,$A$5:$A$800,"&gt;="&amp;DATE(YEAR($A595),MONTH($A595),1),$A$5:$A$800,"&lt;="&amp;$A595)+IF(AND(YEAR($A595)=YEAR(Settings!$B$3),MONTH($A595)=MONTH(Settings!$B$3)),Settings!$B$7,0))</f>
        <v/>
      </c>
      <c r="V595" s="70">
        <f>IF($A595="","",Settings!$B$8+SUM($B$5:B595))</f>
        <v/>
      </c>
      <c r="W595" s="71">
        <f>IF($A595="","",Settings!$B$9+SUM($J$5:J595))</f>
        <v/>
      </c>
      <c r="X595" s="71">
        <f>IF($A595="","",IF(AND(N595&gt;0,F595&gt;0),ROUND(F595/N595,0),X594))</f>
        <v/>
      </c>
      <c r="Y595" s="74">
        <f>IF($A595="","",IF(AND(M595&gt;0,L595&gt;0),ROUND(L595/M595,0),IF(AND(J595&gt;0,B595&gt;0),ROUND(B595/J595,0),Y594)))</f>
        <v/>
      </c>
    </row>
    <row r="596">
      <c r="A596" s="67" t="n"/>
      <c r="B596" s="68" t="n"/>
      <c r="C596" s="69" t="n"/>
      <c r="D596" s="68" t="n"/>
      <c r="E596" s="69" t="n"/>
      <c r="F596" s="68" t="n"/>
      <c r="G596" s="69" t="n"/>
      <c r="H596" s="68" t="n"/>
      <c r="I596" s="70">
        <f>IF($A596="","",R595)</f>
        <v/>
      </c>
      <c r="J596" s="71">
        <f>IF($A596="","",IF(C596="",0,C596))</f>
        <v/>
      </c>
      <c r="K596" s="71">
        <f>IF($A596="","",IF(E596="",0,E596))</f>
        <v/>
      </c>
      <c r="L596" s="70">
        <f>IF($A596="","",B596-D596)</f>
        <v/>
      </c>
      <c r="M596" s="71">
        <f>IF($A596="","",J596-K596)</f>
        <v/>
      </c>
      <c r="N596" s="71">
        <f>IF($A596="","",IF(G596="",0,G596))</f>
        <v/>
      </c>
      <c r="O596" s="70">
        <f>IF($A596="","",D596+F596)</f>
        <v/>
      </c>
      <c r="P596" s="71">
        <f>IF($A596="","",K596+N596)</f>
        <v/>
      </c>
      <c r="Q596" s="70">
        <f>IF($A596="","",I596+L596-F596)</f>
        <v/>
      </c>
      <c r="R596" s="72">
        <f>IF($A596="","",IF(H596="",Q596,H596))</f>
        <v/>
      </c>
      <c r="S596" s="73">
        <f>IF($A596="","",R596-Q596)</f>
        <v/>
      </c>
      <c r="T596" s="70">
        <f>IF($A596="","",SUMIFS($B$5:$B$800,$A$5:$A$800,"&gt;="&amp;DATE(YEAR($A596),MONTH($A596),1),$A$5:$A$800,"&lt;="&amp;$A596)+IF(AND(YEAR($A596)=YEAR(Settings!$B$3),MONTH($A596)=MONTH(Settings!$B$3)),Settings!$B$6,0))</f>
        <v/>
      </c>
      <c r="U596" s="71">
        <f>IF($A596="","",SUMIFS($J$5:$J$800,$A$5:$A$800,"&gt;="&amp;DATE(YEAR($A596),MONTH($A596),1),$A$5:$A$800,"&lt;="&amp;$A596)+IF(AND(YEAR($A596)=YEAR(Settings!$B$3),MONTH($A596)=MONTH(Settings!$B$3)),Settings!$B$7,0))</f>
        <v/>
      </c>
      <c r="V596" s="70">
        <f>IF($A596="","",Settings!$B$8+SUM($B$5:B596))</f>
        <v/>
      </c>
      <c r="W596" s="71">
        <f>IF($A596="","",Settings!$B$9+SUM($J$5:J596))</f>
        <v/>
      </c>
      <c r="X596" s="71">
        <f>IF($A596="","",IF(AND(N596&gt;0,F596&gt;0),ROUND(F596/N596,0),X595))</f>
        <v/>
      </c>
      <c r="Y596" s="74">
        <f>IF($A596="","",IF(AND(M596&gt;0,L596&gt;0),ROUND(L596/M596,0),IF(AND(J596&gt;0,B596&gt;0),ROUND(B596/J596,0),Y595)))</f>
        <v/>
      </c>
    </row>
    <row r="597">
      <c r="A597" s="67" t="n"/>
      <c r="B597" s="68" t="n"/>
      <c r="C597" s="69" t="n"/>
      <c r="D597" s="68" t="n"/>
      <c r="E597" s="69" t="n"/>
      <c r="F597" s="68" t="n"/>
      <c r="G597" s="69" t="n"/>
      <c r="H597" s="68" t="n"/>
      <c r="I597" s="70">
        <f>IF($A597="","",R596)</f>
        <v/>
      </c>
      <c r="J597" s="71">
        <f>IF($A597="","",IF(C597="",0,C597))</f>
        <v/>
      </c>
      <c r="K597" s="71">
        <f>IF($A597="","",IF(E597="",0,E597))</f>
        <v/>
      </c>
      <c r="L597" s="70">
        <f>IF($A597="","",B597-D597)</f>
        <v/>
      </c>
      <c r="M597" s="71">
        <f>IF($A597="","",J597-K597)</f>
        <v/>
      </c>
      <c r="N597" s="71">
        <f>IF($A597="","",IF(G597="",0,G597))</f>
        <v/>
      </c>
      <c r="O597" s="70">
        <f>IF($A597="","",D597+F597)</f>
        <v/>
      </c>
      <c r="P597" s="71">
        <f>IF($A597="","",K597+N597)</f>
        <v/>
      </c>
      <c r="Q597" s="70">
        <f>IF($A597="","",I597+L597-F597)</f>
        <v/>
      </c>
      <c r="R597" s="72">
        <f>IF($A597="","",IF(H597="",Q597,H597))</f>
        <v/>
      </c>
      <c r="S597" s="73">
        <f>IF($A597="","",R597-Q597)</f>
        <v/>
      </c>
      <c r="T597" s="70">
        <f>IF($A597="","",SUMIFS($B$5:$B$800,$A$5:$A$800,"&gt;="&amp;DATE(YEAR($A597),MONTH($A597),1),$A$5:$A$800,"&lt;="&amp;$A597)+IF(AND(YEAR($A597)=YEAR(Settings!$B$3),MONTH($A597)=MONTH(Settings!$B$3)),Settings!$B$6,0))</f>
        <v/>
      </c>
      <c r="U597" s="71">
        <f>IF($A597="","",SUMIFS($J$5:$J$800,$A$5:$A$800,"&gt;="&amp;DATE(YEAR($A597),MONTH($A597),1),$A$5:$A$800,"&lt;="&amp;$A597)+IF(AND(YEAR($A597)=YEAR(Settings!$B$3),MONTH($A597)=MONTH(Settings!$B$3)),Settings!$B$7,0))</f>
        <v/>
      </c>
      <c r="V597" s="70">
        <f>IF($A597="","",Settings!$B$8+SUM($B$5:B597))</f>
        <v/>
      </c>
      <c r="W597" s="71">
        <f>IF($A597="","",Settings!$B$9+SUM($J$5:J597))</f>
        <v/>
      </c>
      <c r="X597" s="71">
        <f>IF($A597="","",IF(AND(N597&gt;0,F597&gt;0),ROUND(F597/N597,0),X596))</f>
        <v/>
      </c>
      <c r="Y597" s="74">
        <f>IF($A597="","",IF(AND(M597&gt;0,L597&gt;0),ROUND(L597/M597,0),IF(AND(J597&gt;0,B597&gt;0),ROUND(B597/J597,0),Y596)))</f>
        <v/>
      </c>
    </row>
    <row r="598">
      <c r="A598" s="67" t="n"/>
      <c r="B598" s="68" t="n"/>
      <c r="C598" s="69" t="n"/>
      <c r="D598" s="68" t="n"/>
      <c r="E598" s="69" t="n"/>
      <c r="F598" s="68" t="n"/>
      <c r="G598" s="69" t="n"/>
      <c r="H598" s="68" t="n"/>
      <c r="I598" s="70">
        <f>IF($A598="","",R597)</f>
        <v/>
      </c>
      <c r="J598" s="71">
        <f>IF($A598="","",IF(C598="",0,C598))</f>
        <v/>
      </c>
      <c r="K598" s="71">
        <f>IF($A598="","",IF(E598="",0,E598))</f>
        <v/>
      </c>
      <c r="L598" s="70">
        <f>IF($A598="","",B598-D598)</f>
        <v/>
      </c>
      <c r="M598" s="71">
        <f>IF($A598="","",J598-K598)</f>
        <v/>
      </c>
      <c r="N598" s="71">
        <f>IF($A598="","",IF(G598="",0,G598))</f>
        <v/>
      </c>
      <c r="O598" s="70">
        <f>IF($A598="","",D598+F598)</f>
        <v/>
      </c>
      <c r="P598" s="71">
        <f>IF($A598="","",K598+N598)</f>
        <v/>
      </c>
      <c r="Q598" s="70">
        <f>IF($A598="","",I598+L598-F598)</f>
        <v/>
      </c>
      <c r="R598" s="72">
        <f>IF($A598="","",IF(H598="",Q598,H598))</f>
        <v/>
      </c>
      <c r="S598" s="73">
        <f>IF($A598="","",R598-Q598)</f>
        <v/>
      </c>
      <c r="T598" s="70">
        <f>IF($A598="","",SUMIFS($B$5:$B$800,$A$5:$A$800,"&gt;="&amp;DATE(YEAR($A598),MONTH($A598),1),$A$5:$A$800,"&lt;="&amp;$A598)+IF(AND(YEAR($A598)=YEAR(Settings!$B$3),MONTH($A598)=MONTH(Settings!$B$3)),Settings!$B$6,0))</f>
        <v/>
      </c>
      <c r="U598" s="71">
        <f>IF($A598="","",SUMIFS($J$5:$J$800,$A$5:$A$800,"&gt;="&amp;DATE(YEAR($A598),MONTH($A598),1),$A$5:$A$800,"&lt;="&amp;$A598)+IF(AND(YEAR($A598)=YEAR(Settings!$B$3),MONTH($A598)=MONTH(Settings!$B$3)),Settings!$B$7,0))</f>
        <v/>
      </c>
      <c r="V598" s="70">
        <f>IF($A598="","",Settings!$B$8+SUM($B$5:B598))</f>
        <v/>
      </c>
      <c r="W598" s="71">
        <f>IF($A598="","",Settings!$B$9+SUM($J$5:J598))</f>
        <v/>
      </c>
      <c r="X598" s="71">
        <f>IF($A598="","",IF(AND(N598&gt;0,F598&gt;0),ROUND(F598/N598,0),X597))</f>
        <v/>
      </c>
      <c r="Y598" s="74">
        <f>IF($A598="","",IF(AND(M598&gt;0,L598&gt;0),ROUND(L598/M598,0),IF(AND(J598&gt;0,B598&gt;0),ROUND(B598/J598,0),Y597)))</f>
        <v/>
      </c>
    </row>
    <row r="599">
      <c r="A599" s="67" t="n"/>
      <c r="B599" s="68" t="n"/>
      <c r="C599" s="69" t="n"/>
      <c r="D599" s="68" t="n"/>
      <c r="E599" s="69" t="n"/>
      <c r="F599" s="68" t="n"/>
      <c r="G599" s="69" t="n"/>
      <c r="H599" s="68" t="n"/>
      <c r="I599" s="70">
        <f>IF($A599="","",R598)</f>
        <v/>
      </c>
      <c r="J599" s="71">
        <f>IF($A599="","",IF(C599="",0,C599))</f>
        <v/>
      </c>
      <c r="K599" s="71">
        <f>IF($A599="","",IF(E599="",0,E599))</f>
        <v/>
      </c>
      <c r="L599" s="70">
        <f>IF($A599="","",B599-D599)</f>
        <v/>
      </c>
      <c r="M599" s="71">
        <f>IF($A599="","",J599-K599)</f>
        <v/>
      </c>
      <c r="N599" s="71">
        <f>IF($A599="","",IF(G599="",0,G599))</f>
        <v/>
      </c>
      <c r="O599" s="70">
        <f>IF($A599="","",D599+F599)</f>
        <v/>
      </c>
      <c r="P599" s="71">
        <f>IF($A599="","",K599+N599)</f>
        <v/>
      </c>
      <c r="Q599" s="70">
        <f>IF($A599="","",I599+L599-F599)</f>
        <v/>
      </c>
      <c r="R599" s="72">
        <f>IF($A599="","",IF(H599="",Q599,H599))</f>
        <v/>
      </c>
      <c r="S599" s="73">
        <f>IF($A599="","",R599-Q599)</f>
        <v/>
      </c>
      <c r="T599" s="70">
        <f>IF($A599="","",SUMIFS($B$5:$B$800,$A$5:$A$800,"&gt;="&amp;DATE(YEAR($A599),MONTH($A599),1),$A$5:$A$800,"&lt;="&amp;$A599)+IF(AND(YEAR($A599)=YEAR(Settings!$B$3),MONTH($A599)=MONTH(Settings!$B$3)),Settings!$B$6,0))</f>
        <v/>
      </c>
      <c r="U599" s="71">
        <f>IF($A599="","",SUMIFS($J$5:$J$800,$A$5:$A$800,"&gt;="&amp;DATE(YEAR($A599),MONTH($A599),1),$A$5:$A$800,"&lt;="&amp;$A599)+IF(AND(YEAR($A599)=YEAR(Settings!$B$3),MONTH($A599)=MONTH(Settings!$B$3)),Settings!$B$7,0))</f>
        <v/>
      </c>
      <c r="V599" s="70">
        <f>IF($A599="","",Settings!$B$8+SUM($B$5:B599))</f>
        <v/>
      </c>
      <c r="W599" s="71">
        <f>IF($A599="","",Settings!$B$9+SUM($J$5:J599))</f>
        <v/>
      </c>
      <c r="X599" s="71">
        <f>IF($A599="","",IF(AND(N599&gt;0,F599&gt;0),ROUND(F599/N599,0),X598))</f>
        <v/>
      </c>
      <c r="Y599" s="74">
        <f>IF($A599="","",IF(AND(M599&gt;0,L599&gt;0),ROUND(L599/M599,0),IF(AND(J599&gt;0,B599&gt;0),ROUND(B599/J599,0),Y598)))</f>
        <v/>
      </c>
    </row>
    <row r="600">
      <c r="A600" s="67" t="n"/>
      <c r="B600" s="68" t="n"/>
      <c r="C600" s="69" t="n"/>
      <c r="D600" s="68" t="n"/>
      <c r="E600" s="69" t="n"/>
      <c r="F600" s="68" t="n"/>
      <c r="G600" s="69" t="n"/>
      <c r="H600" s="68" t="n"/>
      <c r="I600" s="70">
        <f>IF($A600="","",R599)</f>
        <v/>
      </c>
      <c r="J600" s="71">
        <f>IF($A600="","",IF(C600="",0,C600))</f>
        <v/>
      </c>
      <c r="K600" s="71">
        <f>IF($A600="","",IF(E600="",0,E600))</f>
        <v/>
      </c>
      <c r="L600" s="70">
        <f>IF($A600="","",B600-D600)</f>
        <v/>
      </c>
      <c r="M600" s="71">
        <f>IF($A600="","",J600-K600)</f>
        <v/>
      </c>
      <c r="N600" s="71">
        <f>IF($A600="","",IF(G600="",0,G600))</f>
        <v/>
      </c>
      <c r="O600" s="70">
        <f>IF($A600="","",D600+F600)</f>
        <v/>
      </c>
      <c r="P600" s="71">
        <f>IF($A600="","",K600+N600)</f>
        <v/>
      </c>
      <c r="Q600" s="70">
        <f>IF($A600="","",I600+L600-F600)</f>
        <v/>
      </c>
      <c r="R600" s="72">
        <f>IF($A600="","",IF(H600="",Q600,H600))</f>
        <v/>
      </c>
      <c r="S600" s="73">
        <f>IF($A600="","",R600-Q600)</f>
        <v/>
      </c>
      <c r="T600" s="70">
        <f>IF($A600="","",SUMIFS($B$5:$B$800,$A$5:$A$800,"&gt;="&amp;DATE(YEAR($A600),MONTH($A600),1),$A$5:$A$800,"&lt;="&amp;$A600)+IF(AND(YEAR($A600)=YEAR(Settings!$B$3),MONTH($A600)=MONTH(Settings!$B$3)),Settings!$B$6,0))</f>
        <v/>
      </c>
      <c r="U600" s="71">
        <f>IF($A600="","",SUMIFS($J$5:$J$800,$A$5:$A$800,"&gt;="&amp;DATE(YEAR($A600),MONTH($A600),1),$A$5:$A$800,"&lt;="&amp;$A600)+IF(AND(YEAR($A600)=YEAR(Settings!$B$3),MONTH($A600)=MONTH(Settings!$B$3)),Settings!$B$7,0))</f>
        <v/>
      </c>
      <c r="V600" s="70">
        <f>IF($A600="","",Settings!$B$8+SUM($B$5:B600))</f>
        <v/>
      </c>
      <c r="W600" s="71">
        <f>IF($A600="","",Settings!$B$9+SUM($J$5:J600))</f>
        <v/>
      </c>
      <c r="X600" s="71">
        <f>IF($A600="","",IF(AND(N600&gt;0,F600&gt;0),ROUND(F600/N600,0),X599))</f>
        <v/>
      </c>
      <c r="Y600" s="74">
        <f>IF($A600="","",IF(AND(M600&gt;0,L600&gt;0),ROUND(L600/M600,0),IF(AND(J600&gt;0,B600&gt;0),ROUND(B600/J600,0),Y599)))</f>
        <v/>
      </c>
    </row>
    <row r="601">
      <c r="A601" s="67" t="n"/>
      <c r="B601" s="68" t="n"/>
      <c r="C601" s="69" t="n"/>
      <c r="D601" s="68" t="n"/>
      <c r="E601" s="69" t="n"/>
      <c r="F601" s="68" t="n"/>
      <c r="G601" s="69" t="n"/>
      <c r="H601" s="68" t="n"/>
      <c r="I601" s="70">
        <f>IF($A601="","",R600)</f>
        <v/>
      </c>
      <c r="J601" s="71">
        <f>IF($A601="","",IF(C601="",0,C601))</f>
        <v/>
      </c>
      <c r="K601" s="71">
        <f>IF($A601="","",IF(E601="",0,E601))</f>
        <v/>
      </c>
      <c r="L601" s="70">
        <f>IF($A601="","",B601-D601)</f>
        <v/>
      </c>
      <c r="M601" s="71">
        <f>IF($A601="","",J601-K601)</f>
        <v/>
      </c>
      <c r="N601" s="71">
        <f>IF($A601="","",IF(G601="",0,G601))</f>
        <v/>
      </c>
      <c r="O601" s="70">
        <f>IF($A601="","",D601+F601)</f>
        <v/>
      </c>
      <c r="P601" s="71">
        <f>IF($A601="","",K601+N601)</f>
        <v/>
      </c>
      <c r="Q601" s="70">
        <f>IF($A601="","",I601+L601-F601)</f>
        <v/>
      </c>
      <c r="R601" s="72">
        <f>IF($A601="","",IF(H601="",Q601,H601))</f>
        <v/>
      </c>
      <c r="S601" s="73">
        <f>IF($A601="","",R601-Q601)</f>
        <v/>
      </c>
      <c r="T601" s="70">
        <f>IF($A601="","",SUMIFS($B$5:$B$800,$A$5:$A$800,"&gt;="&amp;DATE(YEAR($A601),MONTH($A601),1),$A$5:$A$800,"&lt;="&amp;$A601)+IF(AND(YEAR($A601)=YEAR(Settings!$B$3),MONTH($A601)=MONTH(Settings!$B$3)),Settings!$B$6,0))</f>
        <v/>
      </c>
      <c r="U601" s="71">
        <f>IF($A601="","",SUMIFS($J$5:$J$800,$A$5:$A$800,"&gt;="&amp;DATE(YEAR($A601),MONTH($A601),1),$A$5:$A$800,"&lt;="&amp;$A601)+IF(AND(YEAR($A601)=YEAR(Settings!$B$3),MONTH($A601)=MONTH(Settings!$B$3)),Settings!$B$7,0))</f>
        <v/>
      </c>
      <c r="V601" s="70">
        <f>IF($A601="","",Settings!$B$8+SUM($B$5:B601))</f>
        <v/>
      </c>
      <c r="W601" s="71">
        <f>IF($A601="","",Settings!$B$9+SUM($J$5:J601))</f>
        <v/>
      </c>
      <c r="X601" s="71">
        <f>IF($A601="","",IF(AND(N601&gt;0,F601&gt;0),ROUND(F601/N601,0),X600))</f>
        <v/>
      </c>
      <c r="Y601" s="74">
        <f>IF($A601="","",IF(AND(M601&gt;0,L601&gt;0),ROUND(L601/M601,0),IF(AND(J601&gt;0,B601&gt;0),ROUND(B601/J601,0),Y600)))</f>
        <v/>
      </c>
    </row>
    <row r="602">
      <c r="A602" s="67" t="n"/>
      <c r="B602" s="68" t="n"/>
      <c r="C602" s="69" t="n"/>
      <c r="D602" s="68" t="n"/>
      <c r="E602" s="69" t="n"/>
      <c r="F602" s="68" t="n"/>
      <c r="G602" s="69" t="n"/>
      <c r="H602" s="68" t="n"/>
      <c r="I602" s="70">
        <f>IF($A602="","",R601)</f>
        <v/>
      </c>
      <c r="J602" s="71">
        <f>IF($A602="","",IF(C602="",0,C602))</f>
        <v/>
      </c>
      <c r="K602" s="71">
        <f>IF($A602="","",IF(E602="",0,E602))</f>
        <v/>
      </c>
      <c r="L602" s="70">
        <f>IF($A602="","",B602-D602)</f>
        <v/>
      </c>
      <c r="M602" s="71">
        <f>IF($A602="","",J602-K602)</f>
        <v/>
      </c>
      <c r="N602" s="71">
        <f>IF($A602="","",IF(G602="",0,G602))</f>
        <v/>
      </c>
      <c r="O602" s="70">
        <f>IF($A602="","",D602+F602)</f>
        <v/>
      </c>
      <c r="P602" s="71">
        <f>IF($A602="","",K602+N602)</f>
        <v/>
      </c>
      <c r="Q602" s="70">
        <f>IF($A602="","",I602+L602-F602)</f>
        <v/>
      </c>
      <c r="R602" s="72">
        <f>IF($A602="","",IF(H602="",Q602,H602))</f>
        <v/>
      </c>
      <c r="S602" s="73">
        <f>IF($A602="","",R602-Q602)</f>
        <v/>
      </c>
      <c r="T602" s="70">
        <f>IF($A602="","",SUMIFS($B$5:$B$800,$A$5:$A$800,"&gt;="&amp;DATE(YEAR($A602),MONTH($A602),1),$A$5:$A$800,"&lt;="&amp;$A602)+IF(AND(YEAR($A602)=YEAR(Settings!$B$3),MONTH($A602)=MONTH(Settings!$B$3)),Settings!$B$6,0))</f>
        <v/>
      </c>
      <c r="U602" s="71">
        <f>IF($A602="","",SUMIFS($J$5:$J$800,$A$5:$A$800,"&gt;="&amp;DATE(YEAR($A602),MONTH($A602),1),$A$5:$A$800,"&lt;="&amp;$A602)+IF(AND(YEAR($A602)=YEAR(Settings!$B$3),MONTH($A602)=MONTH(Settings!$B$3)),Settings!$B$7,0))</f>
        <v/>
      </c>
      <c r="V602" s="70">
        <f>IF($A602="","",Settings!$B$8+SUM($B$5:B602))</f>
        <v/>
      </c>
      <c r="W602" s="71">
        <f>IF($A602="","",Settings!$B$9+SUM($J$5:J602))</f>
        <v/>
      </c>
      <c r="X602" s="71">
        <f>IF($A602="","",IF(AND(N602&gt;0,F602&gt;0),ROUND(F602/N602,0),X601))</f>
        <v/>
      </c>
      <c r="Y602" s="74">
        <f>IF($A602="","",IF(AND(M602&gt;0,L602&gt;0),ROUND(L602/M602,0),IF(AND(J602&gt;0,B602&gt;0),ROUND(B602/J602,0),Y601)))</f>
        <v/>
      </c>
    </row>
    <row r="603">
      <c r="A603" s="67" t="n"/>
      <c r="B603" s="68" t="n"/>
      <c r="C603" s="69" t="n"/>
      <c r="D603" s="68" t="n"/>
      <c r="E603" s="69" t="n"/>
      <c r="F603" s="68" t="n"/>
      <c r="G603" s="69" t="n"/>
      <c r="H603" s="68" t="n"/>
      <c r="I603" s="70">
        <f>IF($A603="","",R602)</f>
        <v/>
      </c>
      <c r="J603" s="71">
        <f>IF($A603="","",IF(C603="",0,C603))</f>
        <v/>
      </c>
      <c r="K603" s="71">
        <f>IF($A603="","",IF(E603="",0,E603))</f>
        <v/>
      </c>
      <c r="L603" s="70">
        <f>IF($A603="","",B603-D603)</f>
        <v/>
      </c>
      <c r="M603" s="71">
        <f>IF($A603="","",J603-K603)</f>
        <v/>
      </c>
      <c r="N603" s="71">
        <f>IF($A603="","",IF(G603="",0,G603))</f>
        <v/>
      </c>
      <c r="O603" s="70">
        <f>IF($A603="","",D603+F603)</f>
        <v/>
      </c>
      <c r="P603" s="71">
        <f>IF($A603="","",K603+N603)</f>
        <v/>
      </c>
      <c r="Q603" s="70">
        <f>IF($A603="","",I603+L603-F603)</f>
        <v/>
      </c>
      <c r="R603" s="72">
        <f>IF($A603="","",IF(H603="",Q603,H603))</f>
        <v/>
      </c>
      <c r="S603" s="73">
        <f>IF($A603="","",R603-Q603)</f>
        <v/>
      </c>
      <c r="T603" s="70">
        <f>IF($A603="","",SUMIFS($B$5:$B$800,$A$5:$A$800,"&gt;="&amp;DATE(YEAR($A603),MONTH($A603),1),$A$5:$A$800,"&lt;="&amp;$A603)+IF(AND(YEAR($A603)=YEAR(Settings!$B$3),MONTH($A603)=MONTH(Settings!$B$3)),Settings!$B$6,0))</f>
        <v/>
      </c>
      <c r="U603" s="71">
        <f>IF($A603="","",SUMIFS($J$5:$J$800,$A$5:$A$800,"&gt;="&amp;DATE(YEAR($A603),MONTH($A603),1),$A$5:$A$800,"&lt;="&amp;$A603)+IF(AND(YEAR($A603)=YEAR(Settings!$B$3),MONTH($A603)=MONTH(Settings!$B$3)),Settings!$B$7,0))</f>
        <v/>
      </c>
      <c r="V603" s="70">
        <f>IF($A603="","",Settings!$B$8+SUM($B$5:B603))</f>
        <v/>
      </c>
      <c r="W603" s="71">
        <f>IF($A603="","",Settings!$B$9+SUM($J$5:J603))</f>
        <v/>
      </c>
      <c r="X603" s="71">
        <f>IF($A603="","",IF(AND(N603&gt;0,F603&gt;0),ROUND(F603/N603,0),X602))</f>
        <v/>
      </c>
      <c r="Y603" s="74">
        <f>IF($A603="","",IF(AND(M603&gt;0,L603&gt;0),ROUND(L603/M603,0),IF(AND(J603&gt;0,B603&gt;0),ROUND(B603/J603,0),Y602)))</f>
        <v/>
      </c>
    </row>
    <row r="604">
      <c r="A604" s="67" t="n"/>
      <c r="B604" s="68" t="n"/>
      <c r="C604" s="69" t="n"/>
      <c r="D604" s="68" t="n"/>
      <c r="E604" s="69" t="n"/>
      <c r="F604" s="68" t="n"/>
      <c r="G604" s="69" t="n"/>
      <c r="H604" s="68" t="n"/>
      <c r="I604" s="70">
        <f>IF($A604="","",R603)</f>
        <v/>
      </c>
      <c r="J604" s="71">
        <f>IF($A604="","",IF(C604="",0,C604))</f>
        <v/>
      </c>
      <c r="K604" s="71">
        <f>IF($A604="","",IF(E604="",0,E604))</f>
        <v/>
      </c>
      <c r="L604" s="70">
        <f>IF($A604="","",B604-D604)</f>
        <v/>
      </c>
      <c r="M604" s="71">
        <f>IF($A604="","",J604-K604)</f>
        <v/>
      </c>
      <c r="N604" s="71">
        <f>IF($A604="","",IF(G604="",0,G604))</f>
        <v/>
      </c>
      <c r="O604" s="70">
        <f>IF($A604="","",D604+F604)</f>
        <v/>
      </c>
      <c r="P604" s="71">
        <f>IF($A604="","",K604+N604)</f>
        <v/>
      </c>
      <c r="Q604" s="70">
        <f>IF($A604="","",I604+L604-F604)</f>
        <v/>
      </c>
      <c r="R604" s="72">
        <f>IF($A604="","",IF(H604="",Q604,H604))</f>
        <v/>
      </c>
      <c r="S604" s="73">
        <f>IF($A604="","",R604-Q604)</f>
        <v/>
      </c>
      <c r="T604" s="70">
        <f>IF($A604="","",SUMIFS($B$5:$B$800,$A$5:$A$800,"&gt;="&amp;DATE(YEAR($A604),MONTH($A604),1),$A$5:$A$800,"&lt;="&amp;$A604)+IF(AND(YEAR($A604)=YEAR(Settings!$B$3),MONTH($A604)=MONTH(Settings!$B$3)),Settings!$B$6,0))</f>
        <v/>
      </c>
      <c r="U604" s="71">
        <f>IF($A604="","",SUMIFS($J$5:$J$800,$A$5:$A$800,"&gt;="&amp;DATE(YEAR($A604),MONTH($A604),1),$A$5:$A$800,"&lt;="&amp;$A604)+IF(AND(YEAR($A604)=YEAR(Settings!$B$3),MONTH($A604)=MONTH(Settings!$B$3)),Settings!$B$7,0))</f>
        <v/>
      </c>
      <c r="V604" s="70">
        <f>IF($A604="","",Settings!$B$8+SUM($B$5:B604))</f>
        <v/>
      </c>
      <c r="W604" s="71">
        <f>IF($A604="","",Settings!$B$9+SUM($J$5:J604))</f>
        <v/>
      </c>
      <c r="X604" s="71">
        <f>IF($A604="","",IF(AND(N604&gt;0,F604&gt;0),ROUND(F604/N604,0),X603))</f>
        <v/>
      </c>
      <c r="Y604" s="74">
        <f>IF($A604="","",IF(AND(M604&gt;0,L604&gt;0),ROUND(L604/M604,0),IF(AND(J604&gt;0,B604&gt;0),ROUND(B604/J604,0),Y603)))</f>
        <v/>
      </c>
    </row>
    <row r="605">
      <c r="A605" s="67" t="n"/>
      <c r="B605" s="68" t="n"/>
      <c r="C605" s="69" t="n"/>
      <c r="D605" s="68" t="n"/>
      <c r="E605" s="69" t="n"/>
      <c r="F605" s="68" t="n"/>
      <c r="G605" s="69" t="n"/>
      <c r="H605" s="68" t="n"/>
      <c r="I605" s="70">
        <f>IF($A605="","",R604)</f>
        <v/>
      </c>
      <c r="J605" s="71">
        <f>IF($A605="","",IF(C605="",0,C605))</f>
        <v/>
      </c>
      <c r="K605" s="71">
        <f>IF($A605="","",IF(E605="",0,E605))</f>
        <v/>
      </c>
      <c r="L605" s="70">
        <f>IF($A605="","",B605-D605)</f>
        <v/>
      </c>
      <c r="M605" s="71">
        <f>IF($A605="","",J605-K605)</f>
        <v/>
      </c>
      <c r="N605" s="71">
        <f>IF($A605="","",IF(G605="",0,G605))</f>
        <v/>
      </c>
      <c r="O605" s="70">
        <f>IF($A605="","",D605+F605)</f>
        <v/>
      </c>
      <c r="P605" s="71">
        <f>IF($A605="","",K605+N605)</f>
        <v/>
      </c>
      <c r="Q605" s="70">
        <f>IF($A605="","",I605+L605-F605)</f>
        <v/>
      </c>
      <c r="R605" s="72">
        <f>IF($A605="","",IF(H605="",Q605,H605))</f>
        <v/>
      </c>
      <c r="S605" s="73">
        <f>IF($A605="","",R605-Q605)</f>
        <v/>
      </c>
      <c r="T605" s="70">
        <f>IF($A605="","",SUMIFS($B$5:$B$800,$A$5:$A$800,"&gt;="&amp;DATE(YEAR($A605),MONTH($A605),1),$A$5:$A$800,"&lt;="&amp;$A605)+IF(AND(YEAR($A605)=YEAR(Settings!$B$3),MONTH($A605)=MONTH(Settings!$B$3)),Settings!$B$6,0))</f>
        <v/>
      </c>
      <c r="U605" s="71">
        <f>IF($A605="","",SUMIFS($J$5:$J$800,$A$5:$A$800,"&gt;="&amp;DATE(YEAR($A605),MONTH($A605),1),$A$5:$A$800,"&lt;="&amp;$A605)+IF(AND(YEAR($A605)=YEAR(Settings!$B$3),MONTH($A605)=MONTH(Settings!$B$3)),Settings!$B$7,0))</f>
        <v/>
      </c>
      <c r="V605" s="70">
        <f>IF($A605="","",Settings!$B$8+SUM($B$5:B605))</f>
        <v/>
      </c>
      <c r="W605" s="71">
        <f>IF($A605="","",Settings!$B$9+SUM($J$5:J605))</f>
        <v/>
      </c>
      <c r="X605" s="71">
        <f>IF($A605="","",IF(AND(N605&gt;0,F605&gt;0),ROUND(F605/N605,0),X604))</f>
        <v/>
      </c>
      <c r="Y605" s="74">
        <f>IF($A605="","",IF(AND(M605&gt;0,L605&gt;0),ROUND(L605/M605,0),IF(AND(J605&gt;0,B605&gt;0),ROUND(B605/J605,0),Y604)))</f>
        <v/>
      </c>
    </row>
    <row r="606">
      <c r="A606" s="67" t="n"/>
      <c r="B606" s="68" t="n"/>
      <c r="C606" s="69" t="n"/>
      <c r="D606" s="68" t="n"/>
      <c r="E606" s="69" t="n"/>
      <c r="F606" s="68" t="n"/>
      <c r="G606" s="69" t="n"/>
      <c r="H606" s="68" t="n"/>
      <c r="I606" s="70">
        <f>IF($A606="","",R605)</f>
        <v/>
      </c>
      <c r="J606" s="71">
        <f>IF($A606="","",IF(C606="",0,C606))</f>
        <v/>
      </c>
      <c r="K606" s="71">
        <f>IF($A606="","",IF(E606="",0,E606))</f>
        <v/>
      </c>
      <c r="L606" s="70">
        <f>IF($A606="","",B606-D606)</f>
        <v/>
      </c>
      <c r="M606" s="71">
        <f>IF($A606="","",J606-K606)</f>
        <v/>
      </c>
      <c r="N606" s="71">
        <f>IF($A606="","",IF(G606="",0,G606))</f>
        <v/>
      </c>
      <c r="O606" s="70">
        <f>IF($A606="","",D606+F606)</f>
        <v/>
      </c>
      <c r="P606" s="71">
        <f>IF($A606="","",K606+N606)</f>
        <v/>
      </c>
      <c r="Q606" s="70">
        <f>IF($A606="","",I606+L606-F606)</f>
        <v/>
      </c>
      <c r="R606" s="72">
        <f>IF($A606="","",IF(H606="",Q606,H606))</f>
        <v/>
      </c>
      <c r="S606" s="73">
        <f>IF($A606="","",R606-Q606)</f>
        <v/>
      </c>
      <c r="T606" s="70">
        <f>IF($A606="","",SUMIFS($B$5:$B$800,$A$5:$A$800,"&gt;="&amp;DATE(YEAR($A606),MONTH($A606),1),$A$5:$A$800,"&lt;="&amp;$A606)+IF(AND(YEAR($A606)=YEAR(Settings!$B$3),MONTH($A606)=MONTH(Settings!$B$3)),Settings!$B$6,0))</f>
        <v/>
      </c>
      <c r="U606" s="71">
        <f>IF($A606="","",SUMIFS($J$5:$J$800,$A$5:$A$800,"&gt;="&amp;DATE(YEAR($A606),MONTH($A606),1),$A$5:$A$800,"&lt;="&amp;$A606)+IF(AND(YEAR($A606)=YEAR(Settings!$B$3),MONTH($A606)=MONTH(Settings!$B$3)),Settings!$B$7,0))</f>
        <v/>
      </c>
      <c r="V606" s="70">
        <f>IF($A606="","",Settings!$B$8+SUM($B$5:B606))</f>
        <v/>
      </c>
      <c r="W606" s="71">
        <f>IF($A606="","",Settings!$B$9+SUM($J$5:J606))</f>
        <v/>
      </c>
      <c r="X606" s="71">
        <f>IF($A606="","",IF(AND(N606&gt;0,F606&gt;0),ROUND(F606/N606,0),X605))</f>
        <v/>
      </c>
      <c r="Y606" s="74">
        <f>IF($A606="","",IF(AND(M606&gt;0,L606&gt;0),ROUND(L606/M606,0),IF(AND(J606&gt;0,B606&gt;0),ROUND(B606/J606,0),Y605)))</f>
        <v/>
      </c>
    </row>
    <row r="607">
      <c r="A607" s="67" t="n"/>
      <c r="B607" s="68" t="n"/>
      <c r="C607" s="69" t="n"/>
      <c r="D607" s="68" t="n"/>
      <c r="E607" s="69" t="n"/>
      <c r="F607" s="68" t="n"/>
      <c r="G607" s="69" t="n"/>
      <c r="H607" s="68" t="n"/>
      <c r="I607" s="70">
        <f>IF($A607="","",R606)</f>
        <v/>
      </c>
      <c r="J607" s="71">
        <f>IF($A607="","",IF(C607="",0,C607))</f>
        <v/>
      </c>
      <c r="K607" s="71">
        <f>IF($A607="","",IF(E607="",0,E607))</f>
        <v/>
      </c>
      <c r="L607" s="70">
        <f>IF($A607="","",B607-D607)</f>
        <v/>
      </c>
      <c r="M607" s="71">
        <f>IF($A607="","",J607-K607)</f>
        <v/>
      </c>
      <c r="N607" s="71">
        <f>IF($A607="","",IF(G607="",0,G607))</f>
        <v/>
      </c>
      <c r="O607" s="70">
        <f>IF($A607="","",D607+F607)</f>
        <v/>
      </c>
      <c r="P607" s="71">
        <f>IF($A607="","",K607+N607)</f>
        <v/>
      </c>
      <c r="Q607" s="70">
        <f>IF($A607="","",I607+L607-F607)</f>
        <v/>
      </c>
      <c r="R607" s="72">
        <f>IF($A607="","",IF(H607="",Q607,H607))</f>
        <v/>
      </c>
      <c r="S607" s="73">
        <f>IF($A607="","",R607-Q607)</f>
        <v/>
      </c>
      <c r="T607" s="70">
        <f>IF($A607="","",SUMIFS($B$5:$B$800,$A$5:$A$800,"&gt;="&amp;DATE(YEAR($A607),MONTH($A607),1),$A$5:$A$800,"&lt;="&amp;$A607)+IF(AND(YEAR($A607)=YEAR(Settings!$B$3),MONTH($A607)=MONTH(Settings!$B$3)),Settings!$B$6,0))</f>
        <v/>
      </c>
      <c r="U607" s="71">
        <f>IF($A607="","",SUMIFS($J$5:$J$800,$A$5:$A$800,"&gt;="&amp;DATE(YEAR($A607),MONTH($A607),1),$A$5:$A$800,"&lt;="&amp;$A607)+IF(AND(YEAR($A607)=YEAR(Settings!$B$3),MONTH($A607)=MONTH(Settings!$B$3)),Settings!$B$7,0))</f>
        <v/>
      </c>
      <c r="V607" s="70">
        <f>IF($A607="","",Settings!$B$8+SUM($B$5:B607))</f>
        <v/>
      </c>
      <c r="W607" s="71">
        <f>IF($A607="","",Settings!$B$9+SUM($J$5:J607))</f>
        <v/>
      </c>
      <c r="X607" s="71">
        <f>IF($A607="","",IF(AND(N607&gt;0,F607&gt;0),ROUND(F607/N607,0),X606))</f>
        <v/>
      </c>
      <c r="Y607" s="74">
        <f>IF($A607="","",IF(AND(M607&gt;0,L607&gt;0),ROUND(L607/M607,0),IF(AND(J607&gt;0,B607&gt;0),ROUND(B607/J607,0),Y606)))</f>
        <v/>
      </c>
    </row>
    <row r="608">
      <c r="A608" s="67" t="n"/>
      <c r="B608" s="68" t="n"/>
      <c r="C608" s="69" t="n"/>
      <c r="D608" s="68" t="n"/>
      <c r="E608" s="69" t="n"/>
      <c r="F608" s="68" t="n"/>
      <c r="G608" s="69" t="n"/>
      <c r="H608" s="68" t="n"/>
      <c r="I608" s="70">
        <f>IF($A608="","",R607)</f>
        <v/>
      </c>
      <c r="J608" s="71">
        <f>IF($A608="","",IF(C608="",0,C608))</f>
        <v/>
      </c>
      <c r="K608" s="71">
        <f>IF($A608="","",IF(E608="",0,E608))</f>
        <v/>
      </c>
      <c r="L608" s="70">
        <f>IF($A608="","",B608-D608)</f>
        <v/>
      </c>
      <c r="M608" s="71">
        <f>IF($A608="","",J608-K608)</f>
        <v/>
      </c>
      <c r="N608" s="71">
        <f>IF($A608="","",IF(G608="",0,G608))</f>
        <v/>
      </c>
      <c r="O608" s="70">
        <f>IF($A608="","",D608+F608)</f>
        <v/>
      </c>
      <c r="P608" s="71">
        <f>IF($A608="","",K608+N608)</f>
        <v/>
      </c>
      <c r="Q608" s="70">
        <f>IF($A608="","",I608+L608-F608)</f>
        <v/>
      </c>
      <c r="R608" s="72">
        <f>IF($A608="","",IF(H608="",Q608,H608))</f>
        <v/>
      </c>
      <c r="S608" s="73">
        <f>IF($A608="","",R608-Q608)</f>
        <v/>
      </c>
      <c r="T608" s="70">
        <f>IF($A608="","",SUMIFS($B$5:$B$800,$A$5:$A$800,"&gt;="&amp;DATE(YEAR($A608),MONTH($A608),1),$A$5:$A$800,"&lt;="&amp;$A608)+IF(AND(YEAR($A608)=YEAR(Settings!$B$3),MONTH($A608)=MONTH(Settings!$B$3)),Settings!$B$6,0))</f>
        <v/>
      </c>
      <c r="U608" s="71">
        <f>IF($A608="","",SUMIFS($J$5:$J$800,$A$5:$A$800,"&gt;="&amp;DATE(YEAR($A608),MONTH($A608),1),$A$5:$A$800,"&lt;="&amp;$A608)+IF(AND(YEAR($A608)=YEAR(Settings!$B$3),MONTH($A608)=MONTH(Settings!$B$3)),Settings!$B$7,0))</f>
        <v/>
      </c>
      <c r="V608" s="70">
        <f>IF($A608="","",Settings!$B$8+SUM($B$5:B608))</f>
        <v/>
      </c>
      <c r="W608" s="71">
        <f>IF($A608="","",Settings!$B$9+SUM($J$5:J608))</f>
        <v/>
      </c>
      <c r="X608" s="71">
        <f>IF($A608="","",IF(AND(N608&gt;0,F608&gt;0),ROUND(F608/N608,0),X607))</f>
        <v/>
      </c>
      <c r="Y608" s="74">
        <f>IF($A608="","",IF(AND(M608&gt;0,L608&gt;0),ROUND(L608/M608,0),IF(AND(J608&gt;0,B608&gt;0),ROUND(B608/J608,0),Y607)))</f>
        <v/>
      </c>
    </row>
    <row r="609">
      <c r="A609" s="67" t="n"/>
      <c r="B609" s="68" t="n"/>
      <c r="C609" s="69" t="n"/>
      <c r="D609" s="68" t="n"/>
      <c r="E609" s="69" t="n"/>
      <c r="F609" s="68" t="n"/>
      <c r="G609" s="69" t="n"/>
      <c r="H609" s="68" t="n"/>
      <c r="I609" s="70">
        <f>IF($A609="","",R608)</f>
        <v/>
      </c>
      <c r="J609" s="71">
        <f>IF($A609="","",IF(C609="",0,C609))</f>
        <v/>
      </c>
      <c r="K609" s="71">
        <f>IF($A609="","",IF(E609="",0,E609))</f>
        <v/>
      </c>
      <c r="L609" s="70">
        <f>IF($A609="","",B609-D609)</f>
        <v/>
      </c>
      <c r="M609" s="71">
        <f>IF($A609="","",J609-K609)</f>
        <v/>
      </c>
      <c r="N609" s="71">
        <f>IF($A609="","",IF(G609="",0,G609))</f>
        <v/>
      </c>
      <c r="O609" s="70">
        <f>IF($A609="","",D609+F609)</f>
        <v/>
      </c>
      <c r="P609" s="71">
        <f>IF($A609="","",K609+N609)</f>
        <v/>
      </c>
      <c r="Q609" s="70">
        <f>IF($A609="","",I609+L609-F609)</f>
        <v/>
      </c>
      <c r="R609" s="72">
        <f>IF($A609="","",IF(H609="",Q609,H609))</f>
        <v/>
      </c>
      <c r="S609" s="73">
        <f>IF($A609="","",R609-Q609)</f>
        <v/>
      </c>
      <c r="T609" s="70">
        <f>IF($A609="","",SUMIFS($B$5:$B$800,$A$5:$A$800,"&gt;="&amp;DATE(YEAR($A609),MONTH($A609),1),$A$5:$A$800,"&lt;="&amp;$A609)+IF(AND(YEAR($A609)=YEAR(Settings!$B$3),MONTH($A609)=MONTH(Settings!$B$3)),Settings!$B$6,0))</f>
        <v/>
      </c>
      <c r="U609" s="71">
        <f>IF($A609="","",SUMIFS($J$5:$J$800,$A$5:$A$800,"&gt;="&amp;DATE(YEAR($A609),MONTH($A609),1),$A$5:$A$800,"&lt;="&amp;$A609)+IF(AND(YEAR($A609)=YEAR(Settings!$B$3),MONTH($A609)=MONTH(Settings!$B$3)),Settings!$B$7,0))</f>
        <v/>
      </c>
      <c r="V609" s="70">
        <f>IF($A609="","",Settings!$B$8+SUM($B$5:B609))</f>
        <v/>
      </c>
      <c r="W609" s="71">
        <f>IF($A609="","",Settings!$B$9+SUM($J$5:J609))</f>
        <v/>
      </c>
      <c r="X609" s="71">
        <f>IF($A609="","",IF(AND(N609&gt;0,F609&gt;0),ROUND(F609/N609,0),X608))</f>
        <v/>
      </c>
      <c r="Y609" s="74">
        <f>IF($A609="","",IF(AND(M609&gt;0,L609&gt;0),ROUND(L609/M609,0),IF(AND(J609&gt;0,B609&gt;0),ROUND(B609/J609,0),Y608)))</f>
        <v/>
      </c>
    </row>
    <row r="610">
      <c r="A610" s="67" t="n"/>
      <c r="B610" s="68" t="n"/>
      <c r="C610" s="69" t="n"/>
      <c r="D610" s="68" t="n"/>
      <c r="E610" s="69" t="n"/>
      <c r="F610" s="68" t="n"/>
      <c r="G610" s="69" t="n"/>
      <c r="H610" s="68" t="n"/>
      <c r="I610" s="70">
        <f>IF($A610="","",R609)</f>
        <v/>
      </c>
      <c r="J610" s="71">
        <f>IF($A610="","",IF(C610="",0,C610))</f>
        <v/>
      </c>
      <c r="K610" s="71">
        <f>IF($A610="","",IF(E610="",0,E610))</f>
        <v/>
      </c>
      <c r="L610" s="70">
        <f>IF($A610="","",B610-D610)</f>
        <v/>
      </c>
      <c r="M610" s="71">
        <f>IF($A610="","",J610-K610)</f>
        <v/>
      </c>
      <c r="N610" s="71">
        <f>IF($A610="","",IF(G610="",0,G610))</f>
        <v/>
      </c>
      <c r="O610" s="70">
        <f>IF($A610="","",D610+F610)</f>
        <v/>
      </c>
      <c r="P610" s="71">
        <f>IF($A610="","",K610+N610)</f>
        <v/>
      </c>
      <c r="Q610" s="70">
        <f>IF($A610="","",I610+L610-F610)</f>
        <v/>
      </c>
      <c r="R610" s="72">
        <f>IF($A610="","",IF(H610="",Q610,H610))</f>
        <v/>
      </c>
      <c r="S610" s="73">
        <f>IF($A610="","",R610-Q610)</f>
        <v/>
      </c>
      <c r="T610" s="70">
        <f>IF($A610="","",SUMIFS($B$5:$B$800,$A$5:$A$800,"&gt;="&amp;DATE(YEAR($A610),MONTH($A610),1),$A$5:$A$800,"&lt;="&amp;$A610)+IF(AND(YEAR($A610)=YEAR(Settings!$B$3),MONTH($A610)=MONTH(Settings!$B$3)),Settings!$B$6,0))</f>
        <v/>
      </c>
      <c r="U610" s="71">
        <f>IF($A610="","",SUMIFS($J$5:$J$800,$A$5:$A$800,"&gt;="&amp;DATE(YEAR($A610),MONTH($A610),1),$A$5:$A$800,"&lt;="&amp;$A610)+IF(AND(YEAR($A610)=YEAR(Settings!$B$3),MONTH($A610)=MONTH(Settings!$B$3)),Settings!$B$7,0))</f>
        <v/>
      </c>
      <c r="V610" s="70">
        <f>IF($A610="","",Settings!$B$8+SUM($B$5:B610))</f>
        <v/>
      </c>
      <c r="W610" s="71">
        <f>IF($A610="","",Settings!$B$9+SUM($J$5:J610))</f>
        <v/>
      </c>
      <c r="X610" s="71">
        <f>IF($A610="","",IF(AND(N610&gt;0,F610&gt;0),ROUND(F610/N610,0),X609))</f>
        <v/>
      </c>
      <c r="Y610" s="74">
        <f>IF($A610="","",IF(AND(M610&gt;0,L610&gt;0),ROUND(L610/M610,0),IF(AND(J610&gt;0,B610&gt;0),ROUND(B610/J610,0),Y609)))</f>
        <v/>
      </c>
    </row>
    <row r="611">
      <c r="A611" s="67" t="n"/>
      <c r="B611" s="68" t="n"/>
      <c r="C611" s="69" t="n"/>
      <c r="D611" s="68" t="n"/>
      <c r="E611" s="69" t="n"/>
      <c r="F611" s="68" t="n"/>
      <c r="G611" s="69" t="n"/>
      <c r="H611" s="68" t="n"/>
      <c r="I611" s="70">
        <f>IF($A611="","",R610)</f>
        <v/>
      </c>
      <c r="J611" s="71">
        <f>IF($A611="","",IF(C611="",0,C611))</f>
        <v/>
      </c>
      <c r="K611" s="71">
        <f>IF($A611="","",IF(E611="",0,E611))</f>
        <v/>
      </c>
      <c r="L611" s="70">
        <f>IF($A611="","",B611-D611)</f>
        <v/>
      </c>
      <c r="M611" s="71">
        <f>IF($A611="","",J611-K611)</f>
        <v/>
      </c>
      <c r="N611" s="71">
        <f>IF($A611="","",IF(G611="",0,G611))</f>
        <v/>
      </c>
      <c r="O611" s="70">
        <f>IF($A611="","",D611+F611)</f>
        <v/>
      </c>
      <c r="P611" s="71">
        <f>IF($A611="","",K611+N611)</f>
        <v/>
      </c>
      <c r="Q611" s="70">
        <f>IF($A611="","",I611+L611-F611)</f>
        <v/>
      </c>
      <c r="R611" s="72">
        <f>IF($A611="","",IF(H611="",Q611,H611))</f>
        <v/>
      </c>
      <c r="S611" s="73">
        <f>IF($A611="","",R611-Q611)</f>
        <v/>
      </c>
      <c r="T611" s="70">
        <f>IF($A611="","",SUMIFS($B$5:$B$800,$A$5:$A$800,"&gt;="&amp;DATE(YEAR($A611),MONTH($A611),1),$A$5:$A$800,"&lt;="&amp;$A611)+IF(AND(YEAR($A611)=YEAR(Settings!$B$3),MONTH($A611)=MONTH(Settings!$B$3)),Settings!$B$6,0))</f>
        <v/>
      </c>
      <c r="U611" s="71">
        <f>IF($A611="","",SUMIFS($J$5:$J$800,$A$5:$A$800,"&gt;="&amp;DATE(YEAR($A611),MONTH($A611),1),$A$5:$A$800,"&lt;="&amp;$A611)+IF(AND(YEAR($A611)=YEAR(Settings!$B$3),MONTH($A611)=MONTH(Settings!$B$3)),Settings!$B$7,0))</f>
        <v/>
      </c>
      <c r="V611" s="70">
        <f>IF($A611="","",Settings!$B$8+SUM($B$5:B611))</f>
        <v/>
      </c>
      <c r="W611" s="71">
        <f>IF($A611="","",Settings!$B$9+SUM($J$5:J611))</f>
        <v/>
      </c>
      <c r="X611" s="71">
        <f>IF($A611="","",IF(AND(N611&gt;0,F611&gt;0),ROUND(F611/N611,0),X610))</f>
        <v/>
      </c>
      <c r="Y611" s="74">
        <f>IF($A611="","",IF(AND(M611&gt;0,L611&gt;0),ROUND(L611/M611,0),IF(AND(J611&gt;0,B611&gt;0),ROUND(B611/J611,0),Y610)))</f>
        <v/>
      </c>
    </row>
    <row r="612">
      <c r="A612" s="67" t="n"/>
      <c r="B612" s="68" t="n"/>
      <c r="C612" s="69" t="n"/>
      <c r="D612" s="68" t="n"/>
      <c r="E612" s="69" t="n"/>
      <c r="F612" s="68" t="n"/>
      <c r="G612" s="69" t="n"/>
      <c r="H612" s="68" t="n"/>
      <c r="I612" s="70">
        <f>IF($A612="","",R611)</f>
        <v/>
      </c>
      <c r="J612" s="71">
        <f>IF($A612="","",IF(C612="",0,C612))</f>
        <v/>
      </c>
      <c r="K612" s="71">
        <f>IF($A612="","",IF(E612="",0,E612))</f>
        <v/>
      </c>
      <c r="L612" s="70">
        <f>IF($A612="","",B612-D612)</f>
        <v/>
      </c>
      <c r="M612" s="71">
        <f>IF($A612="","",J612-K612)</f>
        <v/>
      </c>
      <c r="N612" s="71">
        <f>IF($A612="","",IF(G612="",0,G612))</f>
        <v/>
      </c>
      <c r="O612" s="70">
        <f>IF($A612="","",D612+F612)</f>
        <v/>
      </c>
      <c r="P612" s="71">
        <f>IF($A612="","",K612+N612)</f>
        <v/>
      </c>
      <c r="Q612" s="70">
        <f>IF($A612="","",I612+L612-F612)</f>
        <v/>
      </c>
      <c r="R612" s="72">
        <f>IF($A612="","",IF(H612="",Q612,H612))</f>
        <v/>
      </c>
      <c r="S612" s="73">
        <f>IF($A612="","",R612-Q612)</f>
        <v/>
      </c>
      <c r="T612" s="70">
        <f>IF($A612="","",SUMIFS($B$5:$B$800,$A$5:$A$800,"&gt;="&amp;DATE(YEAR($A612),MONTH($A612),1),$A$5:$A$800,"&lt;="&amp;$A612)+IF(AND(YEAR($A612)=YEAR(Settings!$B$3),MONTH($A612)=MONTH(Settings!$B$3)),Settings!$B$6,0))</f>
        <v/>
      </c>
      <c r="U612" s="71">
        <f>IF($A612="","",SUMIFS($J$5:$J$800,$A$5:$A$800,"&gt;="&amp;DATE(YEAR($A612),MONTH($A612),1),$A$5:$A$800,"&lt;="&amp;$A612)+IF(AND(YEAR($A612)=YEAR(Settings!$B$3),MONTH($A612)=MONTH(Settings!$B$3)),Settings!$B$7,0))</f>
        <v/>
      </c>
      <c r="V612" s="70">
        <f>IF($A612="","",Settings!$B$8+SUM($B$5:B612))</f>
        <v/>
      </c>
      <c r="W612" s="71">
        <f>IF($A612="","",Settings!$B$9+SUM($J$5:J612))</f>
        <v/>
      </c>
      <c r="X612" s="71">
        <f>IF($A612="","",IF(AND(N612&gt;0,F612&gt;0),ROUND(F612/N612,0),X611))</f>
        <v/>
      </c>
      <c r="Y612" s="74">
        <f>IF($A612="","",IF(AND(M612&gt;0,L612&gt;0),ROUND(L612/M612,0),IF(AND(J612&gt;0,B612&gt;0),ROUND(B612/J612,0),Y611)))</f>
        <v/>
      </c>
    </row>
    <row r="613">
      <c r="A613" s="67" t="n"/>
      <c r="B613" s="68" t="n"/>
      <c r="C613" s="69" t="n"/>
      <c r="D613" s="68" t="n"/>
      <c r="E613" s="69" t="n"/>
      <c r="F613" s="68" t="n"/>
      <c r="G613" s="69" t="n"/>
      <c r="H613" s="68" t="n"/>
      <c r="I613" s="70">
        <f>IF($A613="","",R612)</f>
        <v/>
      </c>
      <c r="J613" s="71">
        <f>IF($A613="","",IF(C613="",0,C613))</f>
        <v/>
      </c>
      <c r="K613" s="71">
        <f>IF($A613="","",IF(E613="",0,E613))</f>
        <v/>
      </c>
      <c r="L613" s="70">
        <f>IF($A613="","",B613-D613)</f>
        <v/>
      </c>
      <c r="M613" s="71">
        <f>IF($A613="","",J613-K613)</f>
        <v/>
      </c>
      <c r="N613" s="71">
        <f>IF($A613="","",IF(G613="",0,G613))</f>
        <v/>
      </c>
      <c r="O613" s="70">
        <f>IF($A613="","",D613+F613)</f>
        <v/>
      </c>
      <c r="P613" s="71">
        <f>IF($A613="","",K613+N613)</f>
        <v/>
      </c>
      <c r="Q613" s="70">
        <f>IF($A613="","",I613+L613-F613)</f>
        <v/>
      </c>
      <c r="R613" s="72">
        <f>IF($A613="","",IF(H613="",Q613,H613))</f>
        <v/>
      </c>
      <c r="S613" s="73">
        <f>IF($A613="","",R613-Q613)</f>
        <v/>
      </c>
      <c r="T613" s="70">
        <f>IF($A613="","",SUMIFS($B$5:$B$800,$A$5:$A$800,"&gt;="&amp;DATE(YEAR($A613),MONTH($A613),1),$A$5:$A$800,"&lt;="&amp;$A613)+IF(AND(YEAR($A613)=YEAR(Settings!$B$3),MONTH($A613)=MONTH(Settings!$B$3)),Settings!$B$6,0))</f>
        <v/>
      </c>
      <c r="U613" s="71">
        <f>IF($A613="","",SUMIFS($J$5:$J$800,$A$5:$A$800,"&gt;="&amp;DATE(YEAR($A613),MONTH($A613),1),$A$5:$A$800,"&lt;="&amp;$A613)+IF(AND(YEAR($A613)=YEAR(Settings!$B$3),MONTH($A613)=MONTH(Settings!$B$3)),Settings!$B$7,0))</f>
        <v/>
      </c>
      <c r="V613" s="70">
        <f>IF($A613="","",Settings!$B$8+SUM($B$5:B613))</f>
        <v/>
      </c>
      <c r="W613" s="71">
        <f>IF($A613="","",Settings!$B$9+SUM($J$5:J613))</f>
        <v/>
      </c>
      <c r="X613" s="71">
        <f>IF($A613="","",IF(AND(N613&gt;0,F613&gt;0),ROUND(F613/N613,0),X612))</f>
        <v/>
      </c>
      <c r="Y613" s="74">
        <f>IF($A613="","",IF(AND(M613&gt;0,L613&gt;0),ROUND(L613/M613,0),IF(AND(J613&gt;0,B613&gt;0),ROUND(B613/J613,0),Y612)))</f>
        <v/>
      </c>
    </row>
    <row r="614">
      <c r="A614" s="67" t="n"/>
      <c r="B614" s="68" t="n"/>
      <c r="C614" s="69" t="n"/>
      <c r="D614" s="68" t="n"/>
      <c r="E614" s="69" t="n"/>
      <c r="F614" s="68" t="n"/>
      <c r="G614" s="69" t="n"/>
      <c r="H614" s="68" t="n"/>
      <c r="I614" s="70">
        <f>IF($A614="","",R613)</f>
        <v/>
      </c>
      <c r="J614" s="71">
        <f>IF($A614="","",IF(C614="",0,C614))</f>
        <v/>
      </c>
      <c r="K614" s="71">
        <f>IF($A614="","",IF(E614="",0,E614))</f>
        <v/>
      </c>
      <c r="L614" s="70">
        <f>IF($A614="","",B614-D614)</f>
        <v/>
      </c>
      <c r="M614" s="71">
        <f>IF($A614="","",J614-K614)</f>
        <v/>
      </c>
      <c r="N614" s="71">
        <f>IF($A614="","",IF(G614="",0,G614))</f>
        <v/>
      </c>
      <c r="O614" s="70">
        <f>IF($A614="","",D614+F614)</f>
        <v/>
      </c>
      <c r="P614" s="71">
        <f>IF($A614="","",K614+N614)</f>
        <v/>
      </c>
      <c r="Q614" s="70">
        <f>IF($A614="","",I614+L614-F614)</f>
        <v/>
      </c>
      <c r="R614" s="72">
        <f>IF($A614="","",IF(H614="",Q614,H614))</f>
        <v/>
      </c>
      <c r="S614" s="73">
        <f>IF($A614="","",R614-Q614)</f>
        <v/>
      </c>
      <c r="T614" s="70">
        <f>IF($A614="","",SUMIFS($B$5:$B$800,$A$5:$A$800,"&gt;="&amp;DATE(YEAR($A614),MONTH($A614),1),$A$5:$A$800,"&lt;="&amp;$A614)+IF(AND(YEAR($A614)=YEAR(Settings!$B$3),MONTH($A614)=MONTH(Settings!$B$3)),Settings!$B$6,0))</f>
        <v/>
      </c>
      <c r="U614" s="71">
        <f>IF($A614="","",SUMIFS($J$5:$J$800,$A$5:$A$800,"&gt;="&amp;DATE(YEAR($A614),MONTH($A614),1),$A$5:$A$800,"&lt;="&amp;$A614)+IF(AND(YEAR($A614)=YEAR(Settings!$B$3),MONTH($A614)=MONTH(Settings!$B$3)),Settings!$B$7,0))</f>
        <v/>
      </c>
      <c r="V614" s="70">
        <f>IF($A614="","",Settings!$B$8+SUM($B$5:B614))</f>
        <v/>
      </c>
      <c r="W614" s="71">
        <f>IF($A614="","",Settings!$B$9+SUM($J$5:J614))</f>
        <v/>
      </c>
      <c r="X614" s="71">
        <f>IF($A614="","",IF(AND(N614&gt;0,F614&gt;0),ROUND(F614/N614,0),X613))</f>
        <v/>
      </c>
      <c r="Y614" s="74">
        <f>IF($A614="","",IF(AND(M614&gt;0,L614&gt;0),ROUND(L614/M614,0),IF(AND(J614&gt;0,B614&gt;0),ROUND(B614/J614,0),Y613)))</f>
        <v/>
      </c>
    </row>
    <row r="615">
      <c r="A615" s="67" t="n"/>
      <c r="B615" s="68" t="n"/>
      <c r="C615" s="69" t="n"/>
      <c r="D615" s="68" t="n"/>
      <c r="E615" s="69" t="n"/>
      <c r="F615" s="68" t="n"/>
      <c r="G615" s="69" t="n"/>
      <c r="H615" s="68" t="n"/>
      <c r="I615" s="70">
        <f>IF($A615="","",R614)</f>
        <v/>
      </c>
      <c r="J615" s="71">
        <f>IF($A615="","",IF(C615="",0,C615))</f>
        <v/>
      </c>
      <c r="K615" s="71">
        <f>IF($A615="","",IF(E615="",0,E615))</f>
        <v/>
      </c>
      <c r="L615" s="70">
        <f>IF($A615="","",B615-D615)</f>
        <v/>
      </c>
      <c r="M615" s="71">
        <f>IF($A615="","",J615-K615)</f>
        <v/>
      </c>
      <c r="N615" s="71">
        <f>IF($A615="","",IF(G615="",0,G615))</f>
        <v/>
      </c>
      <c r="O615" s="70">
        <f>IF($A615="","",D615+F615)</f>
        <v/>
      </c>
      <c r="P615" s="71">
        <f>IF($A615="","",K615+N615)</f>
        <v/>
      </c>
      <c r="Q615" s="70">
        <f>IF($A615="","",I615+L615-F615)</f>
        <v/>
      </c>
      <c r="R615" s="72">
        <f>IF($A615="","",IF(H615="",Q615,H615))</f>
        <v/>
      </c>
      <c r="S615" s="73">
        <f>IF($A615="","",R615-Q615)</f>
        <v/>
      </c>
      <c r="T615" s="70">
        <f>IF($A615="","",SUMIFS($B$5:$B$800,$A$5:$A$800,"&gt;="&amp;DATE(YEAR($A615),MONTH($A615),1),$A$5:$A$800,"&lt;="&amp;$A615)+IF(AND(YEAR($A615)=YEAR(Settings!$B$3),MONTH($A615)=MONTH(Settings!$B$3)),Settings!$B$6,0))</f>
        <v/>
      </c>
      <c r="U615" s="71">
        <f>IF($A615="","",SUMIFS($J$5:$J$800,$A$5:$A$800,"&gt;="&amp;DATE(YEAR($A615),MONTH($A615),1),$A$5:$A$800,"&lt;="&amp;$A615)+IF(AND(YEAR($A615)=YEAR(Settings!$B$3),MONTH($A615)=MONTH(Settings!$B$3)),Settings!$B$7,0))</f>
        <v/>
      </c>
      <c r="V615" s="70">
        <f>IF($A615="","",Settings!$B$8+SUM($B$5:B615))</f>
        <v/>
      </c>
      <c r="W615" s="71">
        <f>IF($A615="","",Settings!$B$9+SUM($J$5:J615))</f>
        <v/>
      </c>
      <c r="X615" s="71">
        <f>IF($A615="","",IF(AND(N615&gt;0,F615&gt;0),ROUND(F615/N615,0),X614))</f>
        <v/>
      </c>
      <c r="Y615" s="74">
        <f>IF($A615="","",IF(AND(M615&gt;0,L615&gt;0),ROUND(L615/M615,0),IF(AND(J615&gt;0,B615&gt;0),ROUND(B615/J615,0),Y614)))</f>
        <v/>
      </c>
    </row>
    <row r="616">
      <c r="A616" s="67" t="n"/>
      <c r="B616" s="68" t="n"/>
      <c r="C616" s="69" t="n"/>
      <c r="D616" s="68" t="n"/>
      <c r="E616" s="69" t="n"/>
      <c r="F616" s="68" t="n"/>
      <c r="G616" s="69" t="n"/>
      <c r="H616" s="68" t="n"/>
      <c r="I616" s="70">
        <f>IF($A616="","",R615)</f>
        <v/>
      </c>
      <c r="J616" s="71">
        <f>IF($A616="","",IF(C616="",0,C616))</f>
        <v/>
      </c>
      <c r="K616" s="71">
        <f>IF($A616="","",IF(E616="",0,E616))</f>
        <v/>
      </c>
      <c r="L616" s="70">
        <f>IF($A616="","",B616-D616)</f>
        <v/>
      </c>
      <c r="M616" s="71">
        <f>IF($A616="","",J616-K616)</f>
        <v/>
      </c>
      <c r="N616" s="71">
        <f>IF($A616="","",IF(G616="",0,G616))</f>
        <v/>
      </c>
      <c r="O616" s="70">
        <f>IF($A616="","",D616+F616)</f>
        <v/>
      </c>
      <c r="P616" s="71">
        <f>IF($A616="","",K616+N616)</f>
        <v/>
      </c>
      <c r="Q616" s="70">
        <f>IF($A616="","",I616+L616-F616)</f>
        <v/>
      </c>
      <c r="R616" s="72">
        <f>IF($A616="","",IF(H616="",Q616,H616))</f>
        <v/>
      </c>
      <c r="S616" s="73">
        <f>IF($A616="","",R616-Q616)</f>
        <v/>
      </c>
      <c r="T616" s="70">
        <f>IF($A616="","",SUMIFS($B$5:$B$800,$A$5:$A$800,"&gt;="&amp;DATE(YEAR($A616),MONTH($A616),1),$A$5:$A$800,"&lt;="&amp;$A616)+IF(AND(YEAR($A616)=YEAR(Settings!$B$3),MONTH($A616)=MONTH(Settings!$B$3)),Settings!$B$6,0))</f>
        <v/>
      </c>
      <c r="U616" s="71">
        <f>IF($A616="","",SUMIFS($J$5:$J$800,$A$5:$A$800,"&gt;="&amp;DATE(YEAR($A616),MONTH($A616),1),$A$5:$A$800,"&lt;="&amp;$A616)+IF(AND(YEAR($A616)=YEAR(Settings!$B$3),MONTH($A616)=MONTH(Settings!$B$3)),Settings!$B$7,0))</f>
        <v/>
      </c>
      <c r="V616" s="70">
        <f>IF($A616="","",Settings!$B$8+SUM($B$5:B616))</f>
        <v/>
      </c>
      <c r="W616" s="71">
        <f>IF($A616="","",Settings!$B$9+SUM($J$5:J616))</f>
        <v/>
      </c>
      <c r="X616" s="71">
        <f>IF($A616="","",IF(AND(N616&gt;0,F616&gt;0),ROUND(F616/N616,0),X615))</f>
        <v/>
      </c>
      <c r="Y616" s="74">
        <f>IF($A616="","",IF(AND(M616&gt;0,L616&gt;0),ROUND(L616/M616,0),IF(AND(J616&gt;0,B616&gt;0),ROUND(B616/J616,0),Y615)))</f>
        <v/>
      </c>
    </row>
    <row r="617">
      <c r="A617" s="67" t="n"/>
      <c r="B617" s="68" t="n"/>
      <c r="C617" s="69" t="n"/>
      <c r="D617" s="68" t="n"/>
      <c r="E617" s="69" t="n"/>
      <c r="F617" s="68" t="n"/>
      <c r="G617" s="69" t="n"/>
      <c r="H617" s="68" t="n"/>
      <c r="I617" s="70">
        <f>IF($A617="","",R616)</f>
        <v/>
      </c>
      <c r="J617" s="71">
        <f>IF($A617="","",IF(C617="",0,C617))</f>
        <v/>
      </c>
      <c r="K617" s="71">
        <f>IF($A617="","",IF(E617="",0,E617))</f>
        <v/>
      </c>
      <c r="L617" s="70">
        <f>IF($A617="","",B617-D617)</f>
        <v/>
      </c>
      <c r="M617" s="71">
        <f>IF($A617="","",J617-K617)</f>
        <v/>
      </c>
      <c r="N617" s="71">
        <f>IF($A617="","",IF(G617="",0,G617))</f>
        <v/>
      </c>
      <c r="O617" s="70">
        <f>IF($A617="","",D617+F617)</f>
        <v/>
      </c>
      <c r="P617" s="71">
        <f>IF($A617="","",K617+N617)</f>
        <v/>
      </c>
      <c r="Q617" s="70">
        <f>IF($A617="","",I617+L617-F617)</f>
        <v/>
      </c>
      <c r="R617" s="72">
        <f>IF($A617="","",IF(H617="",Q617,H617))</f>
        <v/>
      </c>
      <c r="S617" s="73">
        <f>IF($A617="","",R617-Q617)</f>
        <v/>
      </c>
      <c r="T617" s="70">
        <f>IF($A617="","",SUMIFS($B$5:$B$800,$A$5:$A$800,"&gt;="&amp;DATE(YEAR($A617),MONTH($A617),1),$A$5:$A$800,"&lt;="&amp;$A617)+IF(AND(YEAR($A617)=YEAR(Settings!$B$3),MONTH($A617)=MONTH(Settings!$B$3)),Settings!$B$6,0))</f>
        <v/>
      </c>
      <c r="U617" s="71">
        <f>IF($A617="","",SUMIFS($J$5:$J$800,$A$5:$A$800,"&gt;="&amp;DATE(YEAR($A617),MONTH($A617),1),$A$5:$A$800,"&lt;="&amp;$A617)+IF(AND(YEAR($A617)=YEAR(Settings!$B$3),MONTH($A617)=MONTH(Settings!$B$3)),Settings!$B$7,0))</f>
        <v/>
      </c>
      <c r="V617" s="70">
        <f>IF($A617="","",Settings!$B$8+SUM($B$5:B617))</f>
        <v/>
      </c>
      <c r="W617" s="71">
        <f>IF($A617="","",Settings!$B$9+SUM($J$5:J617))</f>
        <v/>
      </c>
      <c r="X617" s="71">
        <f>IF($A617="","",IF(AND(N617&gt;0,F617&gt;0),ROUND(F617/N617,0),X616))</f>
        <v/>
      </c>
      <c r="Y617" s="74">
        <f>IF($A617="","",IF(AND(M617&gt;0,L617&gt;0),ROUND(L617/M617,0),IF(AND(J617&gt;0,B617&gt;0),ROUND(B617/J617,0),Y616)))</f>
        <v/>
      </c>
    </row>
    <row r="618">
      <c r="A618" s="67" t="n"/>
      <c r="B618" s="68" t="n"/>
      <c r="C618" s="69" t="n"/>
      <c r="D618" s="68" t="n"/>
      <c r="E618" s="69" t="n"/>
      <c r="F618" s="68" t="n"/>
      <c r="G618" s="69" t="n"/>
      <c r="H618" s="68" t="n"/>
      <c r="I618" s="70">
        <f>IF($A618="","",R617)</f>
        <v/>
      </c>
      <c r="J618" s="71">
        <f>IF($A618="","",IF(C618="",0,C618))</f>
        <v/>
      </c>
      <c r="K618" s="71">
        <f>IF($A618="","",IF(E618="",0,E618))</f>
        <v/>
      </c>
      <c r="L618" s="70">
        <f>IF($A618="","",B618-D618)</f>
        <v/>
      </c>
      <c r="M618" s="71">
        <f>IF($A618="","",J618-K618)</f>
        <v/>
      </c>
      <c r="N618" s="71">
        <f>IF($A618="","",IF(G618="",0,G618))</f>
        <v/>
      </c>
      <c r="O618" s="70">
        <f>IF($A618="","",D618+F618)</f>
        <v/>
      </c>
      <c r="P618" s="71">
        <f>IF($A618="","",K618+N618)</f>
        <v/>
      </c>
      <c r="Q618" s="70">
        <f>IF($A618="","",I618+L618-F618)</f>
        <v/>
      </c>
      <c r="R618" s="72">
        <f>IF($A618="","",IF(H618="",Q618,H618))</f>
        <v/>
      </c>
      <c r="S618" s="73">
        <f>IF($A618="","",R618-Q618)</f>
        <v/>
      </c>
      <c r="T618" s="70">
        <f>IF($A618="","",SUMIFS($B$5:$B$800,$A$5:$A$800,"&gt;="&amp;DATE(YEAR($A618),MONTH($A618),1),$A$5:$A$800,"&lt;="&amp;$A618)+IF(AND(YEAR($A618)=YEAR(Settings!$B$3),MONTH($A618)=MONTH(Settings!$B$3)),Settings!$B$6,0))</f>
        <v/>
      </c>
      <c r="U618" s="71">
        <f>IF($A618="","",SUMIFS($J$5:$J$800,$A$5:$A$800,"&gt;="&amp;DATE(YEAR($A618),MONTH($A618),1),$A$5:$A$800,"&lt;="&amp;$A618)+IF(AND(YEAR($A618)=YEAR(Settings!$B$3),MONTH($A618)=MONTH(Settings!$B$3)),Settings!$B$7,0))</f>
        <v/>
      </c>
      <c r="V618" s="70">
        <f>IF($A618="","",Settings!$B$8+SUM($B$5:B618))</f>
        <v/>
      </c>
      <c r="W618" s="71">
        <f>IF($A618="","",Settings!$B$9+SUM($J$5:J618))</f>
        <v/>
      </c>
      <c r="X618" s="71">
        <f>IF($A618="","",IF(AND(N618&gt;0,F618&gt;0),ROUND(F618/N618,0),X617))</f>
        <v/>
      </c>
      <c r="Y618" s="74">
        <f>IF($A618="","",IF(AND(M618&gt;0,L618&gt;0),ROUND(L618/M618,0),IF(AND(J618&gt;0,B618&gt;0),ROUND(B618/J618,0),Y617)))</f>
        <v/>
      </c>
    </row>
    <row r="619">
      <c r="A619" s="67" t="n"/>
      <c r="B619" s="68" t="n"/>
      <c r="C619" s="69" t="n"/>
      <c r="D619" s="68" t="n"/>
      <c r="E619" s="69" t="n"/>
      <c r="F619" s="68" t="n"/>
      <c r="G619" s="69" t="n"/>
      <c r="H619" s="68" t="n"/>
      <c r="I619" s="70">
        <f>IF($A619="","",R618)</f>
        <v/>
      </c>
      <c r="J619" s="71">
        <f>IF($A619="","",IF(C619="",0,C619))</f>
        <v/>
      </c>
      <c r="K619" s="71">
        <f>IF($A619="","",IF(E619="",0,E619))</f>
        <v/>
      </c>
      <c r="L619" s="70">
        <f>IF($A619="","",B619-D619)</f>
        <v/>
      </c>
      <c r="M619" s="71">
        <f>IF($A619="","",J619-K619)</f>
        <v/>
      </c>
      <c r="N619" s="71">
        <f>IF($A619="","",IF(G619="",0,G619))</f>
        <v/>
      </c>
      <c r="O619" s="70">
        <f>IF($A619="","",D619+F619)</f>
        <v/>
      </c>
      <c r="P619" s="71">
        <f>IF($A619="","",K619+N619)</f>
        <v/>
      </c>
      <c r="Q619" s="70">
        <f>IF($A619="","",I619+L619-F619)</f>
        <v/>
      </c>
      <c r="R619" s="72">
        <f>IF($A619="","",IF(H619="",Q619,H619))</f>
        <v/>
      </c>
      <c r="S619" s="73">
        <f>IF($A619="","",R619-Q619)</f>
        <v/>
      </c>
      <c r="T619" s="70">
        <f>IF($A619="","",SUMIFS($B$5:$B$800,$A$5:$A$800,"&gt;="&amp;DATE(YEAR($A619),MONTH($A619),1),$A$5:$A$800,"&lt;="&amp;$A619)+IF(AND(YEAR($A619)=YEAR(Settings!$B$3),MONTH($A619)=MONTH(Settings!$B$3)),Settings!$B$6,0))</f>
        <v/>
      </c>
      <c r="U619" s="71">
        <f>IF($A619="","",SUMIFS($J$5:$J$800,$A$5:$A$800,"&gt;="&amp;DATE(YEAR($A619),MONTH($A619),1),$A$5:$A$800,"&lt;="&amp;$A619)+IF(AND(YEAR($A619)=YEAR(Settings!$B$3),MONTH($A619)=MONTH(Settings!$B$3)),Settings!$B$7,0))</f>
        <v/>
      </c>
      <c r="V619" s="70">
        <f>IF($A619="","",Settings!$B$8+SUM($B$5:B619))</f>
        <v/>
      </c>
      <c r="W619" s="71">
        <f>IF($A619="","",Settings!$B$9+SUM($J$5:J619))</f>
        <v/>
      </c>
      <c r="X619" s="71">
        <f>IF($A619="","",IF(AND(N619&gt;0,F619&gt;0),ROUND(F619/N619,0),X618))</f>
        <v/>
      </c>
      <c r="Y619" s="74">
        <f>IF($A619="","",IF(AND(M619&gt;0,L619&gt;0),ROUND(L619/M619,0),IF(AND(J619&gt;0,B619&gt;0),ROUND(B619/J619,0),Y618)))</f>
        <v/>
      </c>
    </row>
    <row r="620">
      <c r="A620" s="67" t="n"/>
      <c r="B620" s="68" t="n"/>
      <c r="C620" s="69" t="n"/>
      <c r="D620" s="68" t="n"/>
      <c r="E620" s="69" t="n"/>
      <c r="F620" s="68" t="n"/>
      <c r="G620" s="69" t="n"/>
      <c r="H620" s="68" t="n"/>
      <c r="I620" s="70">
        <f>IF($A620="","",R619)</f>
        <v/>
      </c>
      <c r="J620" s="71">
        <f>IF($A620="","",IF(C620="",0,C620))</f>
        <v/>
      </c>
      <c r="K620" s="71">
        <f>IF($A620="","",IF(E620="",0,E620))</f>
        <v/>
      </c>
      <c r="L620" s="70">
        <f>IF($A620="","",B620-D620)</f>
        <v/>
      </c>
      <c r="M620" s="71">
        <f>IF($A620="","",J620-K620)</f>
        <v/>
      </c>
      <c r="N620" s="71">
        <f>IF($A620="","",IF(G620="",0,G620))</f>
        <v/>
      </c>
      <c r="O620" s="70">
        <f>IF($A620="","",D620+F620)</f>
        <v/>
      </c>
      <c r="P620" s="71">
        <f>IF($A620="","",K620+N620)</f>
        <v/>
      </c>
      <c r="Q620" s="70">
        <f>IF($A620="","",I620+L620-F620)</f>
        <v/>
      </c>
      <c r="R620" s="72">
        <f>IF($A620="","",IF(H620="",Q620,H620))</f>
        <v/>
      </c>
      <c r="S620" s="73">
        <f>IF($A620="","",R620-Q620)</f>
        <v/>
      </c>
      <c r="T620" s="70">
        <f>IF($A620="","",SUMIFS($B$5:$B$800,$A$5:$A$800,"&gt;="&amp;DATE(YEAR($A620),MONTH($A620),1),$A$5:$A$800,"&lt;="&amp;$A620)+IF(AND(YEAR($A620)=YEAR(Settings!$B$3),MONTH($A620)=MONTH(Settings!$B$3)),Settings!$B$6,0))</f>
        <v/>
      </c>
      <c r="U620" s="71">
        <f>IF($A620="","",SUMIFS($J$5:$J$800,$A$5:$A$800,"&gt;="&amp;DATE(YEAR($A620),MONTH($A620),1),$A$5:$A$800,"&lt;="&amp;$A620)+IF(AND(YEAR($A620)=YEAR(Settings!$B$3),MONTH($A620)=MONTH(Settings!$B$3)),Settings!$B$7,0))</f>
        <v/>
      </c>
      <c r="V620" s="70">
        <f>IF($A620="","",Settings!$B$8+SUM($B$5:B620))</f>
        <v/>
      </c>
      <c r="W620" s="71">
        <f>IF($A620="","",Settings!$B$9+SUM($J$5:J620))</f>
        <v/>
      </c>
      <c r="X620" s="71">
        <f>IF($A620="","",IF(AND(N620&gt;0,F620&gt;0),ROUND(F620/N620,0),X619))</f>
        <v/>
      </c>
      <c r="Y620" s="74">
        <f>IF($A620="","",IF(AND(M620&gt;0,L620&gt;0),ROUND(L620/M620,0),IF(AND(J620&gt;0,B620&gt;0),ROUND(B620/J620,0),Y619)))</f>
        <v/>
      </c>
    </row>
    <row r="621">
      <c r="A621" s="67" t="n"/>
      <c r="B621" s="68" t="n"/>
      <c r="C621" s="69" t="n"/>
      <c r="D621" s="68" t="n"/>
      <c r="E621" s="69" t="n"/>
      <c r="F621" s="68" t="n"/>
      <c r="G621" s="69" t="n"/>
      <c r="H621" s="68" t="n"/>
      <c r="I621" s="70">
        <f>IF($A621="","",R620)</f>
        <v/>
      </c>
      <c r="J621" s="71">
        <f>IF($A621="","",IF(C621="",0,C621))</f>
        <v/>
      </c>
      <c r="K621" s="71">
        <f>IF($A621="","",IF(E621="",0,E621))</f>
        <v/>
      </c>
      <c r="L621" s="70">
        <f>IF($A621="","",B621-D621)</f>
        <v/>
      </c>
      <c r="M621" s="71">
        <f>IF($A621="","",J621-K621)</f>
        <v/>
      </c>
      <c r="N621" s="71">
        <f>IF($A621="","",IF(G621="",0,G621))</f>
        <v/>
      </c>
      <c r="O621" s="70">
        <f>IF($A621="","",D621+F621)</f>
        <v/>
      </c>
      <c r="P621" s="71">
        <f>IF($A621="","",K621+N621)</f>
        <v/>
      </c>
      <c r="Q621" s="70">
        <f>IF($A621="","",I621+L621-F621)</f>
        <v/>
      </c>
      <c r="R621" s="72">
        <f>IF($A621="","",IF(H621="",Q621,H621))</f>
        <v/>
      </c>
      <c r="S621" s="73">
        <f>IF($A621="","",R621-Q621)</f>
        <v/>
      </c>
      <c r="T621" s="70">
        <f>IF($A621="","",SUMIFS($B$5:$B$800,$A$5:$A$800,"&gt;="&amp;DATE(YEAR($A621),MONTH($A621),1),$A$5:$A$800,"&lt;="&amp;$A621)+IF(AND(YEAR($A621)=YEAR(Settings!$B$3),MONTH($A621)=MONTH(Settings!$B$3)),Settings!$B$6,0))</f>
        <v/>
      </c>
      <c r="U621" s="71">
        <f>IF($A621="","",SUMIFS($J$5:$J$800,$A$5:$A$800,"&gt;="&amp;DATE(YEAR($A621),MONTH($A621),1),$A$5:$A$800,"&lt;="&amp;$A621)+IF(AND(YEAR($A621)=YEAR(Settings!$B$3),MONTH($A621)=MONTH(Settings!$B$3)),Settings!$B$7,0))</f>
        <v/>
      </c>
      <c r="V621" s="70">
        <f>IF($A621="","",Settings!$B$8+SUM($B$5:B621))</f>
        <v/>
      </c>
      <c r="W621" s="71">
        <f>IF($A621="","",Settings!$B$9+SUM($J$5:J621))</f>
        <v/>
      </c>
      <c r="X621" s="71">
        <f>IF($A621="","",IF(AND(N621&gt;0,F621&gt;0),ROUND(F621/N621,0),X620))</f>
        <v/>
      </c>
      <c r="Y621" s="74">
        <f>IF($A621="","",IF(AND(M621&gt;0,L621&gt;0),ROUND(L621/M621,0),IF(AND(J621&gt;0,B621&gt;0),ROUND(B621/J621,0),Y620)))</f>
        <v/>
      </c>
    </row>
    <row r="622">
      <c r="A622" s="67" t="n"/>
      <c r="B622" s="68" t="n"/>
      <c r="C622" s="69" t="n"/>
      <c r="D622" s="68" t="n"/>
      <c r="E622" s="69" t="n"/>
      <c r="F622" s="68" t="n"/>
      <c r="G622" s="69" t="n"/>
      <c r="H622" s="68" t="n"/>
      <c r="I622" s="70">
        <f>IF($A622="","",R621)</f>
        <v/>
      </c>
      <c r="J622" s="71">
        <f>IF($A622="","",IF(C622="",0,C622))</f>
        <v/>
      </c>
      <c r="K622" s="71">
        <f>IF($A622="","",IF(E622="",0,E622))</f>
        <v/>
      </c>
      <c r="L622" s="70">
        <f>IF($A622="","",B622-D622)</f>
        <v/>
      </c>
      <c r="M622" s="71">
        <f>IF($A622="","",J622-K622)</f>
        <v/>
      </c>
      <c r="N622" s="71">
        <f>IF($A622="","",IF(G622="",0,G622))</f>
        <v/>
      </c>
      <c r="O622" s="70">
        <f>IF($A622="","",D622+F622)</f>
        <v/>
      </c>
      <c r="P622" s="71">
        <f>IF($A622="","",K622+N622)</f>
        <v/>
      </c>
      <c r="Q622" s="70">
        <f>IF($A622="","",I622+L622-F622)</f>
        <v/>
      </c>
      <c r="R622" s="72">
        <f>IF($A622="","",IF(H622="",Q622,H622))</f>
        <v/>
      </c>
      <c r="S622" s="73">
        <f>IF($A622="","",R622-Q622)</f>
        <v/>
      </c>
      <c r="T622" s="70">
        <f>IF($A622="","",SUMIFS($B$5:$B$800,$A$5:$A$800,"&gt;="&amp;DATE(YEAR($A622),MONTH($A622),1),$A$5:$A$800,"&lt;="&amp;$A622)+IF(AND(YEAR($A622)=YEAR(Settings!$B$3),MONTH($A622)=MONTH(Settings!$B$3)),Settings!$B$6,0))</f>
        <v/>
      </c>
      <c r="U622" s="71">
        <f>IF($A622="","",SUMIFS($J$5:$J$800,$A$5:$A$800,"&gt;="&amp;DATE(YEAR($A622),MONTH($A622),1),$A$5:$A$800,"&lt;="&amp;$A622)+IF(AND(YEAR($A622)=YEAR(Settings!$B$3),MONTH($A622)=MONTH(Settings!$B$3)),Settings!$B$7,0))</f>
        <v/>
      </c>
      <c r="V622" s="70">
        <f>IF($A622="","",Settings!$B$8+SUM($B$5:B622))</f>
        <v/>
      </c>
      <c r="W622" s="71">
        <f>IF($A622="","",Settings!$B$9+SUM($J$5:J622))</f>
        <v/>
      </c>
      <c r="X622" s="71">
        <f>IF($A622="","",IF(AND(N622&gt;0,F622&gt;0),ROUND(F622/N622,0),X621))</f>
        <v/>
      </c>
      <c r="Y622" s="74">
        <f>IF($A622="","",IF(AND(M622&gt;0,L622&gt;0),ROUND(L622/M622,0),IF(AND(J622&gt;0,B622&gt;0),ROUND(B622/J622,0),Y621)))</f>
        <v/>
      </c>
    </row>
    <row r="623">
      <c r="A623" s="67" t="n"/>
      <c r="B623" s="68" t="n"/>
      <c r="C623" s="69" t="n"/>
      <c r="D623" s="68" t="n"/>
      <c r="E623" s="69" t="n"/>
      <c r="F623" s="68" t="n"/>
      <c r="G623" s="69" t="n"/>
      <c r="H623" s="68" t="n"/>
      <c r="I623" s="70">
        <f>IF($A623="","",R622)</f>
        <v/>
      </c>
      <c r="J623" s="71">
        <f>IF($A623="","",IF(C623="",0,C623))</f>
        <v/>
      </c>
      <c r="K623" s="71">
        <f>IF($A623="","",IF(E623="",0,E623))</f>
        <v/>
      </c>
      <c r="L623" s="70">
        <f>IF($A623="","",B623-D623)</f>
        <v/>
      </c>
      <c r="M623" s="71">
        <f>IF($A623="","",J623-K623)</f>
        <v/>
      </c>
      <c r="N623" s="71">
        <f>IF($A623="","",IF(G623="",0,G623))</f>
        <v/>
      </c>
      <c r="O623" s="70">
        <f>IF($A623="","",D623+F623)</f>
        <v/>
      </c>
      <c r="P623" s="71">
        <f>IF($A623="","",K623+N623)</f>
        <v/>
      </c>
      <c r="Q623" s="70">
        <f>IF($A623="","",I623+L623-F623)</f>
        <v/>
      </c>
      <c r="R623" s="72">
        <f>IF($A623="","",IF(H623="",Q623,H623))</f>
        <v/>
      </c>
      <c r="S623" s="73">
        <f>IF($A623="","",R623-Q623)</f>
        <v/>
      </c>
      <c r="T623" s="70">
        <f>IF($A623="","",SUMIFS($B$5:$B$800,$A$5:$A$800,"&gt;="&amp;DATE(YEAR($A623),MONTH($A623),1),$A$5:$A$800,"&lt;="&amp;$A623)+IF(AND(YEAR($A623)=YEAR(Settings!$B$3),MONTH($A623)=MONTH(Settings!$B$3)),Settings!$B$6,0))</f>
        <v/>
      </c>
      <c r="U623" s="71">
        <f>IF($A623="","",SUMIFS($J$5:$J$800,$A$5:$A$800,"&gt;="&amp;DATE(YEAR($A623),MONTH($A623),1),$A$5:$A$800,"&lt;="&amp;$A623)+IF(AND(YEAR($A623)=YEAR(Settings!$B$3),MONTH($A623)=MONTH(Settings!$B$3)),Settings!$B$7,0))</f>
        <v/>
      </c>
      <c r="V623" s="70">
        <f>IF($A623="","",Settings!$B$8+SUM($B$5:B623))</f>
        <v/>
      </c>
      <c r="W623" s="71">
        <f>IF($A623="","",Settings!$B$9+SUM($J$5:J623))</f>
        <v/>
      </c>
      <c r="X623" s="71">
        <f>IF($A623="","",IF(AND(N623&gt;0,F623&gt;0),ROUND(F623/N623,0),X622))</f>
        <v/>
      </c>
      <c r="Y623" s="74">
        <f>IF($A623="","",IF(AND(M623&gt;0,L623&gt;0),ROUND(L623/M623,0),IF(AND(J623&gt;0,B623&gt;0),ROUND(B623/J623,0),Y622)))</f>
        <v/>
      </c>
    </row>
    <row r="624">
      <c r="A624" s="67" t="n"/>
      <c r="B624" s="68" t="n"/>
      <c r="C624" s="69" t="n"/>
      <c r="D624" s="68" t="n"/>
      <c r="E624" s="69" t="n"/>
      <c r="F624" s="68" t="n"/>
      <c r="G624" s="69" t="n"/>
      <c r="H624" s="68" t="n"/>
      <c r="I624" s="70">
        <f>IF($A624="","",R623)</f>
        <v/>
      </c>
      <c r="J624" s="71">
        <f>IF($A624="","",IF(C624="",0,C624))</f>
        <v/>
      </c>
      <c r="K624" s="71">
        <f>IF($A624="","",IF(E624="",0,E624))</f>
        <v/>
      </c>
      <c r="L624" s="70">
        <f>IF($A624="","",B624-D624)</f>
        <v/>
      </c>
      <c r="M624" s="71">
        <f>IF($A624="","",J624-K624)</f>
        <v/>
      </c>
      <c r="N624" s="71">
        <f>IF($A624="","",IF(G624="",0,G624))</f>
        <v/>
      </c>
      <c r="O624" s="70">
        <f>IF($A624="","",D624+F624)</f>
        <v/>
      </c>
      <c r="P624" s="71">
        <f>IF($A624="","",K624+N624)</f>
        <v/>
      </c>
      <c r="Q624" s="70">
        <f>IF($A624="","",I624+L624-F624)</f>
        <v/>
      </c>
      <c r="R624" s="72">
        <f>IF($A624="","",IF(H624="",Q624,H624))</f>
        <v/>
      </c>
      <c r="S624" s="73">
        <f>IF($A624="","",R624-Q624)</f>
        <v/>
      </c>
      <c r="T624" s="70">
        <f>IF($A624="","",SUMIFS($B$5:$B$800,$A$5:$A$800,"&gt;="&amp;DATE(YEAR($A624),MONTH($A624),1),$A$5:$A$800,"&lt;="&amp;$A624)+IF(AND(YEAR($A624)=YEAR(Settings!$B$3),MONTH($A624)=MONTH(Settings!$B$3)),Settings!$B$6,0))</f>
        <v/>
      </c>
      <c r="U624" s="71">
        <f>IF($A624="","",SUMIFS($J$5:$J$800,$A$5:$A$800,"&gt;="&amp;DATE(YEAR($A624),MONTH($A624),1),$A$5:$A$800,"&lt;="&amp;$A624)+IF(AND(YEAR($A624)=YEAR(Settings!$B$3),MONTH($A624)=MONTH(Settings!$B$3)),Settings!$B$7,0))</f>
        <v/>
      </c>
      <c r="V624" s="70">
        <f>IF($A624="","",Settings!$B$8+SUM($B$5:B624))</f>
        <v/>
      </c>
      <c r="W624" s="71">
        <f>IF($A624="","",Settings!$B$9+SUM($J$5:J624))</f>
        <v/>
      </c>
      <c r="X624" s="71">
        <f>IF($A624="","",IF(AND(N624&gt;0,F624&gt;0),ROUND(F624/N624,0),X623))</f>
        <v/>
      </c>
      <c r="Y624" s="74">
        <f>IF($A624="","",IF(AND(M624&gt;0,L624&gt;0),ROUND(L624/M624,0),IF(AND(J624&gt;0,B624&gt;0),ROUND(B624/J624,0),Y623)))</f>
        <v/>
      </c>
    </row>
    <row r="625">
      <c r="A625" s="67" t="n"/>
      <c r="B625" s="68" t="n"/>
      <c r="C625" s="69" t="n"/>
      <c r="D625" s="68" t="n"/>
      <c r="E625" s="69" t="n"/>
      <c r="F625" s="68" t="n"/>
      <c r="G625" s="69" t="n"/>
      <c r="H625" s="68" t="n"/>
      <c r="I625" s="70">
        <f>IF($A625="","",R624)</f>
        <v/>
      </c>
      <c r="J625" s="71">
        <f>IF($A625="","",IF(C625="",0,C625))</f>
        <v/>
      </c>
      <c r="K625" s="71">
        <f>IF($A625="","",IF(E625="",0,E625))</f>
        <v/>
      </c>
      <c r="L625" s="70">
        <f>IF($A625="","",B625-D625)</f>
        <v/>
      </c>
      <c r="M625" s="71">
        <f>IF($A625="","",J625-K625)</f>
        <v/>
      </c>
      <c r="N625" s="71">
        <f>IF($A625="","",IF(G625="",0,G625))</f>
        <v/>
      </c>
      <c r="O625" s="70">
        <f>IF($A625="","",D625+F625)</f>
        <v/>
      </c>
      <c r="P625" s="71">
        <f>IF($A625="","",K625+N625)</f>
        <v/>
      </c>
      <c r="Q625" s="70">
        <f>IF($A625="","",I625+L625-F625)</f>
        <v/>
      </c>
      <c r="R625" s="72">
        <f>IF($A625="","",IF(H625="",Q625,H625))</f>
        <v/>
      </c>
      <c r="S625" s="73">
        <f>IF($A625="","",R625-Q625)</f>
        <v/>
      </c>
      <c r="T625" s="70">
        <f>IF($A625="","",SUMIFS($B$5:$B$800,$A$5:$A$800,"&gt;="&amp;DATE(YEAR($A625),MONTH($A625),1),$A$5:$A$800,"&lt;="&amp;$A625)+IF(AND(YEAR($A625)=YEAR(Settings!$B$3),MONTH($A625)=MONTH(Settings!$B$3)),Settings!$B$6,0))</f>
        <v/>
      </c>
      <c r="U625" s="71">
        <f>IF($A625="","",SUMIFS($J$5:$J$800,$A$5:$A$800,"&gt;="&amp;DATE(YEAR($A625),MONTH($A625),1),$A$5:$A$800,"&lt;="&amp;$A625)+IF(AND(YEAR($A625)=YEAR(Settings!$B$3),MONTH($A625)=MONTH(Settings!$B$3)),Settings!$B$7,0))</f>
        <v/>
      </c>
      <c r="V625" s="70">
        <f>IF($A625="","",Settings!$B$8+SUM($B$5:B625))</f>
        <v/>
      </c>
      <c r="W625" s="71">
        <f>IF($A625="","",Settings!$B$9+SUM($J$5:J625))</f>
        <v/>
      </c>
      <c r="X625" s="71">
        <f>IF($A625="","",IF(AND(N625&gt;0,F625&gt;0),ROUND(F625/N625,0),X624))</f>
        <v/>
      </c>
      <c r="Y625" s="74">
        <f>IF($A625="","",IF(AND(M625&gt;0,L625&gt;0),ROUND(L625/M625,0),IF(AND(J625&gt;0,B625&gt;0),ROUND(B625/J625,0),Y624)))</f>
        <v/>
      </c>
    </row>
    <row r="626">
      <c r="A626" s="67" t="n"/>
      <c r="B626" s="68" t="n"/>
      <c r="C626" s="69" t="n"/>
      <c r="D626" s="68" t="n"/>
      <c r="E626" s="69" t="n"/>
      <c r="F626" s="68" t="n"/>
      <c r="G626" s="69" t="n"/>
      <c r="H626" s="68" t="n"/>
      <c r="I626" s="70">
        <f>IF($A626="","",R625)</f>
        <v/>
      </c>
      <c r="J626" s="71">
        <f>IF($A626="","",IF(C626="",0,C626))</f>
        <v/>
      </c>
      <c r="K626" s="71">
        <f>IF($A626="","",IF(E626="",0,E626))</f>
        <v/>
      </c>
      <c r="L626" s="70">
        <f>IF($A626="","",B626-D626)</f>
        <v/>
      </c>
      <c r="M626" s="71">
        <f>IF($A626="","",J626-K626)</f>
        <v/>
      </c>
      <c r="N626" s="71">
        <f>IF($A626="","",IF(G626="",0,G626))</f>
        <v/>
      </c>
      <c r="O626" s="70">
        <f>IF($A626="","",D626+F626)</f>
        <v/>
      </c>
      <c r="P626" s="71">
        <f>IF($A626="","",K626+N626)</f>
        <v/>
      </c>
      <c r="Q626" s="70">
        <f>IF($A626="","",I626+L626-F626)</f>
        <v/>
      </c>
      <c r="R626" s="72">
        <f>IF($A626="","",IF(H626="",Q626,H626))</f>
        <v/>
      </c>
      <c r="S626" s="73">
        <f>IF($A626="","",R626-Q626)</f>
        <v/>
      </c>
      <c r="T626" s="70">
        <f>IF($A626="","",SUMIFS($B$5:$B$800,$A$5:$A$800,"&gt;="&amp;DATE(YEAR($A626),MONTH($A626),1),$A$5:$A$800,"&lt;="&amp;$A626)+IF(AND(YEAR($A626)=YEAR(Settings!$B$3),MONTH($A626)=MONTH(Settings!$B$3)),Settings!$B$6,0))</f>
        <v/>
      </c>
      <c r="U626" s="71">
        <f>IF($A626="","",SUMIFS($J$5:$J$800,$A$5:$A$800,"&gt;="&amp;DATE(YEAR($A626),MONTH($A626),1),$A$5:$A$800,"&lt;="&amp;$A626)+IF(AND(YEAR($A626)=YEAR(Settings!$B$3),MONTH($A626)=MONTH(Settings!$B$3)),Settings!$B$7,0))</f>
        <v/>
      </c>
      <c r="V626" s="70">
        <f>IF($A626="","",Settings!$B$8+SUM($B$5:B626))</f>
        <v/>
      </c>
      <c r="W626" s="71">
        <f>IF($A626="","",Settings!$B$9+SUM($J$5:J626))</f>
        <v/>
      </c>
      <c r="X626" s="71">
        <f>IF($A626="","",IF(AND(N626&gt;0,F626&gt;0),ROUND(F626/N626,0),X625))</f>
        <v/>
      </c>
      <c r="Y626" s="74">
        <f>IF($A626="","",IF(AND(M626&gt;0,L626&gt;0),ROUND(L626/M626,0),IF(AND(J626&gt;0,B626&gt;0),ROUND(B626/J626,0),Y625)))</f>
        <v/>
      </c>
    </row>
    <row r="627">
      <c r="A627" s="67" t="n"/>
      <c r="B627" s="68" t="n"/>
      <c r="C627" s="69" t="n"/>
      <c r="D627" s="68" t="n"/>
      <c r="E627" s="69" t="n"/>
      <c r="F627" s="68" t="n"/>
      <c r="G627" s="69" t="n"/>
      <c r="H627" s="68" t="n"/>
      <c r="I627" s="70">
        <f>IF($A627="","",R626)</f>
        <v/>
      </c>
      <c r="J627" s="71">
        <f>IF($A627="","",IF(C627="",0,C627))</f>
        <v/>
      </c>
      <c r="K627" s="71">
        <f>IF($A627="","",IF(E627="",0,E627))</f>
        <v/>
      </c>
      <c r="L627" s="70">
        <f>IF($A627="","",B627-D627)</f>
        <v/>
      </c>
      <c r="M627" s="71">
        <f>IF($A627="","",J627-K627)</f>
        <v/>
      </c>
      <c r="N627" s="71">
        <f>IF($A627="","",IF(G627="",0,G627))</f>
        <v/>
      </c>
      <c r="O627" s="70">
        <f>IF($A627="","",D627+F627)</f>
        <v/>
      </c>
      <c r="P627" s="71">
        <f>IF($A627="","",K627+N627)</f>
        <v/>
      </c>
      <c r="Q627" s="70">
        <f>IF($A627="","",I627+L627-F627)</f>
        <v/>
      </c>
      <c r="R627" s="72">
        <f>IF($A627="","",IF(H627="",Q627,H627))</f>
        <v/>
      </c>
      <c r="S627" s="73">
        <f>IF($A627="","",R627-Q627)</f>
        <v/>
      </c>
      <c r="T627" s="70">
        <f>IF($A627="","",SUMIFS($B$5:$B$800,$A$5:$A$800,"&gt;="&amp;DATE(YEAR($A627),MONTH($A627),1),$A$5:$A$800,"&lt;="&amp;$A627)+IF(AND(YEAR($A627)=YEAR(Settings!$B$3),MONTH($A627)=MONTH(Settings!$B$3)),Settings!$B$6,0))</f>
        <v/>
      </c>
      <c r="U627" s="71">
        <f>IF($A627="","",SUMIFS($J$5:$J$800,$A$5:$A$800,"&gt;="&amp;DATE(YEAR($A627),MONTH($A627),1),$A$5:$A$800,"&lt;="&amp;$A627)+IF(AND(YEAR($A627)=YEAR(Settings!$B$3),MONTH($A627)=MONTH(Settings!$B$3)),Settings!$B$7,0))</f>
        <v/>
      </c>
      <c r="V627" s="70">
        <f>IF($A627="","",Settings!$B$8+SUM($B$5:B627))</f>
        <v/>
      </c>
      <c r="W627" s="71">
        <f>IF($A627="","",Settings!$B$9+SUM($J$5:J627))</f>
        <v/>
      </c>
      <c r="X627" s="71">
        <f>IF($A627="","",IF(AND(N627&gt;0,F627&gt;0),ROUND(F627/N627,0),X626))</f>
        <v/>
      </c>
      <c r="Y627" s="74">
        <f>IF($A627="","",IF(AND(M627&gt;0,L627&gt;0),ROUND(L627/M627,0),IF(AND(J627&gt;0,B627&gt;0),ROUND(B627/J627,0),Y626)))</f>
        <v/>
      </c>
    </row>
    <row r="628">
      <c r="A628" s="67" t="n"/>
      <c r="B628" s="68" t="n"/>
      <c r="C628" s="69" t="n"/>
      <c r="D628" s="68" t="n"/>
      <c r="E628" s="69" t="n"/>
      <c r="F628" s="68" t="n"/>
      <c r="G628" s="69" t="n"/>
      <c r="H628" s="68" t="n"/>
      <c r="I628" s="70">
        <f>IF($A628="","",R627)</f>
        <v/>
      </c>
      <c r="J628" s="71">
        <f>IF($A628="","",IF(C628="",0,C628))</f>
        <v/>
      </c>
      <c r="K628" s="71">
        <f>IF($A628="","",IF(E628="",0,E628))</f>
        <v/>
      </c>
      <c r="L628" s="70">
        <f>IF($A628="","",B628-D628)</f>
        <v/>
      </c>
      <c r="M628" s="71">
        <f>IF($A628="","",J628-K628)</f>
        <v/>
      </c>
      <c r="N628" s="71">
        <f>IF($A628="","",IF(G628="",0,G628))</f>
        <v/>
      </c>
      <c r="O628" s="70">
        <f>IF($A628="","",D628+F628)</f>
        <v/>
      </c>
      <c r="P628" s="71">
        <f>IF($A628="","",K628+N628)</f>
        <v/>
      </c>
      <c r="Q628" s="70">
        <f>IF($A628="","",I628+L628-F628)</f>
        <v/>
      </c>
      <c r="R628" s="72">
        <f>IF($A628="","",IF(H628="",Q628,H628))</f>
        <v/>
      </c>
      <c r="S628" s="73">
        <f>IF($A628="","",R628-Q628)</f>
        <v/>
      </c>
      <c r="T628" s="70">
        <f>IF($A628="","",SUMIFS($B$5:$B$800,$A$5:$A$800,"&gt;="&amp;DATE(YEAR($A628),MONTH($A628),1),$A$5:$A$800,"&lt;="&amp;$A628)+IF(AND(YEAR($A628)=YEAR(Settings!$B$3),MONTH($A628)=MONTH(Settings!$B$3)),Settings!$B$6,0))</f>
        <v/>
      </c>
      <c r="U628" s="71">
        <f>IF($A628="","",SUMIFS($J$5:$J$800,$A$5:$A$800,"&gt;="&amp;DATE(YEAR($A628),MONTH($A628),1),$A$5:$A$800,"&lt;="&amp;$A628)+IF(AND(YEAR($A628)=YEAR(Settings!$B$3),MONTH($A628)=MONTH(Settings!$B$3)),Settings!$B$7,0))</f>
        <v/>
      </c>
      <c r="V628" s="70">
        <f>IF($A628="","",Settings!$B$8+SUM($B$5:B628))</f>
        <v/>
      </c>
      <c r="W628" s="71">
        <f>IF($A628="","",Settings!$B$9+SUM($J$5:J628))</f>
        <v/>
      </c>
      <c r="X628" s="71">
        <f>IF($A628="","",IF(AND(N628&gt;0,F628&gt;0),ROUND(F628/N628,0),X627))</f>
        <v/>
      </c>
      <c r="Y628" s="74">
        <f>IF($A628="","",IF(AND(M628&gt;0,L628&gt;0),ROUND(L628/M628,0),IF(AND(J628&gt;0,B628&gt;0),ROUND(B628/J628,0),Y627)))</f>
        <v/>
      </c>
    </row>
    <row r="629">
      <c r="A629" s="67" t="n"/>
      <c r="B629" s="68" t="n"/>
      <c r="C629" s="69" t="n"/>
      <c r="D629" s="68" t="n"/>
      <c r="E629" s="69" t="n"/>
      <c r="F629" s="68" t="n"/>
      <c r="G629" s="69" t="n"/>
      <c r="H629" s="68" t="n"/>
      <c r="I629" s="70">
        <f>IF($A629="","",R628)</f>
        <v/>
      </c>
      <c r="J629" s="71">
        <f>IF($A629="","",IF(C629="",0,C629))</f>
        <v/>
      </c>
      <c r="K629" s="71">
        <f>IF($A629="","",IF(E629="",0,E629))</f>
        <v/>
      </c>
      <c r="L629" s="70">
        <f>IF($A629="","",B629-D629)</f>
        <v/>
      </c>
      <c r="M629" s="71">
        <f>IF($A629="","",J629-K629)</f>
        <v/>
      </c>
      <c r="N629" s="71">
        <f>IF($A629="","",IF(G629="",0,G629))</f>
        <v/>
      </c>
      <c r="O629" s="70">
        <f>IF($A629="","",D629+F629)</f>
        <v/>
      </c>
      <c r="P629" s="71">
        <f>IF($A629="","",K629+N629)</f>
        <v/>
      </c>
      <c r="Q629" s="70">
        <f>IF($A629="","",I629+L629-F629)</f>
        <v/>
      </c>
      <c r="R629" s="72">
        <f>IF($A629="","",IF(H629="",Q629,H629))</f>
        <v/>
      </c>
      <c r="S629" s="73">
        <f>IF($A629="","",R629-Q629)</f>
        <v/>
      </c>
      <c r="T629" s="70">
        <f>IF($A629="","",SUMIFS($B$5:$B$800,$A$5:$A$800,"&gt;="&amp;DATE(YEAR($A629),MONTH($A629),1),$A$5:$A$800,"&lt;="&amp;$A629)+IF(AND(YEAR($A629)=YEAR(Settings!$B$3),MONTH($A629)=MONTH(Settings!$B$3)),Settings!$B$6,0))</f>
        <v/>
      </c>
      <c r="U629" s="71">
        <f>IF($A629="","",SUMIFS($J$5:$J$800,$A$5:$A$800,"&gt;="&amp;DATE(YEAR($A629),MONTH($A629),1),$A$5:$A$800,"&lt;="&amp;$A629)+IF(AND(YEAR($A629)=YEAR(Settings!$B$3),MONTH($A629)=MONTH(Settings!$B$3)),Settings!$B$7,0))</f>
        <v/>
      </c>
      <c r="V629" s="70">
        <f>IF($A629="","",Settings!$B$8+SUM($B$5:B629))</f>
        <v/>
      </c>
      <c r="W629" s="71">
        <f>IF($A629="","",Settings!$B$9+SUM($J$5:J629))</f>
        <v/>
      </c>
      <c r="X629" s="71">
        <f>IF($A629="","",IF(AND(N629&gt;0,F629&gt;0),ROUND(F629/N629,0),X628))</f>
        <v/>
      </c>
      <c r="Y629" s="74">
        <f>IF($A629="","",IF(AND(M629&gt;0,L629&gt;0),ROUND(L629/M629,0),IF(AND(J629&gt;0,B629&gt;0),ROUND(B629/J629,0),Y628)))</f>
        <v/>
      </c>
    </row>
    <row r="630">
      <c r="A630" s="67" t="n"/>
      <c r="B630" s="68" t="n"/>
      <c r="C630" s="69" t="n"/>
      <c r="D630" s="68" t="n"/>
      <c r="E630" s="69" t="n"/>
      <c r="F630" s="68" t="n"/>
      <c r="G630" s="69" t="n"/>
      <c r="H630" s="68" t="n"/>
      <c r="I630" s="70">
        <f>IF($A630="","",R629)</f>
        <v/>
      </c>
      <c r="J630" s="71">
        <f>IF($A630="","",IF(C630="",0,C630))</f>
        <v/>
      </c>
      <c r="K630" s="71">
        <f>IF($A630="","",IF(E630="",0,E630))</f>
        <v/>
      </c>
      <c r="L630" s="70">
        <f>IF($A630="","",B630-D630)</f>
        <v/>
      </c>
      <c r="M630" s="71">
        <f>IF($A630="","",J630-K630)</f>
        <v/>
      </c>
      <c r="N630" s="71">
        <f>IF($A630="","",IF(G630="",0,G630))</f>
        <v/>
      </c>
      <c r="O630" s="70">
        <f>IF($A630="","",D630+F630)</f>
        <v/>
      </c>
      <c r="P630" s="71">
        <f>IF($A630="","",K630+N630)</f>
        <v/>
      </c>
      <c r="Q630" s="70">
        <f>IF($A630="","",I630+L630-F630)</f>
        <v/>
      </c>
      <c r="R630" s="72">
        <f>IF($A630="","",IF(H630="",Q630,H630))</f>
        <v/>
      </c>
      <c r="S630" s="73">
        <f>IF($A630="","",R630-Q630)</f>
        <v/>
      </c>
      <c r="T630" s="70">
        <f>IF($A630="","",SUMIFS($B$5:$B$800,$A$5:$A$800,"&gt;="&amp;DATE(YEAR($A630),MONTH($A630),1),$A$5:$A$800,"&lt;="&amp;$A630)+IF(AND(YEAR($A630)=YEAR(Settings!$B$3),MONTH($A630)=MONTH(Settings!$B$3)),Settings!$B$6,0))</f>
        <v/>
      </c>
      <c r="U630" s="71">
        <f>IF($A630="","",SUMIFS($J$5:$J$800,$A$5:$A$800,"&gt;="&amp;DATE(YEAR($A630),MONTH($A630),1),$A$5:$A$800,"&lt;="&amp;$A630)+IF(AND(YEAR($A630)=YEAR(Settings!$B$3),MONTH($A630)=MONTH(Settings!$B$3)),Settings!$B$7,0))</f>
        <v/>
      </c>
      <c r="V630" s="70">
        <f>IF($A630="","",Settings!$B$8+SUM($B$5:B630))</f>
        <v/>
      </c>
      <c r="W630" s="71">
        <f>IF($A630="","",Settings!$B$9+SUM($J$5:J630))</f>
        <v/>
      </c>
      <c r="X630" s="71">
        <f>IF($A630="","",IF(AND(N630&gt;0,F630&gt;0),ROUND(F630/N630,0),X629))</f>
        <v/>
      </c>
      <c r="Y630" s="74">
        <f>IF($A630="","",IF(AND(M630&gt;0,L630&gt;0),ROUND(L630/M630,0),IF(AND(J630&gt;0,B630&gt;0),ROUND(B630/J630,0),Y629)))</f>
        <v/>
      </c>
    </row>
    <row r="631">
      <c r="A631" s="67" t="n"/>
      <c r="B631" s="68" t="n"/>
      <c r="C631" s="69" t="n"/>
      <c r="D631" s="68" t="n"/>
      <c r="E631" s="69" t="n"/>
      <c r="F631" s="68" t="n"/>
      <c r="G631" s="69" t="n"/>
      <c r="H631" s="68" t="n"/>
      <c r="I631" s="70">
        <f>IF($A631="","",R630)</f>
        <v/>
      </c>
      <c r="J631" s="71">
        <f>IF($A631="","",IF(C631="",0,C631))</f>
        <v/>
      </c>
      <c r="K631" s="71">
        <f>IF($A631="","",IF(E631="",0,E631))</f>
        <v/>
      </c>
      <c r="L631" s="70">
        <f>IF($A631="","",B631-D631)</f>
        <v/>
      </c>
      <c r="M631" s="71">
        <f>IF($A631="","",J631-K631)</f>
        <v/>
      </c>
      <c r="N631" s="71">
        <f>IF($A631="","",IF(G631="",0,G631))</f>
        <v/>
      </c>
      <c r="O631" s="70">
        <f>IF($A631="","",D631+F631)</f>
        <v/>
      </c>
      <c r="P631" s="71">
        <f>IF($A631="","",K631+N631)</f>
        <v/>
      </c>
      <c r="Q631" s="70">
        <f>IF($A631="","",I631+L631-F631)</f>
        <v/>
      </c>
      <c r="R631" s="72">
        <f>IF($A631="","",IF(H631="",Q631,H631))</f>
        <v/>
      </c>
      <c r="S631" s="73">
        <f>IF($A631="","",R631-Q631)</f>
        <v/>
      </c>
      <c r="T631" s="70">
        <f>IF($A631="","",SUMIFS($B$5:$B$800,$A$5:$A$800,"&gt;="&amp;DATE(YEAR($A631),MONTH($A631),1),$A$5:$A$800,"&lt;="&amp;$A631)+IF(AND(YEAR($A631)=YEAR(Settings!$B$3),MONTH($A631)=MONTH(Settings!$B$3)),Settings!$B$6,0))</f>
        <v/>
      </c>
      <c r="U631" s="71">
        <f>IF($A631="","",SUMIFS($J$5:$J$800,$A$5:$A$800,"&gt;="&amp;DATE(YEAR($A631),MONTH($A631),1),$A$5:$A$800,"&lt;="&amp;$A631)+IF(AND(YEAR($A631)=YEAR(Settings!$B$3),MONTH($A631)=MONTH(Settings!$B$3)),Settings!$B$7,0))</f>
        <v/>
      </c>
      <c r="V631" s="70">
        <f>IF($A631="","",Settings!$B$8+SUM($B$5:B631))</f>
        <v/>
      </c>
      <c r="W631" s="71">
        <f>IF($A631="","",Settings!$B$9+SUM($J$5:J631))</f>
        <v/>
      </c>
      <c r="X631" s="71">
        <f>IF($A631="","",IF(AND(N631&gt;0,F631&gt;0),ROUND(F631/N631,0),X630))</f>
        <v/>
      </c>
      <c r="Y631" s="74">
        <f>IF($A631="","",IF(AND(M631&gt;0,L631&gt;0),ROUND(L631/M631,0),IF(AND(J631&gt;0,B631&gt;0),ROUND(B631/J631,0),Y630)))</f>
        <v/>
      </c>
    </row>
    <row r="632">
      <c r="A632" s="67" t="n"/>
      <c r="B632" s="68" t="n"/>
      <c r="C632" s="69" t="n"/>
      <c r="D632" s="68" t="n"/>
      <c r="E632" s="69" t="n"/>
      <c r="F632" s="68" t="n"/>
      <c r="G632" s="69" t="n"/>
      <c r="H632" s="68" t="n"/>
      <c r="I632" s="70">
        <f>IF($A632="","",R631)</f>
        <v/>
      </c>
      <c r="J632" s="71">
        <f>IF($A632="","",IF(C632="",0,C632))</f>
        <v/>
      </c>
      <c r="K632" s="71">
        <f>IF($A632="","",IF(E632="",0,E632))</f>
        <v/>
      </c>
      <c r="L632" s="70">
        <f>IF($A632="","",B632-D632)</f>
        <v/>
      </c>
      <c r="M632" s="71">
        <f>IF($A632="","",J632-K632)</f>
        <v/>
      </c>
      <c r="N632" s="71">
        <f>IF($A632="","",IF(G632="",0,G632))</f>
        <v/>
      </c>
      <c r="O632" s="70">
        <f>IF($A632="","",D632+F632)</f>
        <v/>
      </c>
      <c r="P632" s="71">
        <f>IF($A632="","",K632+N632)</f>
        <v/>
      </c>
      <c r="Q632" s="70">
        <f>IF($A632="","",I632+L632-F632)</f>
        <v/>
      </c>
      <c r="R632" s="72">
        <f>IF($A632="","",IF(H632="",Q632,H632))</f>
        <v/>
      </c>
      <c r="S632" s="73">
        <f>IF($A632="","",R632-Q632)</f>
        <v/>
      </c>
      <c r="T632" s="70">
        <f>IF($A632="","",SUMIFS($B$5:$B$800,$A$5:$A$800,"&gt;="&amp;DATE(YEAR($A632),MONTH($A632),1),$A$5:$A$800,"&lt;="&amp;$A632)+IF(AND(YEAR($A632)=YEAR(Settings!$B$3),MONTH($A632)=MONTH(Settings!$B$3)),Settings!$B$6,0))</f>
        <v/>
      </c>
      <c r="U632" s="71">
        <f>IF($A632="","",SUMIFS($J$5:$J$800,$A$5:$A$800,"&gt;="&amp;DATE(YEAR($A632),MONTH($A632),1),$A$5:$A$800,"&lt;="&amp;$A632)+IF(AND(YEAR($A632)=YEAR(Settings!$B$3),MONTH($A632)=MONTH(Settings!$B$3)),Settings!$B$7,0))</f>
        <v/>
      </c>
      <c r="V632" s="70">
        <f>IF($A632="","",Settings!$B$8+SUM($B$5:B632))</f>
        <v/>
      </c>
      <c r="W632" s="71">
        <f>IF($A632="","",Settings!$B$9+SUM($J$5:J632))</f>
        <v/>
      </c>
      <c r="X632" s="71">
        <f>IF($A632="","",IF(AND(N632&gt;0,F632&gt;0),ROUND(F632/N632,0),X631))</f>
        <v/>
      </c>
      <c r="Y632" s="74">
        <f>IF($A632="","",IF(AND(M632&gt;0,L632&gt;0),ROUND(L632/M632,0),IF(AND(J632&gt;0,B632&gt;0),ROUND(B632/J632,0),Y631)))</f>
        <v/>
      </c>
    </row>
    <row r="633">
      <c r="A633" s="67" t="n"/>
      <c r="B633" s="68" t="n"/>
      <c r="C633" s="69" t="n"/>
      <c r="D633" s="68" t="n"/>
      <c r="E633" s="69" t="n"/>
      <c r="F633" s="68" t="n"/>
      <c r="G633" s="69" t="n"/>
      <c r="H633" s="68" t="n"/>
      <c r="I633" s="70">
        <f>IF($A633="","",R632)</f>
        <v/>
      </c>
      <c r="J633" s="71">
        <f>IF($A633="","",IF(C633="",0,C633))</f>
        <v/>
      </c>
      <c r="K633" s="71">
        <f>IF($A633="","",IF(E633="",0,E633))</f>
        <v/>
      </c>
      <c r="L633" s="70">
        <f>IF($A633="","",B633-D633)</f>
        <v/>
      </c>
      <c r="M633" s="71">
        <f>IF($A633="","",J633-K633)</f>
        <v/>
      </c>
      <c r="N633" s="71">
        <f>IF($A633="","",IF(G633="",0,G633))</f>
        <v/>
      </c>
      <c r="O633" s="70">
        <f>IF($A633="","",D633+F633)</f>
        <v/>
      </c>
      <c r="P633" s="71">
        <f>IF($A633="","",K633+N633)</f>
        <v/>
      </c>
      <c r="Q633" s="70">
        <f>IF($A633="","",I633+L633-F633)</f>
        <v/>
      </c>
      <c r="R633" s="72">
        <f>IF($A633="","",IF(H633="",Q633,H633))</f>
        <v/>
      </c>
      <c r="S633" s="73">
        <f>IF($A633="","",R633-Q633)</f>
        <v/>
      </c>
      <c r="T633" s="70">
        <f>IF($A633="","",SUMIFS($B$5:$B$800,$A$5:$A$800,"&gt;="&amp;DATE(YEAR($A633),MONTH($A633),1),$A$5:$A$800,"&lt;="&amp;$A633)+IF(AND(YEAR($A633)=YEAR(Settings!$B$3),MONTH($A633)=MONTH(Settings!$B$3)),Settings!$B$6,0))</f>
        <v/>
      </c>
      <c r="U633" s="71">
        <f>IF($A633="","",SUMIFS($J$5:$J$800,$A$5:$A$800,"&gt;="&amp;DATE(YEAR($A633),MONTH($A633),1),$A$5:$A$800,"&lt;="&amp;$A633)+IF(AND(YEAR($A633)=YEAR(Settings!$B$3),MONTH($A633)=MONTH(Settings!$B$3)),Settings!$B$7,0))</f>
        <v/>
      </c>
      <c r="V633" s="70">
        <f>IF($A633="","",Settings!$B$8+SUM($B$5:B633))</f>
        <v/>
      </c>
      <c r="W633" s="71">
        <f>IF($A633="","",Settings!$B$9+SUM($J$5:J633))</f>
        <v/>
      </c>
      <c r="X633" s="71">
        <f>IF($A633="","",IF(AND(N633&gt;0,F633&gt;0),ROUND(F633/N633,0),X632))</f>
        <v/>
      </c>
      <c r="Y633" s="74">
        <f>IF($A633="","",IF(AND(M633&gt;0,L633&gt;0),ROUND(L633/M633,0),IF(AND(J633&gt;0,B633&gt;0),ROUND(B633/J633,0),Y632)))</f>
        <v/>
      </c>
    </row>
    <row r="634">
      <c r="A634" s="67" t="n"/>
      <c r="B634" s="68" t="n"/>
      <c r="C634" s="69" t="n"/>
      <c r="D634" s="68" t="n"/>
      <c r="E634" s="69" t="n"/>
      <c r="F634" s="68" t="n"/>
      <c r="G634" s="69" t="n"/>
      <c r="H634" s="68" t="n"/>
      <c r="I634" s="70">
        <f>IF($A634="","",R633)</f>
        <v/>
      </c>
      <c r="J634" s="71">
        <f>IF($A634="","",IF(C634="",0,C634))</f>
        <v/>
      </c>
      <c r="K634" s="71">
        <f>IF($A634="","",IF(E634="",0,E634))</f>
        <v/>
      </c>
      <c r="L634" s="70">
        <f>IF($A634="","",B634-D634)</f>
        <v/>
      </c>
      <c r="M634" s="71">
        <f>IF($A634="","",J634-K634)</f>
        <v/>
      </c>
      <c r="N634" s="71">
        <f>IF($A634="","",IF(G634="",0,G634))</f>
        <v/>
      </c>
      <c r="O634" s="70">
        <f>IF($A634="","",D634+F634)</f>
        <v/>
      </c>
      <c r="P634" s="71">
        <f>IF($A634="","",K634+N634)</f>
        <v/>
      </c>
      <c r="Q634" s="70">
        <f>IF($A634="","",I634+L634-F634)</f>
        <v/>
      </c>
      <c r="R634" s="72">
        <f>IF($A634="","",IF(H634="",Q634,H634))</f>
        <v/>
      </c>
      <c r="S634" s="73">
        <f>IF($A634="","",R634-Q634)</f>
        <v/>
      </c>
      <c r="T634" s="70">
        <f>IF($A634="","",SUMIFS($B$5:$B$800,$A$5:$A$800,"&gt;="&amp;DATE(YEAR($A634),MONTH($A634),1),$A$5:$A$800,"&lt;="&amp;$A634)+IF(AND(YEAR($A634)=YEAR(Settings!$B$3),MONTH($A634)=MONTH(Settings!$B$3)),Settings!$B$6,0))</f>
        <v/>
      </c>
      <c r="U634" s="71">
        <f>IF($A634="","",SUMIFS($J$5:$J$800,$A$5:$A$800,"&gt;="&amp;DATE(YEAR($A634),MONTH($A634),1),$A$5:$A$800,"&lt;="&amp;$A634)+IF(AND(YEAR($A634)=YEAR(Settings!$B$3),MONTH($A634)=MONTH(Settings!$B$3)),Settings!$B$7,0))</f>
        <v/>
      </c>
      <c r="V634" s="70">
        <f>IF($A634="","",Settings!$B$8+SUM($B$5:B634))</f>
        <v/>
      </c>
      <c r="W634" s="71">
        <f>IF($A634="","",Settings!$B$9+SUM($J$5:J634))</f>
        <v/>
      </c>
      <c r="X634" s="71">
        <f>IF($A634="","",IF(AND(N634&gt;0,F634&gt;0),ROUND(F634/N634,0),X633))</f>
        <v/>
      </c>
      <c r="Y634" s="74">
        <f>IF($A634="","",IF(AND(M634&gt;0,L634&gt;0),ROUND(L634/M634,0),IF(AND(J634&gt;0,B634&gt;0),ROUND(B634/J634,0),Y633)))</f>
        <v/>
      </c>
    </row>
    <row r="635">
      <c r="A635" s="67" t="n"/>
      <c r="B635" s="68" t="n"/>
      <c r="C635" s="69" t="n"/>
      <c r="D635" s="68" t="n"/>
      <c r="E635" s="69" t="n"/>
      <c r="F635" s="68" t="n"/>
      <c r="G635" s="69" t="n"/>
      <c r="H635" s="68" t="n"/>
      <c r="I635" s="70">
        <f>IF($A635="","",R634)</f>
        <v/>
      </c>
      <c r="J635" s="71">
        <f>IF($A635="","",IF(C635="",0,C635))</f>
        <v/>
      </c>
      <c r="K635" s="71">
        <f>IF($A635="","",IF(E635="",0,E635))</f>
        <v/>
      </c>
      <c r="L635" s="70">
        <f>IF($A635="","",B635-D635)</f>
        <v/>
      </c>
      <c r="M635" s="71">
        <f>IF($A635="","",J635-K635)</f>
        <v/>
      </c>
      <c r="N635" s="71">
        <f>IF($A635="","",IF(G635="",0,G635))</f>
        <v/>
      </c>
      <c r="O635" s="70">
        <f>IF($A635="","",D635+F635)</f>
        <v/>
      </c>
      <c r="P635" s="71">
        <f>IF($A635="","",K635+N635)</f>
        <v/>
      </c>
      <c r="Q635" s="70">
        <f>IF($A635="","",I635+L635-F635)</f>
        <v/>
      </c>
      <c r="R635" s="72">
        <f>IF($A635="","",IF(H635="",Q635,H635))</f>
        <v/>
      </c>
      <c r="S635" s="73">
        <f>IF($A635="","",R635-Q635)</f>
        <v/>
      </c>
      <c r="T635" s="70">
        <f>IF($A635="","",SUMIFS($B$5:$B$800,$A$5:$A$800,"&gt;="&amp;DATE(YEAR($A635),MONTH($A635),1),$A$5:$A$800,"&lt;="&amp;$A635)+IF(AND(YEAR($A635)=YEAR(Settings!$B$3),MONTH($A635)=MONTH(Settings!$B$3)),Settings!$B$6,0))</f>
        <v/>
      </c>
      <c r="U635" s="71">
        <f>IF($A635="","",SUMIFS($J$5:$J$800,$A$5:$A$800,"&gt;="&amp;DATE(YEAR($A635),MONTH($A635),1),$A$5:$A$800,"&lt;="&amp;$A635)+IF(AND(YEAR($A635)=YEAR(Settings!$B$3),MONTH($A635)=MONTH(Settings!$B$3)),Settings!$B$7,0))</f>
        <v/>
      </c>
      <c r="V635" s="70">
        <f>IF($A635="","",Settings!$B$8+SUM($B$5:B635))</f>
        <v/>
      </c>
      <c r="W635" s="71">
        <f>IF($A635="","",Settings!$B$9+SUM($J$5:J635))</f>
        <v/>
      </c>
      <c r="X635" s="71">
        <f>IF($A635="","",IF(AND(N635&gt;0,F635&gt;0),ROUND(F635/N635,0),X634))</f>
        <v/>
      </c>
      <c r="Y635" s="74">
        <f>IF($A635="","",IF(AND(M635&gt;0,L635&gt;0),ROUND(L635/M635,0),IF(AND(J635&gt;0,B635&gt;0),ROUND(B635/J635,0),Y634)))</f>
        <v/>
      </c>
    </row>
    <row r="636">
      <c r="A636" s="67" t="n"/>
      <c r="B636" s="68" t="n"/>
      <c r="C636" s="69" t="n"/>
      <c r="D636" s="68" t="n"/>
      <c r="E636" s="69" t="n"/>
      <c r="F636" s="68" t="n"/>
      <c r="G636" s="69" t="n"/>
      <c r="H636" s="68" t="n"/>
      <c r="I636" s="70">
        <f>IF($A636="","",R635)</f>
        <v/>
      </c>
      <c r="J636" s="71">
        <f>IF($A636="","",IF(C636="",0,C636))</f>
        <v/>
      </c>
      <c r="K636" s="71">
        <f>IF($A636="","",IF(E636="",0,E636))</f>
        <v/>
      </c>
      <c r="L636" s="70">
        <f>IF($A636="","",B636-D636)</f>
        <v/>
      </c>
      <c r="M636" s="71">
        <f>IF($A636="","",J636-K636)</f>
        <v/>
      </c>
      <c r="N636" s="71">
        <f>IF($A636="","",IF(G636="",0,G636))</f>
        <v/>
      </c>
      <c r="O636" s="70">
        <f>IF($A636="","",D636+F636)</f>
        <v/>
      </c>
      <c r="P636" s="71">
        <f>IF($A636="","",K636+N636)</f>
        <v/>
      </c>
      <c r="Q636" s="70">
        <f>IF($A636="","",I636+L636-F636)</f>
        <v/>
      </c>
      <c r="R636" s="72">
        <f>IF($A636="","",IF(H636="",Q636,H636))</f>
        <v/>
      </c>
      <c r="S636" s="73">
        <f>IF($A636="","",R636-Q636)</f>
        <v/>
      </c>
      <c r="T636" s="70">
        <f>IF($A636="","",SUMIFS($B$5:$B$800,$A$5:$A$800,"&gt;="&amp;DATE(YEAR($A636),MONTH($A636),1),$A$5:$A$800,"&lt;="&amp;$A636)+IF(AND(YEAR($A636)=YEAR(Settings!$B$3),MONTH($A636)=MONTH(Settings!$B$3)),Settings!$B$6,0))</f>
        <v/>
      </c>
      <c r="U636" s="71">
        <f>IF($A636="","",SUMIFS($J$5:$J$800,$A$5:$A$800,"&gt;="&amp;DATE(YEAR($A636),MONTH($A636),1),$A$5:$A$800,"&lt;="&amp;$A636)+IF(AND(YEAR($A636)=YEAR(Settings!$B$3),MONTH($A636)=MONTH(Settings!$B$3)),Settings!$B$7,0))</f>
        <v/>
      </c>
      <c r="V636" s="70">
        <f>IF($A636="","",Settings!$B$8+SUM($B$5:B636))</f>
        <v/>
      </c>
      <c r="W636" s="71">
        <f>IF($A636="","",Settings!$B$9+SUM($J$5:J636))</f>
        <v/>
      </c>
      <c r="X636" s="71">
        <f>IF($A636="","",IF(AND(N636&gt;0,F636&gt;0),ROUND(F636/N636,0),X635))</f>
        <v/>
      </c>
      <c r="Y636" s="74">
        <f>IF($A636="","",IF(AND(M636&gt;0,L636&gt;0),ROUND(L636/M636,0),IF(AND(J636&gt;0,B636&gt;0),ROUND(B636/J636,0),Y635)))</f>
        <v/>
      </c>
    </row>
    <row r="637">
      <c r="A637" s="67" t="n"/>
      <c r="B637" s="68" t="n"/>
      <c r="C637" s="69" t="n"/>
      <c r="D637" s="68" t="n"/>
      <c r="E637" s="69" t="n"/>
      <c r="F637" s="68" t="n"/>
      <c r="G637" s="69" t="n"/>
      <c r="H637" s="68" t="n"/>
      <c r="I637" s="70">
        <f>IF($A637="","",R636)</f>
        <v/>
      </c>
      <c r="J637" s="71">
        <f>IF($A637="","",IF(C637="",0,C637))</f>
        <v/>
      </c>
      <c r="K637" s="71">
        <f>IF($A637="","",IF(E637="",0,E637))</f>
        <v/>
      </c>
      <c r="L637" s="70">
        <f>IF($A637="","",B637-D637)</f>
        <v/>
      </c>
      <c r="M637" s="71">
        <f>IF($A637="","",J637-K637)</f>
        <v/>
      </c>
      <c r="N637" s="71">
        <f>IF($A637="","",IF(G637="",0,G637))</f>
        <v/>
      </c>
      <c r="O637" s="70">
        <f>IF($A637="","",D637+F637)</f>
        <v/>
      </c>
      <c r="P637" s="71">
        <f>IF($A637="","",K637+N637)</f>
        <v/>
      </c>
      <c r="Q637" s="70">
        <f>IF($A637="","",I637+L637-F637)</f>
        <v/>
      </c>
      <c r="R637" s="72">
        <f>IF($A637="","",IF(H637="",Q637,H637))</f>
        <v/>
      </c>
      <c r="S637" s="73">
        <f>IF($A637="","",R637-Q637)</f>
        <v/>
      </c>
      <c r="T637" s="70">
        <f>IF($A637="","",SUMIFS($B$5:$B$800,$A$5:$A$800,"&gt;="&amp;DATE(YEAR($A637),MONTH($A637),1),$A$5:$A$800,"&lt;="&amp;$A637)+IF(AND(YEAR($A637)=YEAR(Settings!$B$3),MONTH($A637)=MONTH(Settings!$B$3)),Settings!$B$6,0))</f>
        <v/>
      </c>
      <c r="U637" s="71">
        <f>IF($A637="","",SUMIFS($J$5:$J$800,$A$5:$A$800,"&gt;="&amp;DATE(YEAR($A637),MONTH($A637),1),$A$5:$A$800,"&lt;="&amp;$A637)+IF(AND(YEAR($A637)=YEAR(Settings!$B$3),MONTH($A637)=MONTH(Settings!$B$3)),Settings!$B$7,0))</f>
        <v/>
      </c>
      <c r="V637" s="70">
        <f>IF($A637="","",Settings!$B$8+SUM($B$5:B637))</f>
        <v/>
      </c>
      <c r="W637" s="71">
        <f>IF($A637="","",Settings!$B$9+SUM($J$5:J637))</f>
        <v/>
      </c>
      <c r="X637" s="71">
        <f>IF($A637="","",IF(AND(N637&gt;0,F637&gt;0),ROUND(F637/N637,0),X636))</f>
        <v/>
      </c>
      <c r="Y637" s="74">
        <f>IF($A637="","",IF(AND(M637&gt;0,L637&gt;0),ROUND(L637/M637,0),IF(AND(J637&gt;0,B637&gt;0),ROUND(B637/J637,0),Y636)))</f>
        <v/>
      </c>
    </row>
    <row r="638">
      <c r="A638" s="67" t="n"/>
      <c r="B638" s="68" t="n"/>
      <c r="C638" s="69" t="n"/>
      <c r="D638" s="68" t="n"/>
      <c r="E638" s="69" t="n"/>
      <c r="F638" s="68" t="n"/>
      <c r="G638" s="69" t="n"/>
      <c r="H638" s="68" t="n"/>
      <c r="I638" s="70">
        <f>IF($A638="","",R637)</f>
        <v/>
      </c>
      <c r="J638" s="71">
        <f>IF($A638="","",IF(C638="",0,C638))</f>
        <v/>
      </c>
      <c r="K638" s="71">
        <f>IF($A638="","",IF(E638="",0,E638))</f>
        <v/>
      </c>
      <c r="L638" s="70">
        <f>IF($A638="","",B638-D638)</f>
        <v/>
      </c>
      <c r="M638" s="71">
        <f>IF($A638="","",J638-K638)</f>
        <v/>
      </c>
      <c r="N638" s="71">
        <f>IF($A638="","",IF(G638="",0,G638))</f>
        <v/>
      </c>
      <c r="O638" s="70">
        <f>IF($A638="","",D638+F638)</f>
        <v/>
      </c>
      <c r="P638" s="71">
        <f>IF($A638="","",K638+N638)</f>
        <v/>
      </c>
      <c r="Q638" s="70">
        <f>IF($A638="","",I638+L638-F638)</f>
        <v/>
      </c>
      <c r="R638" s="72">
        <f>IF($A638="","",IF(H638="",Q638,H638))</f>
        <v/>
      </c>
      <c r="S638" s="73">
        <f>IF($A638="","",R638-Q638)</f>
        <v/>
      </c>
      <c r="T638" s="70">
        <f>IF($A638="","",SUMIFS($B$5:$B$800,$A$5:$A$800,"&gt;="&amp;DATE(YEAR($A638),MONTH($A638),1),$A$5:$A$800,"&lt;="&amp;$A638)+IF(AND(YEAR($A638)=YEAR(Settings!$B$3),MONTH($A638)=MONTH(Settings!$B$3)),Settings!$B$6,0))</f>
        <v/>
      </c>
      <c r="U638" s="71">
        <f>IF($A638="","",SUMIFS($J$5:$J$800,$A$5:$A$800,"&gt;="&amp;DATE(YEAR($A638),MONTH($A638),1),$A$5:$A$800,"&lt;="&amp;$A638)+IF(AND(YEAR($A638)=YEAR(Settings!$B$3),MONTH($A638)=MONTH(Settings!$B$3)),Settings!$B$7,0))</f>
        <v/>
      </c>
      <c r="V638" s="70">
        <f>IF($A638="","",Settings!$B$8+SUM($B$5:B638))</f>
        <v/>
      </c>
      <c r="W638" s="71">
        <f>IF($A638="","",Settings!$B$9+SUM($J$5:J638))</f>
        <v/>
      </c>
      <c r="X638" s="71">
        <f>IF($A638="","",IF(AND(N638&gt;0,F638&gt;0),ROUND(F638/N638,0),X637))</f>
        <v/>
      </c>
      <c r="Y638" s="74">
        <f>IF($A638="","",IF(AND(M638&gt;0,L638&gt;0),ROUND(L638/M638,0),IF(AND(J638&gt;0,B638&gt;0),ROUND(B638/J638,0),Y637)))</f>
        <v/>
      </c>
    </row>
    <row r="639">
      <c r="A639" s="67" t="n"/>
      <c r="B639" s="68" t="n"/>
      <c r="C639" s="69" t="n"/>
      <c r="D639" s="68" t="n"/>
      <c r="E639" s="69" t="n"/>
      <c r="F639" s="68" t="n"/>
      <c r="G639" s="69" t="n"/>
      <c r="H639" s="68" t="n"/>
      <c r="I639" s="70">
        <f>IF($A639="","",R638)</f>
        <v/>
      </c>
      <c r="J639" s="71">
        <f>IF($A639="","",IF(C639="",0,C639))</f>
        <v/>
      </c>
      <c r="K639" s="71">
        <f>IF($A639="","",IF(E639="",0,E639))</f>
        <v/>
      </c>
      <c r="L639" s="70">
        <f>IF($A639="","",B639-D639)</f>
        <v/>
      </c>
      <c r="M639" s="71">
        <f>IF($A639="","",J639-K639)</f>
        <v/>
      </c>
      <c r="N639" s="71">
        <f>IF($A639="","",IF(G639="",0,G639))</f>
        <v/>
      </c>
      <c r="O639" s="70">
        <f>IF($A639="","",D639+F639)</f>
        <v/>
      </c>
      <c r="P639" s="71">
        <f>IF($A639="","",K639+N639)</f>
        <v/>
      </c>
      <c r="Q639" s="70">
        <f>IF($A639="","",I639+L639-F639)</f>
        <v/>
      </c>
      <c r="R639" s="72">
        <f>IF($A639="","",IF(H639="",Q639,H639))</f>
        <v/>
      </c>
      <c r="S639" s="73">
        <f>IF($A639="","",R639-Q639)</f>
        <v/>
      </c>
      <c r="T639" s="70">
        <f>IF($A639="","",SUMIFS($B$5:$B$800,$A$5:$A$800,"&gt;="&amp;DATE(YEAR($A639),MONTH($A639),1),$A$5:$A$800,"&lt;="&amp;$A639)+IF(AND(YEAR($A639)=YEAR(Settings!$B$3),MONTH($A639)=MONTH(Settings!$B$3)),Settings!$B$6,0))</f>
        <v/>
      </c>
      <c r="U639" s="71">
        <f>IF($A639="","",SUMIFS($J$5:$J$800,$A$5:$A$800,"&gt;="&amp;DATE(YEAR($A639),MONTH($A639),1),$A$5:$A$800,"&lt;="&amp;$A639)+IF(AND(YEAR($A639)=YEAR(Settings!$B$3),MONTH($A639)=MONTH(Settings!$B$3)),Settings!$B$7,0))</f>
        <v/>
      </c>
      <c r="V639" s="70">
        <f>IF($A639="","",Settings!$B$8+SUM($B$5:B639))</f>
        <v/>
      </c>
      <c r="W639" s="71">
        <f>IF($A639="","",Settings!$B$9+SUM($J$5:J639))</f>
        <v/>
      </c>
      <c r="X639" s="71">
        <f>IF($A639="","",IF(AND(N639&gt;0,F639&gt;0),ROUND(F639/N639,0),X638))</f>
        <v/>
      </c>
      <c r="Y639" s="74">
        <f>IF($A639="","",IF(AND(M639&gt;0,L639&gt;0),ROUND(L639/M639,0),IF(AND(J639&gt;0,B639&gt;0),ROUND(B639/J639,0),Y638)))</f>
        <v/>
      </c>
    </row>
    <row r="640">
      <c r="A640" s="67" t="n"/>
      <c r="B640" s="68" t="n"/>
      <c r="C640" s="69" t="n"/>
      <c r="D640" s="68" t="n"/>
      <c r="E640" s="69" t="n"/>
      <c r="F640" s="68" t="n"/>
      <c r="G640" s="69" t="n"/>
      <c r="H640" s="68" t="n"/>
      <c r="I640" s="70">
        <f>IF($A640="","",R639)</f>
        <v/>
      </c>
      <c r="J640" s="71">
        <f>IF($A640="","",IF(C640="",0,C640))</f>
        <v/>
      </c>
      <c r="K640" s="71">
        <f>IF($A640="","",IF(E640="",0,E640))</f>
        <v/>
      </c>
      <c r="L640" s="70">
        <f>IF($A640="","",B640-D640)</f>
        <v/>
      </c>
      <c r="M640" s="71">
        <f>IF($A640="","",J640-K640)</f>
        <v/>
      </c>
      <c r="N640" s="71">
        <f>IF($A640="","",IF(G640="",0,G640))</f>
        <v/>
      </c>
      <c r="O640" s="70">
        <f>IF($A640="","",D640+F640)</f>
        <v/>
      </c>
      <c r="P640" s="71">
        <f>IF($A640="","",K640+N640)</f>
        <v/>
      </c>
      <c r="Q640" s="70">
        <f>IF($A640="","",I640+L640-F640)</f>
        <v/>
      </c>
      <c r="R640" s="72">
        <f>IF($A640="","",IF(H640="",Q640,H640))</f>
        <v/>
      </c>
      <c r="S640" s="73">
        <f>IF($A640="","",R640-Q640)</f>
        <v/>
      </c>
      <c r="T640" s="70">
        <f>IF($A640="","",SUMIFS($B$5:$B$800,$A$5:$A$800,"&gt;="&amp;DATE(YEAR($A640),MONTH($A640),1),$A$5:$A$800,"&lt;="&amp;$A640)+IF(AND(YEAR($A640)=YEAR(Settings!$B$3),MONTH($A640)=MONTH(Settings!$B$3)),Settings!$B$6,0))</f>
        <v/>
      </c>
      <c r="U640" s="71">
        <f>IF($A640="","",SUMIFS($J$5:$J$800,$A$5:$A$800,"&gt;="&amp;DATE(YEAR($A640),MONTH($A640),1),$A$5:$A$800,"&lt;="&amp;$A640)+IF(AND(YEAR($A640)=YEAR(Settings!$B$3),MONTH($A640)=MONTH(Settings!$B$3)),Settings!$B$7,0))</f>
        <v/>
      </c>
      <c r="V640" s="70">
        <f>IF($A640="","",Settings!$B$8+SUM($B$5:B640))</f>
        <v/>
      </c>
      <c r="W640" s="71">
        <f>IF($A640="","",Settings!$B$9+SUM($J$5:J640))</f>
        <v/>
      </c>
      <c r="X640" s="71">
        <f>IF($A640="","",IF(AND(N640&gt;0,F640&gt;0),ROUND(F640/N640,0),X639))</f>
        <v/>
      </c>
      <c r="Y640" s="74">
        <f>IF($A640="","",IF(AND(M640&gt;0,L640&gt;0),ROUND(L640/M640,0),IF(AND(J640&gt;0,B640&gt;0),ROUND(B640/J640,0),Y639)))</f>
        <v/>
      </c>
    </row>
    <row r="641">
      <c r="A641" s="67" t="n"/>
      <c r="B641" s="68" t="n"/>
      <c r="C641" s="69" t="n"/>
      <c r="D641" s="68" t="n"/>
      <c r="E641" s="69" t="n"/>
      <c r="F641" s="68" t="n"/>
      <c r="G641" s="69" t="n"/>
      <c r="H641" s="68" t="n"/>
      <c r="I641" s="70">
        <f>IF($A641="","",R640)</f>
        <v/>
      </c>
      <c r="J641" s="71">
        <f>IF($A641="","",IF(C641="",0,C641))</f>
        <v/>
      </c>
      <c r="K641" s="71">
        <f>IF($A641="","",IF(E641="",0,E641))</f>
        <v/>
      </c>
      <c r="L641" s="70">
        <f>IF($A641="","",B641-D641)</f>
        <v/>
      </c>
      <c r="M641" s="71">
        <f>IF($A641="","",J641-K641)</f>
        <v/>
      </c>
      <c r="N641" s="71">
        <f>IF($A641="","",IF(G641="",0,G641))</f>
        <v/>
      </c>
      <c r="O641" s="70">
        <f>IF($A641="","",D641+F641)</f>
        <v/>
      </c>
      <c r="P641" s="71">
        <f>IF($A641="","",K641+N641)</f>
        <v/>
      </c>
      <c r="Q641" s="70">
        <f>IF($A641="","",I641+L641-F641)</f>
        <v/>
      </c>
      <c r="R641" s="72">
        <f>IF($A641="","",IF(H641="",Q641,H641))</f>
        <v/>
      </c>
      <c r="S641" s="73">
        <f>IF($A641="","",R641-Q641)</f>
        <v/>
      </c>
      <c r="T641" s="70">
        <f>IF($A641="","",SUMIFS($B$5:$B$800,$A$5:$A$800,"&gt;="&amp;DATE(YEAR($A641),MONTH($A641),1),$A$5:$A$800,"&lt;="&amp;$A641)+IF(AND(YEAR($A641)=YEAR(Settings!$B$3),MONTH($A641)=MONTH(Settings!$B$3)),Settings!$B$6,0))</f>
        <v/>
      </c>
      <c r="U641" s="71">
        <f>IF($A641="","",SUMIFS($J$5:$J$800,$A$5:$A$800,"&gt;="&amp;DATE(YEAR($A641),MONTH($A641),1),$A$5:$A$800,"&lt;="&amp;$A641)+IF(AND(YEAR($A641)=YEAR(Settings!$B$3),MONTH($A641)=MONTH(Settings!$B$3)),Settings!$B$7,0))</f>
        <v/>
      </c>
      <c r="V641" s="70">
        <f>IF($A641="","",Settings!$B$8+SUM($B$5:B641))</f>
        <v/>
      </c>
      <c r="W641" s="71">
        <f>IF($A641="","",Settings!$B$9+SUM($J$5:J641))</f>
        <v/>
      </c>
      <c r="X641" s="71">
        <f>IF($A641="","",IF(AND(N641&gt;0,F641&gt;0),ROUND(F641/N641,0),X640))</f>
        <v/>
      </c>
      <c r="Y641" s="74">
        <f>IF($A641="","",IF(AND(M641&gt;0,L641&gt;0),ROUND(L641/M641,0),IF(AND(J641&gt;0,B641&gt;0),ROUND(B641/J641,0),Y640)))</f>
        <v/>
      </c>
    </row>
    <row r="642">
      <c r="A642" s="67" t="n"/>
      <c r="B642" s="68" t="n"/>
      <c r="C642" s="69" t="n"/>
      <c r="D642" s="68" t="n"/>
      <c r="E642" s="69" t="n"/>
      <c r="F642" s="68" t="n"/>
      <c r="G642" s="69" t="n"/>
      <c r="H642" s="68" t="n"/>
      <c r="I642" s="70">
        <f>IF($A642="","",R641)</f>
        <v/>
      </c>
      <c r="J642" s="71">
        <f>IF($A642="","",IF(C642="",0,C642))</f>
        <v/>
      </c>
      <c r="K642" s="71">
        <f>IF($A642="","",IF(E642="",0,E642))</f>
        <v/>
      </c>
      <c r="L642" s="70">
        <f>IF($A642="","",B642-D642)</f>
        <v/>
      </c>
      <c r="M642" s="71">
        <f>IF($A642="","",J642-K642)</f>
        <v/>
      </c>
      <c r="N642" s="71">
        <f>IF($A642="","",IF(G642="",0,G642))</f>
        <v/>
      </c>
      <c r="O642" s="70">
        <f>IF($A642="","",D642+F642)</f>
        <v/>
      </c>
      <c r="P642" s="71">
        <f>IF($A642="","",K642+N642)</f>
        <v/>
      </c>
      <c r="Q642" s="70">
        <f>IF($A642="","",I642+L642-F642)</f>
        <v/>
      </c>
      <c r="R642" s="72">
        <f>IF($A642="","",IF(H642="",Q642,H642))</f>
        <v/>
      </c>
      <c r="S642" s="73">
        <f>IF($A642="","",R642-Q642)</f>
        <v/>
      </c>
      <c r="T642" s="70">
        <f>IF($A642="","",SUMIFS($B$5:$B$800,$A$5:$A$800,"&gt;="&amp;DATE(YEAR($A642),MONTH($A642),1),$A$5:$A$800,"&lt;="&amp;$A642)+IF(AND(YEAR($A642)=YEAR(Settings!$B$3),MONTH($A642)=MONTH(Settings!$B$3)),Settings!$B$6,0))</f>
        <v/>
      </c>
      <c r="U642" s="71">
        <f>IF($A642="","",SUMIFS($J$5:$J$800,$A$5:$A$800,"&gt;="&amp;DATE(YEAR($A642),MONTH($A642),1),$A$5:$A$800,"&lt;="&amp;$A642)+IF(AND(YEAR($A642)=YEAR(Settings!$B$3),MONTH($A642)=MONTH(Settings!$B$3)),Settings!$B$7,0))</f>
        <v/>
      </c>
      <c r="V642" s="70">
        <f>IF($A642="","",Settings!$B$8+SUM($B$5:B642))</f>
        <v/>
      </c>
      <c r="W642" s="71">
        <f>IF($A642="","",Settings!$B$9+SUM($J$5:J642))</f>
        <v/>
      </c>
      <c r="X642" s="71">
        <f>IF($A642="","",IF(AND(N642&gt;0,F642&gt;0),ROUND(F642/N642,0),X641))</f>
        <v/>
      </c>
      <c r="Y642" s="74">
        <f>IF($A642="","",IF(AND(M642&gt;0,L642&gt;0),ROUND(L642/M642,0),IF(AND(J642&gt;0,B642&gt;0),ROUND(B642/J642,0),Y641)))</f>
        <v/>
      </c>
    </row>
    <row r="643">
      <c r="A643" s="67" t="n"/>
      <c r="B643" s="68" t="n"/>
      <c r="C643" s="69" t="n"/>
      <c r="D643" s="68" t="n"/>
      <c r="E643" s="69" t="n"/>
      <c r="F643" s="68" t="n"/>
      <c r="G643" s="69" t="n"/>
      <c r="H643" s="68" t="n"/>
      <c r="I643" s="70">
        <f>IF($A643="","",R642)</f>
        <v/>
      </c>
      <c r="J643" s="71">
        <f>IF($A643="","",IF(C643="",0,C643))</f>
        <v/>
      </c>
      <c r="K643" s="71">
        <f>IF($A643="","",IF(E643="",0,E643))</f>
        <v/>
      </c>
      <c r="L643" s="70">
        <f>IF($A643="","",B643-D643)</f>
        <v/>
      </c>
      <c r="M643" s="71">
        <f>IF($A643="","",J643-K643)</f>
        <v/>
      </c>
      <c r="N643" s="71">
        <f>IF($A643="","",IF(G643="",0,G643))</f>
        <v/>
      </c>
      <c r="O643" s="70">
        <f>IF($A643="","",D643+F643)</f>
        <v/>
      </c>
      <c r="P643" s="71">
        <f>IF($A643="","",K643+N643)</f>
        <v/>
      </c>
      <c r="Q643" s="70">
        <f>IF($A643="","",I643+L643-F643)</f>
        <v/>
      </c>
      <c r="R643" s="72">
        <f>IF($A643="","",IF(H643="",Q643,H643))</f>
        <v/>
      </c>
      <c r="S643" s="73">
        <f>IF($A643="","",R643-Q643)</f>
        <v/>
      </c>
      <c r="T643" s="70">
        <f>IF($A643="","",SUMIFS($B$5:$B$800,$A$5:$A$800,"&gt;="&amp;DATE(YEAR($A643),MONTH($A643),1),$A$5:$A$800,"&lt;="&amp;$A643)+IF(AND(YEAR($A643)=YEAR(Settings!$B$3),MONTH($A643)=MONTH(Settings!$B$3)),Settings!$B$6,0))</f>
        <v/>
      </c>
      <c r="U643" s="71">
        <f>IF($A643="","",SUMIFS($J$5:$J$800,$A$5:$A$800,"&gt;="&amp;DATE(YEAR($A643),MONTH($A643),1),$A$5:$A$800,"&lt;="&amp;$A643)+IF(AND(YEAR($A643)=YEAR(Settings!$B$3),MONTH($A643)=MONTH(Settings!$B$3)),Settings!$B$7,0))</f>
        <v/>
      </c>
      <c r="V643" s="70">
        <f>IF($A643="","",Settings!$B$8+SUM($B$5:B643))</f>
        <v/>
      </c>
      <c r="W643" s="71">
        <f>IF($A643="","",Settings!$B$9+SUM($J$5:J643))</f>
        <v/>
      </c>
      <c r="X643" s="71">
        <f>IF($A643="","",IF(AND(N643&gt;0,F643&gt;0),ROUND(F643/N643,0),X642))</f>
        <v/>
      </c>
      <c r="Y643" s="74">
        <f>IF($A643="","",IF(AND(M643&gt;0,L643&gt;0),ROUND(L643/M643,0),IF(AND(J643&gt;0,B643&gt;0),ROUND(B643/J643,0),Y642)))</f>
        <v/>
      </c>
    </row>
    <row r="644">
      <c r="A644" s="67" t="n"/>
      <c r="B644" s="68" t="n"/>
      <c r="C644" s="69" t="n"/>
      <c r="D644" s="68" t="n"/>
      <c r="E644" s="69" t="n"/>
      <c r="F644" s="68" t="n"/>
      <c r="G644" s="69" t="n"/>
      <c r="H644" s="68" t="n"/>
      <c r="I644" s="70">
        <f>IF($A644="","",R643)</f>
        <v/>
      </c>
      <c r="J644" s="71">
        <f>IF($A644="","",IF(C644="",0,C644))</f>
        <v/>
      </c>
      <c r="K644" s="71">
        <f>IF($A644="","",IF(E644="",0,E644))</f>
        <v/>
      </c>
      <c r="L644" s="70">
        <f>IF($A644="","",B644-D644)</f>
        <v/>
      </c>
      <c r="M644" s="71">
        <f>IF($A644="","",J644-K644)</f>
        <v/>
      </c>
      <c r="N644" s="71">
        <f>IF($A644="","",IF(G644="",0,G644))</f>
        <v/>
      </c>
      <c r="O644" s="70">
        <f>IF($A644="","",D644+F644)</f>
        <v/>
      </c>
      <c r="P644" s="71">
        <f>IF($A644="","",K644+N644)</f>
        <v/>
      </c>
      <c r="Q644" s="70">
        <f>IF($A644="","",I644+L644-F644)</f>
        <v/>
      </c>
      <c r="R644" s="72">
        <f>IF($A644="","",IF(H644="",Q644,H644))</f>
        <v/>
      </c>
      <c r="S644" s="73">
        <f>IF($A644="","",R644-Q644)</f>
        <v/>
      </c>
      <c r="T644" s="70">
        <f>IF($A644="","",SUMIFS($B$5:$B$800,$A$5:$A$800,"&gt;="&amp;DATE(YEAR($A644),MONTH($A644),1),$A$5:$A$800,"&lt;="&amp;$A644)+IF(AND(YEAR($A644)=YEAR(Settings!$B$3),MONTH($A644)=MONTH(Settings!$B$3)),Settings!$B$6,0))</f>
        <v/>
      </c>
      <c r="U644" s="71">
        <f>IF($A644="","",SUMIFS($J$5:$J$800,$A$5:$A$800,"&gt;="&amp;DATE(YEAR($A644),MONTH($A644),1),$A$5:$A$800,"&lt;="&amp;$A644)+IF(AND(YEAR($A644)=YEAR(Settings!$B$3),MONTH($A644)=MONTH(Settings!$B$3)),Settings!$B$7,0))</f>
        <v/>
      </c>
      <c r="V644" s="70">
        <f>IF($A644="","",Settings!$B$8+SUM($B$5:B644))</f>
        <v/>
      </c>
      <c r="W644" s="71">
        <f>IF($A644="","",Settings!$B$9+SUM($J$5:J644))</f>
        <v/>
      </c>
      <c r="X644" s="71">
        <f>IF($A644="","",IF(AND(N644&gt;0,F644&gt;0),ROUND(F644/N644,0),X643))</f>
        <v/>
      </c>
      <c r="Y644" s="74">
        <f>IF($A644="","",IF(AND(M644&gt;0,L644&gt;0),ROUND(L644/M644,0),IF(AND(J644&gt;0,B644&gt;0),ROUND(B644/J644,0),Y643)))</f>
        <v/>
      </c>
    </row>
    <row r="645">
      <c r="A645" s="67" t="n"/>
      <c r="B645" s="68" t="n"/>
      <c r="C645" s="69" t="n"/>
      <c r="D645" s="68" t="n"/>
      <c r="E645" s="69" t="n"/>
      <c r="F645" s="68" t="n"/>
      <c r="G645" s="69" t="n"/>
      <c r="H645" s="68" t="n"/>
      <c r="I645" s="70">
        <f>IF($A645="","",R644)</f>
        <v/>
      </c>
      <c r="J645" s="71">
        <f>IF($A645="","",IF(C645="",0,C645))</f>
        <v/>
      </c>
      <c r="K645" s="71">
        <f>IF($A645="","",IF(E645="",0,E645))</f>
        <v/>
      </c>
      <c r="L645" s="70">
        <f>IF($A645="","",B645-D645)</f>
        <v/>
      </c>
      <c r="M645" s="71">
        <f>IF($A645="","",J645-K645)</f>
        <v/>
      </c>
      <c r="N645" s="71">
        <f>IF($A645="","",IF(G645="",0,G645))</f>
        <v/>
      </c>
      <c r="O645" s="70">
        <f>IF($A645="","",D645+F645)</f>
        <v/>
      </c>
      <c r="P645" s="71">
        <f>IF($A645="","",K645+N645)</f>
        <v/>
      </c>
      <c r="Q645" s="70">
        <f>IF($A645="","",I645+L645-F645)</f>
        <v/>
      </c>
      <c r="R645" s="72">
        <f>IF($A645="","",IF(H645="",Q645,H645))</f>
        <v/>
      </c>
      <c r="S645" s="73">
        <f>IF($A645="","",R645-Q645)</f>
        <v/>
      </c>
      <c r="T645" s="70">
        <f>IF($A645="","",SUMIFS($B$5:$B$800,$A$5:$A$800,"&gt;="&amp;DATE(YEAR($A645),MONTH($A645),1),$A$5:$A$800,"&lt;="&amp;$A645)+IF(AND(YEAR($A645)=YEAR(Settings!$B$3),MONTH($A645)=MONTH(Settings!$B$3)),Settings!$B$6,0))</f>
        <v/>
      </c>
      <c r="U645" s="71">
        <f>IF($A645="","",SUMIFS($J$5:$J$800,$A$5:$A$800,"&gt;="&amp;DATE(YEAR($A645),MONTH($A645),1),$A$5:$A$800,"&lt;="&amp;$A645)+IF(AND(YEAR($A645)=YEAR(Settings!$B$3),MONTH($A645)=MONTH(Settings!$B$3)),Settings!$B$7,0))</f>
        <v/>
      </c>
      <c r="V645" s="70">
        <f>IF($A645="","",Settings!$B$8+SUM($B$5:B645))</f>
        <v/>
      </c>
      <c r="W645" s="71">
        <f>IF($A645="","",Settings!$B$9+SUM($J$5:J645))</f>
        <v/>
      </c>
      <c r="X645" s="71">
        <f>IF($A645="","",IF(AND(N645&gt;0,F645&gt;0),ROUND(F645/N645,0),X644))</f>
        <v/>
      </c>
      <c r="Y645" s="74">
        <f>IF($A645="","",IF(AND(M645&gt;0,L645&gt;0),ROUND(L645/M645,0),IF(AND(J645&gt;0,B645&gt;0),ROUND(B645/J645,0),Y644)))</f>
        <v/>
      </c>
    </row>
    <row r="646">
      <c r="A646" s="67" t="n"/>
      <c r="B646" s="68" t="n"/>
      <c r="C646" s="69" t="n"/>
      <c r="D646" s="68" t="n"/>
      <c r="E646" s="69" t="n"/>
      <c r="F646" s="68" t="n"/>
      <c r="G646" s="69" t="n"/>
      <c r="H646" s="68" t="n"/>
      <c r="I646" s="70">
        <f>IF($A646="","",R645)</f>
        <v/>
      </c>
      <c r="J646" s="71">
        <f>IF($A646="","",IF(C646="",0,C646))</f>
        <v/>
      </c>
      <c r="K646" s="71">
        <f>IF($A646="","",IF(E646="",0,E646))</f>
        <v/>
      </c>
      <c r="L646" s="70">
        <f>IF($A646="","",B646-D646)</f>
        <v/>
      </c>
      <c r="M646" s="71">
        <f>IF($A646="","",J646-K646)</f>
        <v/>
      </c>
      <c r="N646" s="71">
        <f>IF($A646="","",IF(G646="",0,G646))</f>
        <v/>
      </c>
      <c r="O646" s="70">
        <f>IF($A646="","",D646+F646)</f>
        <v/>
      </c>
      <c r="P646" s="71">
        <f>IF($A646="","",K646+N646)</f>
        <v/>
      </c>
      <c r="Q646" s="70">
        <f>IF($A646="","",I646+L646-F646)</f>
        <v/>
      </c>
      <c r="R646" s="72">
        <f>IF($A646="","",IF(H646="",Q646,H646))</f>
        <v/>
      </c>
      <c r="S646" s="73">
        <f>IF($A646="","",R646-Q646)</f>
        <v/>
      </c>
      <c r="T646" s="70">
        <f>IF($A646="","",SUMIFS($B$5:$B$800,$A$5:$A$800,"&gt;="&amp;DATE(YEAR($A646),MONTH($A646),1),$A$5:$A$800,"&lt;="&amp;$A646)+IF(AND(YEAR($A646)=YEAR(Settings!$B$3),MONTH($A646)=MONTH(Settings!$B$3)),Settings!$B$6,0))</f>
        <v/>
      </c>
      <c r="U646" s="71">
        <f>IF($A646="","",SUMIFS($J$5:$J$800,$A$5:$A$800,"&gt;="&amp;DATE(YEAR($A646),MONTH($A646),1),$A$5:$A$800,"&lt;="&amp;$A646)+IF(AND(YEAR($A646)=YEAR(Settings!$B$3),MONTH($A646)=MONTH(Settings!$B$3)),Settings!$B$7,0))</f>
        <v/>
      </c>
      <c r="V646" s="70">
        <f>IF($A646="","",Settings!$B$8+SUM($B$5:B646))</f>
        <v/>
      </c>
      <c r="W646" s="71">
        <f>IF($A646="","",Settings!$B$9+SUM($J$5:J646))</f>
        <v/>
      </c>
      <c r="X646" s="71">
        <f>IF($A646="","",IF(AND(N646&gt;0,F646&gt;0),ROUND(F646/N646,0),X645))</f>
        <v/>
      </c>
      <c r="Y646" s="74">
        <f>IF($A646="","",IF(AND(M646&gt;0,L646&gt;0),ROUND(L646/M646,0),IF(AND(J646&gt;0,B646&gt;0),ROUND(B646/J646,0),Y645)))</f>
        <v/>
      </c>
    </row>
    <row r="647">
      <c r="A647" s="67" t="n"/>
      <c r="B647" s="68" t="n"/>
      <c r="C647" s="69" t="n"/>
      <c r="D647" s="68" t="n"/>
      <c r="E647" s="69" t="n"/>
      <c r="F647" s="68" t="n"/>
      <c r="G647" s="69" t="n"/>
      <c r="H647" s="68" t="n"/>
      <c r="I647" s="70">
        <f>IF($A647="","",R646)</f>
        <v/>
      </c>
      <c r="J647" s="71">
        <f>IF($A647="","",IF(C647="",0,C647))</f>
        <v/>
      </c>
      <c r="K647" s="71">
        <f>IF($A647="","",IF(E647="",0,E647))</f>
        <v/>
      </c>
      <c r="L647" s="70">
        <f>IF($A647="","",B647-D647)</f>
        <v/>
      </c>
      <c r="M647" s="71">
        <f>IF($A647="","",J647-K647)</f>
        <v/>
      </c>
      <c r="N647" s="71">
        <f>IF($A647="","",IF(G647="",0,G647))</f>
        <v/>
      </c>
      <c r="O647" s="70">
        <f>IF($A647="","",D647+F647)</f>
        <v/>
      </c>
      <c r="P647" s="71">
        <f>IF($A647="","",K647+N647)</f>
        <v/>
      </c>
      <c r="Q647" s="70">
        <f>IF($A647="","",I647+L647-F647)</f>
        <v/>
      </c>
      <c r="R647" s="72">
        <f>IF($A647="","",IF(H647="",Q647,H647))</f>
        <v/>
      </c>
      <c r="S647" s="73">
        <f>IF($A647="","",R647-Q647)</f>
        <v/>
      </c>
      <c r="T647" s="70">
        <f>IF($A647="","",SUMIFS($B$5:$B$800,$A$5:$A$800,"&gt;="&amp;DATE(YEAR($A647),MONTH($A647),1),$A$5:$A$800,"&lt;="&amp;$A647)+IF(AND(YEAR($A647)=YEAR(Settings!$B$3),MONTH($A647)=MONTH(Settings!$B$3)),Settings!$B$6,0))</f>
        <v/>
      </c>
      <c r="U647" s="71">
        <f>IF($A647="","",SUMIFS($J$5:$J$800,$A$5:$A$800,"&gt;="&amp;DATE(YEAR($A647),MONTH($A647),1),$A$5:$A$800,"&lt;="&amp;$A647)+IF(AND(YEAR($A647)=YEAR(Settings!$B$3),MONTH($A647)=MONTH(Settings!$B$3)),Settings!$B$7,0))</f>
        <v/>
      </c>
      <c r="V647" s="70">
        <f>IF($A647="","",Settings!$B$8+SUM($B$5:B647))</f>
        <v/>
      </c>
      <c r="W647" s="71">
        <f>IF($A647="","",Settings!$B$9+SUM($J$5:J647))</f>
        <v/>
      </c>
      <c r="X647" s="71">
        <f>IF($A647="","",IF(AND(N647&gt;0,F647&gt;0),ROUND(F647/N647,0),X646))</f>
        <v/>
      </c>
      <c r="Y647" s="74">
        <f>IF($A647="","",IF(AND(M647&gt;0,L647&gt;0),ROUND(L647/M647,0),IF(AND(J647&gt;0,B647&gt;0),ROUND(B647/J647,0),Y646)))</f>
        <v/>
      </c>
    </row>
    <row r="648">
      <c r="A648" s="67" t="n"/>
      <c r="B648" s="68" t="n"/>
      <c r="C648" s="69" t="n"/>
      <c r="D648" s="68" t="n"/>
      <c r="E648" s="69" t="n"/>
      <c r="F648" s="68" t="n"/>
      <c r="G648" s="69" t="n"/>
      <c r="H648" s="68" t="n"/>
      <c r="I648" s="70">
        <f>IF($A648="","",R647)</f>
        <v/>
      </c>
      <c r="J648" s="71">
        <f>IF($A648="","",IF(C648="",0,C648))</f>
        <v/>
      </c>
      <c r="K648" s="71">
        <f>IF($A648="","",IF(E648="",0,E648))</f>
        <v/>
      </c>
      <c r="L648" s="70">
        <f>IF($A648="","",B648-D648)</f>
        <v/>
      </c>
      <c r="M648" s="71">
        <f>IF($A648="","",J648-K648)</f>
        <v/>
      </c>
      <c r="N648" s="71">
        <f>IF($A648="","",IF(G648="",0,G648))</f>
        <v/>
      </c>
      <c r="O648" s="70">
        <f>IF($A648="","",D648+F648)</f>
        <v/>
      </c>
      <c r="P648" s="71">
        <f>IF($A648="","",K648+N648)</f>
        <v/>
      </c>
      <c r="Q648" s="70">
        <f>IF($A648="","",I648+L648-F648)</f>
        <v/>
      </c>
      <c r="R648" s="72">
        <f>IF($A648="","",IF(H648="",Q648,H648))</f>
        <v/>
      </c>
      <c r="S648" s="73">
        <f>IF($A648="","",R648-Q648)</f>
        <v/>
      </c>
      <c r="T648" s="70">
        <f>IF($A648="","",SUMIFS($B$5:$B$800,$A$5:$A$800,"&gt;="&amp;DATE(YEAR($A648),MONTH($A648),1),$A$5:$A$800,"&lt;="&amp;$A648)+IF(AND(YEAR($A648)=YEAR(Settings!$B$3),MONTH($A648)=MONTH(Settings!$B$3)),Settings!$B$6,0))</f>
        <v/>
      </c>
      <c r="U648" s="71">
        <f>IF($A648="","",SUMIFS($J$5:$J$800,$A$5:$A$800,"&gt;="&amp;DATE(YEAR($A648),MONTH($A648),1),$A$5:$A$800,"&lt;="&amp;$A648)+IF(AND(YEAR($A648)=YEAR(Settings!$B$3),MONTH($A648)=MONTH(Settings!$B$3)),Settings!$B$7,0))</f>
        <v/>
      </c>
      <c r="V648" s="70">
        <f>IF($A648="","",Settings!$B$8+SUM($B$5:B648))</f>
        <v/>
      </c>
      <c r="W648" s="71">
        <f>IF($A648="","",Settings!$B$9+SUM($J$5:J648))</f>
        <v/>
      </c>
      <c r="X648" s="71">
        <f>IF($A648="","",IF(AND(N648&gt;0,F648&gt;0),ROUND(F648/N648,0),X647))</f>
        <v/>
      </c>
      <c r="Y648" s="74">
        <f>IF($A648="","",IF(AND(M648&gt;0,L648&gt;0),ROUND(L648/M648,0),IF(AND(J648&gt;0,B648&gt;0),ROUND(B648/J648,0),Y647)))</f>
        <v/>
      </c>
    </row>
    <row r="649">
      <c r="A649" s="67" t="n"/>
      <c r="B649" s="68" t="n"/>
      <c r="C649" s="69" t="n"/>
      <c r="D649" s="68" t="n"/>
      <c r="E649" s="69" t="n"/>
      <c r="F649" s="68" t="n"/>
      <c r="G649" s="69" t="n"/>
      <c r="H649" s="68" t="n"/>
      <c r="I649" s="70">
        <f>IF($A649="","",R648)</f>
        <v/>
      </c>
      <c r="J649" s="71">
        <f>IF($A649="","",IF(C649="",0,C649))</f>
        <v/>
      </c>
      <c r="K649" s="71">
        <f>IF($A649="","",IF(E649="",0,E649))</f>
        <v/>
      </c>
      <c r="L649" s="70">
        <f>IF($A649="","",B649-D649)</f>
        <v/>
      </c>
      <c r="M649" s="71">
        <f>IF($A649="","",J649-K649)</f>
        <v/>
      </c>
      <c r="N649" s="71">
        <f>IF($A649="","",IF(G649="",0,G649))</f>
        <v/>
      </c>
      <c r="O649" s="70">
        <f>IF($A649="","",D649+F649)</f>
        <v/>
      </c>
      <c r="P649" s="71">
        <f>IF($A649="","",K649+N649)</f>
        <v/>
      </c>
      <c r="Q649" s="70">
        <f>IF($A649="","",I649+L649-F649)</f>
        <v/>
      </c>
      <c r="R649" s="72">
        <f>IF($A649="","",IF(H649="",Q649,H649))</f>
        <v/>
      </c>
      <c r="S649" s="73">
        <f>IF($A649="","",R649-Q649)</f>
        <v/>
      </c>
      <c r="T649" s="70">
        <f>IF($A649="","",SUMIFS($B$5:$B$800,$A$5:$A$800,"&gt;="&amp;DATE(YEAR($A649),MONTH($A649),1),$A$5:$A$800,"&lt;="&amp;$A649)+IF(AND(YEAR($A649)=YEAR(Settings!$B$3),MONTH($A649)=MONTH(Settings!$B$3)),Settings!$B$6,0))</f>
        <v/>
      </c>
      <c r="U649" s="71">
        <f>IF($A649="","",SUMIFS($J$5:$J$800,$A$5:$A$800,"&gt;="&amp;DATE(YEAR($A649),MONTH($A649),1),$A$5:$A$800,"&lt;="&amp;$A649)+IF(AND(YEAR($A649)=YEAR(Settings!$B$3),MONTH($A649)=MONTH(Settings!$B$3)),Settings!$B$7,0))</f>
        <v/>
      </c>
      <c r="V649" s="70">
        <f>IF($A649="","",Settings!$B$8+SUM($B$5:B649))</f>
        <v/>
      </c>
      <c r="W649" s="71">
        <f>IF($A649="","",Settings!$B$9+SUM($J$5:J649))</f>
        <v/>
      </c>
      <c r="X649" s="71">
        <f>IF($A649="","",IF(AND(N649&gt;0,F649&gt;0),ROUND(F649/N649,0),X648))</f>
        <v/>
      </c>
      <c r="Y649" s="74">
        <f>IF($A649="","",IF(AND(M649&gt;0,L649&gt;0),ROUND(L649/M649,0),IF(AND(J649&gt;0,B649&gt;0),ROUND(B649/J649,0),Y648)))</f>
        <v/>
      </c>
    </row>
    <row r="650">
      <c r="A650" s="67" t="n"/>
      <c r="B650" s="68" t="n"/>
      <c r="C650" s="69" t="n"/>
      <c r="D650" s="68" t="n"/>
      <c r="E650" s="69" t="n"/>
      <c r="F650" s="68" t="n"/>
      <c r="G650" s="69" t="n"/>
      <c r="H650" s="68" t="n"/>
      <c r="I650" s="70">
        <f>IF($A650="","",R649)</f>
        <v/>
      </c>
      <c r="J650" s="71">
        <f>IF($A650="","",IF(C650="",0,C650))</f>
        <v/>
      </c>
      <c r="K650" s="71">
        <f>IF($A650="","",IF(E650="",0,E650))</f>
        <v/>
      </c>
      <c r="L650" s="70">
        <f>IF($A650="","",B650-D650)</f>
        <v/>
      </c>
      <c r="M650" s="71">
        <f>IF($A650="","",J650-K650)</f>
        <v/>
      </c>
      <c r="N650" s="71">
        <f>IF($A650="","",IF(G650="",0,G650))</f>
        <v/>
      </c>
      <c r="O650" s="70">
        <f>IF($A650="","",D650+F650)</f>
        <v/>
      </c>
      <c r="P650" s="71">
        <f>IF($A650="","",K650+N650)</f>
        <v/>
      </c>
      <c r="Q650" s="70">
        <f>IF($A650="","",I650+L650-F650)</f>
        <v/>
      </c>
      <c r="R650" s="72">
        <f>IF($A650="","",IF(H650="",Q650,H650))</f>
        <v/>
      </c>
      <c r="S650" s="73">
        <f>IF($A650="","",R650-Q650)</f>
        <v/>
      </c>
      <c r="T650" s="70">
        <f>IF($A650="","",SUMIFS($B$5:$B$800,$A$5:$A$800,"&gt;="&amp;DATE(YEAR($A650),MONTH($A650),1),$A$5:$A$800,"&lt;="&amp;$A650)+IF(AND(YEAR($A650)=YEAR(Settings!$B$3),MONTH($A650)=MONTH(Settings!$B$3)),Settings!$B$6,0))</f>
        <v/>
      </c>
      <c r="U650" s="71">
        <f>IF($A650="","",SUMIFS($J$5:$J$800,$A$5:$A$800,"&gt;="&amp;DATE(YEAR($A650),MONTH($A650),1),$A$5:$A$800,"&lt;="&amp;$A650)+IF(AND(YEAR($A650)=YEAR(Settings!$B$3),MONTH($A650)=MONTH(Settings!$B$3)),Settings!$B$7,0))</f>
        <v/>
      </c>
      <c r="V650" s="70">
        <f>IF($A650="","",Settings!$B$8+SUM($B$5:B650))</f>
        <v/>
      </c>
      <c r="W650" s="71">
        <f>IF($A650="","",Settings!$B$9+SUM($J$5:J650))</f>
        <v/>
      </c>
      <c r="X650" s="71">
        <f>IF($A650="","",IF(AND(N650&gt;0,F650&gt;0),ROUND(F650/N650,0),X649))</f>
        <v/>
      </c>
      <c r="Y650" s="74">
        <f>IF($A650="","",IF(AND(M650&gt;0,L650&gt;0),ROUND(L650/M650,0),IF(AND(J650&gt;0,B650&gt;0),ROUND(B650/J650,0),Y649)))</f>
        <v/>
      </c>
    </row>
    <row r="651">
      <c r="A651" s="67" t="n"/>
      <c r="B651" s="68" t="n"/>
      <c r="C651" s="69" t="n"/>
      <c r="D651" s="68" t="n"/>
      <c r="E651" s="69" t="n"/>
      <c r="F651" s="68" t="n"/>
      <c r="G651" s="69" t="n"/>
      <c r="H651" s="68" t="n"/>
      <c r="I651" s="70">
        <f>IF($A651="","",R650)</f>
        <v/>
      </c>
      <c r="J651" s="71">
        <f>IF($A651="","",IF(C651="",0,C651))</f>
        <v/>
      </c>
      <c r="K651" s="71">
        <f>IF($A651="","",IF(E651="",0,E651))</f>
        <v/>
      </c>
      <c r="L651" s="70">
        <f>IF($A651="","",B651-D651)</f>
        <v/>
      </c>
      <c r="M651" s="71">
        <f>IF($A651="","",J651-K651)</f>
        <v/>
      </c>
      <c r="N651" s="71">
        <f>IF($A651="","",IF(G651="",0,G651))</f>
        <v/>
      </c>
      <c r="O651" s="70">
        <f>IF($A651="","",D651+F651)</f>
        <v/>
      </c>
      <c r="P651" s="71">
        <f>IF($A651="","",K651+N651)</f>
        <v/>
      </c>
      <c r="Q651" s="70">
        <f>IF($A651="","",I651+L651-F651)</f>
        <v/>
      </c>
      <c r="R651" s="72">
        <f>IF($A651="","",IF(H651="",Q651,H651))</f>
        <v/>
      </c>
      <c r="S651" s="73">
        <f>IF($A651="","",R651-Q651)</f>
        <v/>
      </c>
      <c r="T651" s="70">
        <f>IF($A651="","",SUMIFS($B$5:$B$800,$A$5:$A$800,"&gt;="&amp;DATE(YEAR($A651),MONTH($A651),1),$A$5:$A$800,"&lt;="&amp;$A651)+IF(AND(YEAR($A651)=YEAR(Settings!$B$3),MONTH($A651)=MONTH(Settings!$B$3)),Settings!$B$6,0))</f>
        <v/>
      </c>
      <c r="U651" s="71">
        <f>IF($A651="","",SUMIFS($J$5:$J$800,$A$5:$A$800,"&gt;="&amp;DATE(YEAR($A651),MONTH($A651),1),$A$5:$A$800,"&lt;="&amp;$A651)+IF(AND(YEAR($A651)=YEAR(Settings!$B$3),MONTH($A651)=MONTH(Settings!$B$3)),Settings!$B$7,0))</f>
        <v/>
      </c>
      <c r="V651" s="70">
        <f>IF($A651="","",Settings!$B$8+SUM($B$5:B651))</f>
        <v/>
      </c>
      <c r="W651" s="71">
        <f>IF($A651="","",Settings!$B$9+SUM($J$5:J651))</f>
        <v/>
      </c>
      <c r="X651" s="71">
        <f>IF($A651="","",IF(AND(N651&gt;0,F651&gt;0),ROUND(F651/N651,0),X650))</f>
        <v/>
      </c>
      <c r="Y651" s="74">
        <f>IF($A651="","",IF(AND(M651&gt;0,L651&gt;0),ROUND(L651/M651,0),IF(AND(J651&gt;0,B651&gt;0),ROUND(B651/J651,0),Y650)))</f>
        <v/>
      </c>
    </row>
    <row r="652">
      <c r="A652" s="67" t="n"/>
      <c r="B652" s="68" t="n"/>
      <c r="C652" s="69" t="n"/>
      <c r="D652" s="68" t="n"/>
      <c r="E652" s="69" t="n"/>
      <c r="F652" s="68" t="n"/>
      <c r="G652" s="69" t="n"/>
      <c r="H652" s="68" t="n"/>
      <c r="I652" s="70">
        <f>IF($A652="","",R651)</f>
        <v/>
      </c>
      <c r="J652" s="71">
        <f>IF($A652="","",IF(C652="",0,C652))</f>
        <v/>
      </c>
      <c r="K652" s="71">
        <f>IF($A652="","",IF(E652="",0,E652))</f>
        <v/>
      </c>
      <c r="L652" s="70">
        <f>IF($A652="","",B652-D652)</f>
        <v/>
      </c>
      <c r="M652" s="71">
        <f>IF($A652="","",J652-K652)</f>
        <v/>
      </c>
      <c r="N652" s="71">
        <f>IF($A652="","",IF(G652="",0,G652))</f>
        <v/>
      </c>
      <c r="O652" s="70">
        <f>IF($A652="","",D652+F652)</f>
        <v/>
      </c>
      <c r="P652" s="71">
        <f>IF($A652="","",K652+N652)</f>
        <v/>
      </c>
      <c r="Q652" s="70">
        <f>IF($A652="","",I652+L652-F652)</f>
        <v/>
      </c>
      <c r="R652" s="72">
        <f>IF($A652="","",IF(H652="",Q652,H652))</f>
        <v/>
      </c>
      <c r="S652" s="73">
        <f>IF($A652="","",R652-Q652)</f>
        <v/>
      </c>
      <c r="T652" s="70">
        <f>IF($A652="","",SUMIFS($B$5:$B$800,$A$5:$A$800,"&gt;="&amp;DATE(YEAR($A652),MONTH($A652),1),$A$5:$A$800,"&lt;="&amp;$A652)+IF(AND(YEAR($A652)=YEAR(Settings!$B$3),MONTH($A652)=MONTH(Settings!$B$3)),Settings!$B$6,0))</f>
        <v/>
      </c>
      <c r="U652" s="71">
        <f>IF($A652="","",SUMIFS($J$5:$J$800,$A$5:$A$800,"&gt;="&amp;DATE(YEAR($A652),MONTH($A652),1),$A$5:$A$800,"&lt;="&amp;$A652)+IF(AND(YEAR($A652)=YEAR(Settings!$B$3),MONTH($A652)=MONTH(Settings!$B$3)),Settings!$B$7,0))</f>
        <v/>
      </c>
      <c r="V652" s="70">
        <f>IF($A652="","",Settings!$B$8+SUM($B$5:B652))</f>
        <v/>
      </c>
      <c r="W652" s="71">
        <f>IF($A652="","",Settings!$B$9+SUM($J$5:J652))</f>
        <v/>
      </c>
      <c r="X652" s="71">
        <f>IF($A652="","",IF(AND(N652&gt;0,F652&gt;0),ROUND(F652/N652,0),X651))</f>
        <v/>
      </c>
      <c r="Y652" s="74">
        <f>IF($A652="","",IF(AND(M652&gt;0,L652&gt;0),ROUND(L652/M652,0),IF(AND(J652&gt;0,B652&gt;0),ROUND(B652/J652,0),Y651)))</f>
        <v/>
      </c>
    </row>
    <row r="653">
      <c r="A653" s="67" t="n"/>
      <c r="B653" s="68" t="n"/>
      <c r="C653" s="69" t="n"/>
      <c r="D653" s="68" t="n"/>
      <c r="E653" s="69" t="n"/>
      <c r="F653" s="68" t="n"/>
      <c r="G653" s="69" t="n"/>
      <c r="H653" s="68" t="n"/>
      <c r="I653" s="70">
        <f>IF($A653="","",R652)</f>
        <v/>
      </c>
      <c r="J653" s="71">
        <f>IF($A653="","",IF(C653="",0,C653))</f>
        <v/>
      </c>
      <c r="K653" s="71">
        <f>IF($A653="","",IF(E653="",0,E653))</f>
        <v/>
      </c>
      <c r="L653" s="70">
        <f>IF($A653="","",B653-D653)</f>
        <v/>
      </c>
      <c r="M653" s="71">
        <f>IF($A653="","",J653-K653)</f>
        <v/>
      </c>
      <c r="N653" s="71">
        <f>IF($A653="","",IF(G653="",0,G653))</f>
        <v/>
      </c>
      <c r="O653" s="70">
        <f>IF($A653="","",D653+F653)</f>
        <v/>
      </c>
      <c r="P653" s="71">
        <f>IF($A653="","",K653+N653)</f>
        <v/>
      </c>
      <c r="Q653" s="70">
        <f>IF($A653="","",I653+L653-F653)</f>
        <v/>
      </c>
      <c r="R653" s="72">
        <f>IF($A653="","",IF(H653="",Q653,H653))</f>
        <v/>
      </c>
      <c r="S653" s="73">
        <f>IF($A653="","",R653-Q653)</f>
        <v/>
      </c>
      <c r="T653" s="70">
        <f>IF($A653="","",SUMIFS($B$5:$B$800,$A$5:$A$800,"&gt;="&amp;DATE(YEAR($A653),MONTH($A653),1),$A$5:$A$800,"&lt;="&amp;$A653)+IF(AND(YEAR($A653)=YEAR(Settings!$B$3),MONTH($A653)=MONTH(Settings!$B$3)),Settings!$B$6,0))</f>
        <v/>
      </c>
      <c r="U653" s="71">
        <f>IF($A653="","",SUMIFS($J$5:$J$800,$A$5:$A$800,"&gt;="&amp;DATE(YEAR($A653),MONTH($A653),1),$A$5:$A$800,"&lt;="&amp;$A653)+IF(AND(YEAR($A653)=YEAR(Settings!$B$3),MONTH($A653)=MONTH(Settings!$B$3)),Settings!$B$7,0))</f>
        <v/>
      </c>
      <c r="V653" s="70">
        <f>IF($A653="","",Settings!$B$8+SUM($B$5:B653))</f>
        <v/>
      </c>
      <c r="W653" s="71">
        <f>IF($A653="","",Settings!$B$9+SUM($J$5:J653))</f>
        <v/>
      </c>
      <c r="X653" s="71">
        <f>IF($A653="","",IF(AND(N653&gt;0,F653&gt;0),ROUND(F653/N653,0),X652))</f>
        <v/>
      </c>
      <c r="Y653" s="74">
        <f>IF($A653="","",IF(AND(M653&gt;0,L653&gt;0),ROUND(L653/M653,0),IF(AND(J653&gt;0,B653&gt;0),ROUND(B653/J653,0),Y652)))</f>
        <v/>
      </c>
    </row>
    <row r="654">
      <c r="A654" s="67" t="n"/>
      <c r="B654" s="68" t="n"/>
      <c r="C654" s="69" t="n"/>
      <c r="D654" s="68" t="n"/>
      <c r="E654" s="69" t="n"/>
      <c r="F654" s="68" t="n"/>
      <c r="G654" s="69" t="n"/>
      <c r="H654" s="68" t="n"/>
      <c r="I654" s="70">
        <f>IF($A654="","",R653)</f>
        <v/>
      </c>
      <c r="J654" s="71">
        <f>IF($A654="","",IF(C654="",0,C654))</f>
        <v/>
      </c>
      <c r="K654" s="71">
        <f>IF($A654="","",IF(E654="",0,E654))</f>
        <v/>
      </c>
      <c r="L654" s="70">
        <f>IF($A654="","",B654-D654)</f>
        <v/>
      </c>
      <c r="M654" s="71">
        <f>IF($A654="","",J654-K654)</f>
        <v/>
      </c>
      <c r="N654" s="71">
        <f>IF($A654="","",IF(G654="",0,G654))</f>
        <v/>
      </c>
      <c r="O654" s="70">
        <f>IF($A654="","",D654+F654)</f>
        <v/>
      </c>
      <c r="P654" s="71">
        <f>IF($A654="","",K654+N654)</f>
        <v/>
      </c>
      <c r="Q654" s="70">
        <f>IF($A654="","",I654+L654-F654)</f>
        <v/>
      </c>
      <c r="R654" s="72">
        <f>IF($A654="","",IF(H654="",Q654,H654))</f>
        <v/>
      </c>
      <c r="S654" s="73">
        <f>IF($A654="","",R654-Q654)</f>
        <v/>
      </c>
      <c r="T654" s="70">
        <f>IF($A654="","",SUMIFS($B$5:$B$800,$A$5:$A$800,"&gt;="&amp;DATE(YEAR($A654),MONTH($A654),1),$A$5:$A$800,"&lt;="&amp;$A654)+IF(AND(YEAR($A654)=YEAR(Settings!$B$3),MONTH($A654)=MONTH(Settings!$B$3)),Settings!$B$6,0))</f>
        <v/>
      </c>
      <c r="U654" s="71">
        <f>IF($A654="","",SUMIFS($J$5:$J$800,$A$5:$A$800,"&gt;="&amp;DATE(YEAR($A654),MONTH($A654),1),$A$5:$A$800,"&lt;="&amp;$A654)+IF(AND(YEAR($A654)=YEAR(Settings!$B$3),MONTH($A654)=MONTH(Settings!$B$3)),Settings!$B$7,0))</f>
        <v/>
      </c>
      <c r="V654" s="70">
        <f>IF($A654="","",Settings!$B$8+SUM($B$5:B654))</f>
        <v/>
      </c>
      <c r="W654" s="71">
        <f>IF($A654="","",Settings!$B$9+SUM($J$5:J654))</f>
        <v/>
      </c>
      <c r="X654" s="71">
        <f>IF($A654="","",IF(AND(N654&gt;0,F654&gt;0),ROUND(F654/N654,0),X653))</f>
        <v/>
      </c>
      <c r="Y654" s="74">
        <f>IF($A654="","",IF(AND(M654&gt;0,L654&gt;0),ROUND(L654/M654,0),IF(AND(J654&gt;0,B654&gt;0),ROUND(B654/J654,0),Y653)))</f>
        <v/>
      </c>
    </row>
    <row r="655">
      <c r="A655" s="67" t="n"/>
      <c r="B655" s="68" t="n"/>
      <c r="C655" s="69" t="n"/>
      <c r="D655" s="68" t="n"/>
      <c r="E655" s="69" t="n"/>
      <c r="F655" s="68" t="n"/>
      <c r="G655" s="69" t="n"/>
      <c r="H655" s="68" t="n"/>
      <c r="I655" s="70">
        <f>IF($A655="","",R654)</f>
        <v/>
      </c>
      <c r="J655" s="71">
        <f>IF($A655="","",IF(C655="",0,C655))</f>
        <v/>
      </c>
      <c r="K655" s="71">
        <f>IF($A655="","",IF(E655="",0,E655))</f>
        <v/>
      </c>
      <c r="L655" s="70">
        <f>IF($A655="","",B655-D655)</f>
        <v/>
      </c>
      <c r="M655" s="71">
        <f>IF($A655="","",J655-K655)</f>
        <v/>
      </c>
      <c r="N655" s="71">
        <f>IF($A655="","",IF(G655="",0,G655))</f>
        <v/>
      </c>
      <c r="O655" s="70">
        <f>IF($A655="","",D655+F655)</f>
        <v/>
      </c>
      <c r="P655" s="71">
        <f>IF($A655="","",K655+N655)</f>
        <v/>
      </c>
      <c r="Q655" s="70">
        <f>IF($A655="","",I655+L655-F655)</f>
        <v/>
      </c>
      <c r="R655" s="72">
        <f>IF($A655="","",IF(H655="",Q655,H655))</f>
        <v/>
      </c>
      <c r="S655" s="73">
        <f>IF($A655="","",R655-Q655)</f>
        <v/>
      </c>
      <c r="T655" s="70">
        <f>IF($A655="","",SUMIFS($B$5:$B$800,$A$5:$A$800,"&gt;="&amp;DATE(YEAR($A655),MONTH($A655),1),$A$5:$A$800,"&lt;="&amp;$A655)+IF(AND(YEAR($A655)=YEAR(Settings!$B$3),MONTH($A655)=MONTH(Settings!$B$3)),Settings!$B$6,0))</f>
        <v/>
      </c>
      <c r="U655" s="71">
        <f>IF($A655="","",SUMIFS($J$5:$J$800,$A$5:$A$800,"&gt;="&amp;DATE(YEAR($A655),MONTH($A655),1),$A$5:$A$800,"&lt;="&amp;$A655)+IF(AND(YEAR($A655)=YEAR(Settings!$B$3),MONTH($A655)=MONTH(Settings!$B$3)),Settings!$B$7,0))</f>
        <v/>
      </c>
      <c r="V655" s="70">
        <f>IF($A655="","",Settings!$B$8+SUM($B$5:B655))</f>
        <v/>
      </c>
      <c r="W655" s="71">
        <f>IF($A655="","",Settings!$B$9+SUM($J$5:J655))</f>
        <v/>
      </c>
      <c r="X655" s="71">
        <f>IF($A655="","",IF(AND(N655&gt;0,F655&gt;0),ROUND(F655/N655,0),X654))</f>
        <v/>
      </c>
      <c r="Y655" s="74">
        <f>IF($A655="","",IF(AND(M655&gt;0,L655&gt;0),ROUND(L655/M655,0),IF(AND(J655&gt;0,B655&gt;0),ROUND(B655/J655,0),Y654)))</f>
        <v/>
      </c>
    </row>
    <row r="656">
      <c r="A656" s="67" t="n"/>
      <c r="B656" s="68" t="n"/>
      <c r="C656" s="69" t="n"/>
      <c r="D656" s="68" t="n"/>
      <c r="E656" s="69" t="n"/>
      <c r="F656" s="68" t="n"/>
      <c r="G656" s="69" t="n"/>
      <c r="H656" s="68" t="n"/>
      <c r="I656" s="70">
        <f>IF($A656="","",R655)</f>
        <v/>
      </c>
      <c r="J656" s="71">
        <f>IF($A656="","",IF(C656="",0,C656))</f>
        <v/>
      </c>
      <c r="K656" s="71">
        <f>IF($A656="","",IF(E656="",0,E656))</f>
        <v/>
      </c>
      <c r="L656" s="70">
        <f>IF($A656="","",B656-D656)</f>
        <v/>
      </c>
      <c r="M656" s="71">
        <f>IF($A656="","",J656-K656)</f>
        <v/>
      </c>
      <c r="N656" s="71">
        <f>IF($A656="","",IF(G656="",0,G656))</f>
        <v/>
      </c>
      <c r="O656" s="70">
        <f>IF($A656="","",D656+F656)</f>
        <v/>
      </c>
      <c r="P656" s="71">
        <f>IF($A656="","",K656+N656)</f>
        <v/>
      </c>
      <c r="Q656" s="70">
        <f>IF($A656="","",I656+L656-F656)</f>
        <v/>
      </c>
      <c r="R656" s="72">
        <f>IF($A656="","",IF(H656="",Q656,H656))</f>
        <v/>
      </c>
      <c r="S656" s="73">
        <f>IF($A656="","",R656-Q656)</f>
        <v/>
      </c>
      <c r="T656" s="70">
        <f>IF($A656="","",SUMIFS($B$5:$B$800,$A$5:$A$800,"&gt;="&amp;DATE(YEAR($A656),MONTH($A656),1),$A$5:$A$800,"&lt;="&amp;$A656)+IF(AND(YEAR($A656)=YEAR(Settings!$B$3),MONTH($A656)=MONTH(Settings!$B$3)),Settings!$B$6,0))</f>
        <v/>
      </c>
      <c r="U656" s="71">
        <f>IF($A656="","",SUMIFS($J$5:$J$800,$A$5:$A$800,"&gt;="&amp;DATE(YEAR($A656),MONTH($A656),1),$A$5:$A$800,"&lt;="&amp;$A656)+IF(AND(YEAR($A656)=YEAR(Settings!$B$3),MONTH($A656)=MONTH(Settings!$B$3)),Settings!$B$7,0))</f>
        <v/>
      </c>
      <c r="V656" s="70">
        <f>IF($A656="","",Settings!$B$8+SUM($B$5:B656))</f>
        <v/>
      </c>
      <c r="W656" s="71">
        <f>IF($A656="","",Settings!$B$9+SUM($J$5:J656))</f>
        <v/>
      </c>
      <c r="X656" s="71">
        <f>IF($A656="","",IF(AND(N656&gt;0,F656&gt;0),ROUND(F656/N656,0),X655))</f>
        <v/>
      </c>
      <c r="Y656" s="74">
        <f>IF($A656="","",IF(AND(M656&gt;0,L656&gt;0),ROUND(L656/M656,0),IF(AND(J656&gt;0,B656&gt;0),ROUND(B656/J656,0),Y655)))</f>
        <v/>
      </c>
    </row>
    <row r="657">
      <c r="A657" s="67" t="n"/>
      <c r="B657" s="68" t="n"/>
      <c r="C657" s="69" t="n"/>
      <c r="D657" s="68" t="n"/>
      <c r="E657" s="69" t="n"/>
      <c r="F657" s="68" t="n"/>
      <c r="G657" s="69" t="n"/>
      <c r="H657" s="68" t="n"/>
      <c r="I657" s="70">
        <f>IF($A657="","",R656)</f>
        <v/>
      </c>
      <c r="J657" s="71">
        <f>IF($A657="","",IF(C657="",0,C657))</f>
        <v/>
      </c>
      <c r="K657" s="71">
        <f>IF($A657="","",IF(E657="",0,E657))</f>
        <v/>
      </c>
      <c r="L657" s="70">
        <f>IF($A657="","",B657-D657)</f>
        <v/>
      </c>
      <c r="M657" s="71">
        <f>IF($A657="","",J657-K657)</f>
        <v/>
      </c>
      <c r="N657" s="71">
        <f>IF($A657="","",IF(G657="",0,G657))</f>
        <v/>
      </c>
      <c r="O657" s="70">
        <f>IF($A657="","",D657+F657)</f>
        <v/>
      </c>
      <c r="P657" s="71">
        <f>IF($A657="","",K657+N657)</f>
        <v/>
      </c>
      <c r="Q657" s="70">
        <f>IF($A657="","",I657+L657-F657)</f>
        <v/>
      </c>
      <c r="R657" s="72">
        <f>IF($A657="","",IF(H657="",Q657,H657))</f>
        <v/>
      </c>
      <c r="S657" s="73">
        <f>IF($A657="","",R657-Q657)</f>
        <v/>
      </c>
      <c r="T657" s="70">
        <f>IF($A657="","",SUMIFS($B$5:$B$800,$A$5:$A$800,"&gt;="&amp;DATE(YEAR($A657),MONTH($A657),1),$A$5:$A$800,"&lt;="&amp;$A657)+IF(AND(YEAR($A657)=YEAR(Settings!$B$3),MONTH($A657)=MONTH(Settings!$B$3)),Settings!$B$6,0))</f>
        <v/>
      </c>
      <c r="U657" s="71">
        <f>IF($A657="","",SUMIFS($J$5:$J$800,$A$5:$A$800,"&gt;="&amp;DATE(YEAR($A657),MONTH($A657),1),$A$5:$A$800,"&lt;="&amp;$A657)+IF(AND(YEAR($A657)=YEAR(Settings!$B$3),MONTH($A657)=MONTH(Settings!$B$3)),Settings!$B$7,0))</f>
        <v/>
      </c>
      <c r="V657" s="70">
        <f>IF($A657="","",Settings!$B$8+SUM($B$5:B657))</f>
        <v/>
      </c>
      <c r="W657" s="71">
        <f>IF($A657="","",Settings!$B$9+SUM($J$5:J657))</f>
        <v/>
      </c>
      <c r="X657" s="71">
        <f>IF($A657="","",IF(AND(N657&gt;0,F657&gt;0),ROUND(F657/N657,0),X656))</f>
        <v/>
      </c>
      <c r="Y657" s="74">
        <f>IF($A657="","",IF(AND(M657&gt;0,L657&gt;0),ROUND(L657/M657,0),IF(AND(J657&gt;0,B657&gt;0),ROUND(B657/J657,0),Y656)))</f>
        <v/>
      </c>
    </row>
    <row r="658">
      <c r="A658" s="67" t="n"/>
      <c r="B658" s="68" t="n"/>
      <c r="C658" s="69" t="n"/>
      <c r="D658" s="68" t="n"/>
      <c r="E658" s="69" t="n"/>
      <c r="F658" s="68" t="n"/>
      <c r="G658" s="69" t="n"/>
      <c r="H658" s="68" t="n"/>
      <c r="I658" s="70">
        <f>IF($A658="","",R657)</f>
        <v/>
      </c>
      <c r="J658" s="71">
        <f>IF($A658="","",IF(C658="",0,C658))</f>
        <v/>
      </c>
      <c r="K658" s="71">
        <f>IF($A658="","",IF(E658="",0,E658))</f>
        <v/>
      </c>
      <c r="L658" s="70">
        <f>IF($A658="","",B658-D658)</f>
        <v/>
      </c>
      <c r="M658" s="71">
        <f>IF($A658="","",J658-K658)</f>
        <v/>
      </c>
      <c r="N658" s="71">
        <f>IF($A658="","",IF(G658="",0,G658))</f>
        <v/>
      </c>
      <c r="O658" s="70">
        <f>IF($A658="","",D658+F658)</f>
        <v/>
      </c>
      <c r="P658" s="71">
        <f>IF($A658="","",K658+N658)</f>
        <v/>
      </c>
      <c r="Q658" s="70">
        <f>IF($A658="","",I658+L658-F658)</f>
        <v/>
      </c>
      <c r="R658" s="72">
        <f>IF($A658="","",IF(H658="",Q658,H658))</f>
        <v/>
      </c>
      <c r="S658" s="73">
        <f>IF($A658="","",R658-Q658)</f>
        <v/>
      </c>
      <c r="T658" s="70">
        <f>IF($A658="","",SUMIFS($B$5:$B$800,$A$5:$A$800,"&gt;="&amp;DATE(YEAR($A658),MONTH($A658),1),$A$5:$A$800,"&lt;="&amp;$A658)+IF(AND(YEAR($A658)=YEAR(Settings!$B$3),MONTH($A658)=MONTH(Settings!$B$3)),Settings!$B$6,0))</f>
        <v/>
      </c>
      <c r="U658" s="71">
        <f>IF($A658="","",SUMIFS($J$5:$J$800,$A$5:$A$800,"&gt;="&amp;DATE(YEAR($A658),MONTH($A658),1),$A$5:$A$800,"&lt;="&amp;$A658)+IF(AND(YEAR($A658)=YEAR(Settings!$B$3),MONTH($A658)=MONTH(Settings!$B$3)),Settings!$B$7,0))</f>
        <v/>
      </c>
      <c r="V658" s="70">
        <f>IF($A658="","",Settings!$B$8+SUM($B$5:B658))</f>
        <v/>
      </c>
      <c r="W658" s="71">
        <f>IF($A658="","",Settings!$B$9+SUM($J$5:J658))</f>
        <v/>
      </c>
      <c r="X658" s="71">
        <f>IF($A658="","",IF(AND(N658&gt;0,F658&gt;0),ROUND(F658/N658,0),X657))</f>
        <v/>
      </c>
      <c r="Y658" s="74">
        <f>IF($A658="","",IF(AND(M658&gt;0,L658&gt;0),ROUND(L658/M658,0),IF(AND(J658&gt;0,B658&gt;0),ROUND(B658/J658,0),Y657)))</f>
        <v/>
      </c>
    </row>
    <row r="659">
      <c r="A659" s="67" t="n"/>
      <c r="B659" s="68" t="n"/>
      <c r="C659" s="69" t="n"/>
      <c r="D659" s="68" t="n"/>
      <c r="E659" s="69" t="n"/>
      <c r="F659" s="68" t="n"/>
      <c r="G659" s="69" t="n"/>
      <c r="H659" s="68" t="n"/>
      <c r="I659" s="70">
        <f>IF($A659="","",R658)</f>
        <v/>
      </c>
      <c r="J659" s="71">
        <f>IF($A659="","",IF(C659="",0,C659))</f>
        <v/>
      </c>
      <c r="K659" s="71">
        <f>IF($A659="","",IF(E659="",0,E659))</f>
        <v/>
      </c>
      <c r="L659" s="70">
        <f>IF($A659="","",B659-D659)</f>
        <v/>
      </c>
      <c r="M659" s="71">
        <f>IF($A659="","",J659-K659)</f>
        <v/>
      </c>
      <c r="N659" s="71">
        <f>IF($A659="","",IF(G659="",0,G659))</f>
        <v/>
      </c>
      <c r="O659" s="70">
        <f>IF($A659="","",D659+F659)</f>
        <v/>
      </c>
      <c r="P659" s="71">
        <f>IF($A659="","",K659+N659)</f>
        <v/>
      </c>
      <c r="Q659" s="70">
        <f>IF($A659="","",I659+L659-F659)</f>
        <v/>
      </c>
      <c r="R659" s="72">
        <f>IF($A659="","",IF(H659="",Q659,H659))</f>
        <v/>
      </c>
      <c r="S659" s="73">
        <f>IF($A659="","",R659-Q659)</f>
        <v/>
      </c>
      <c r="T659" s="70">
        <f>IF($A659="","",SUMIFS($B$5:$B$800,$A$5:$A$800,"&gt;="&amp;DATE(YEAR($A659),MONTH($A659),1),$A$5:$A$800,"&lt;="&amp;$A659)+IF(AND(YEAR($A659)=YEAR(Settings!$B$3),MONTH($A659)=MONTH(Settings!$B$3)),Settings!$B$6,0))</f>
        <v/>
      </c>
      <c r="U659" s="71">
        <f>IF($A659="","",SUMIFS($J$5:$J$800,$A$5:$A$800,"&gt;="&amp;DATE(YEAR($A659),MONTH($A659),1),$A$5:$A$800,"&lt;="&amp;$A659)+IF(AND(YEAR($A659)=YEAR(Settings!$B$3),MONTH($A659)=MONTH(Settings!$B$3)),Settings!$B$7,0))</f>
        <v/>
      </c>
      <c r="V659" s="70">
        <f>IF($A659="","",Settings!$B$8+SUM($B$5:B659))</f>
        <v/>
      </c>
      <c r="W659" s="71">
        <f>IF($A659="","",Settings!$B$9+SUM($J$5:J659))</f>
        <v/>
      </c>
      <c r="X659" s="71">
        <f>IF($A659="","",IF(AND(N659&gt;0,F659&gt;0),ROUND(F659/N659,0),X658))</f>
        <v/>
      </c>
      <c r="Y659" s="74">
        <f>IF($A659="","",IF(AND(M659&gt;0,L659&gt;0),ROUND(L659/M659,0),IF(AND(J659&gt;0,B659&gt;0),ROUND(B659/J659,0),Y658)))</f>
        <v/>
      </c>
    </row>
    <row r="660">
      <c r="A660" s="67" t="n"/>
      <c r="B660" s="68" t="n"/>
      <c r="C660" s="69" t="n"/>
      <c r="D660" s="68" t="n"/>
      <c r="E660" s="69" t="n"/>
      <c r="F660" s="68" t="n"/>
      <c r="G660" s="69" t="n"/>
      <c r="H660" s="68" t="n"/>
      <c r="I660" s="70">
        <f>IF($A660="","",R659)</f>
        <v/>
      </c>
      <c r="J660" s="71">
        <f>IF($A660="","",IF(C660="",0,C660))</f>
        <v/>
      </c>
      <c r="K660" s="71">
        <f>IF($A660="","",IF(E660="",0,E660))</f>
        <v/>
      </c>
      <c r="L660" s="70">
        <f>IF($A660="","",B660-D660)</f>
        <v/>
      </c>
      <c r="M660" s="71">
        <f>IF($A660="","",J660-K660)</f>
        <v/>
      </c>
      <c r="N660" s="71">
        <f>IF($A660="","",IF(G660="",0,G660))</f>
        <v/>
      </c>
      <c r="O660" s="70">
        <f>IF($A660="","",D660+F660)</f>
        <v/>
      </c>
      <c r="P660" s="71">
        <f>IF($A660="","",K660+N660)</f>
        <v/>
      </c>
      <c r="Q660" s="70">
        <f>IF($A660="","",I660+L660-F660)</f>
        <v/>
      </c>
      <c r="R660" s="72">
        <f>IF($A660="","",IF(H660="",Q660,H660))</f>
        <v/>
      </c>
      <c r="S660" s="73">
        <f>IF($A660="","",R660-Q660)</f>
        <v/>
      </c>
      <c r="T660" s="70">
        <f>IF($A660="","",SUMIFS($B$5:$B$800,$A$5:$A$800,"&gt;="&amp;DATE(YEAR($A660),MONTH($A660),1),$A$5:$A$800,"&lt;="&amp;$A660)+IF(AND(YEAR($A660)=YEAR(Settings!$B$3),MONTH($A660)=MONTH(Settings!$B$3)),Settings!$B$6,0))</f>
        <v/>
      </c>
      <c r="U660" s="71">
        <f>IF($A660="","",SUMIFS($J$5:$J$800,$A$5:$A$800,"&gt;="&amp;DATE(YEAR($A660),MONTH($A660),1),$A$5:$A$800,"&lt;="&amp;$A660)+IF(AND(YEAR($A660)=YEAR(Settings!$B$3),MONTH($A660)=MONTH(Settings!$B$3)),Settings!$B$7,0))</f>
        <v/>
      </c>
      <c r="V660" s="70">
        <f>IF($A660="","",Settings!$B$8+SUM($B$5:B660))</f>
        <v/>
      </c>
      <c r="W660" s="71">
        <f>IF($A660="","",Settings!$B$9+SUM($J$5:J660))</f>
        <v/>
      </c>
      <c r="X660" s="71">
        <f>IF($A660="","",IF(AND(N660&gt;0,F660&gt;0),ROUND(F660/N660,0),X659))</f>
        <v/>
      </c>
      <c r="Y660" s="74">
        <f>IF($A660="","",IF(AND(M660&gt;0,L660&gt;0),ROUND(L660/M660,0),IF(AND(J660&gt;0,B660&gt;0),ROUND(B660/J660,0),Y659)))</f>
        <v/>
      </c>
    </row>
    <row r="661">
      <c r="A661" s="67" t="n"/>
      <c r="B661" s="68" t="n"/>
      <c r="C661" s="69" t="n"/>
      <c r="D661" s="68" t="n"/>
      <c r="E661" s="69" t="n"/>
      <c r="F661" s="68" t="n"/>
      <c r="G661" s="69" t="n"/>
      <c r="H661" s="68" t="n"/>
      <c r="I661" s="70">
        <f>IF($A661="","",R660)</f>
        <v/>
      </c>
      <c r="J661" s="71">
        <f>IF($A661="","",IF(C661="",0,C661))</f>
        <v/>
      </c>
      <c r="K661" s="71">
        <f>IF($A661="","",IF(E661="",0,E661))</f>
        <v/>
      </c>
      <c r="L661" s="70">
        <f>IF($A661="","",B661-D661)</f>
        <v/>
      </c>
      <c r="M661" s="71">
        <f>IF($A661="","",J661-K661)</f>
        <v/>
      </c>
      <c r="N661" s="71">
        <f>IF($A661="","",IF(G661="",0,G661))</f>
        <v/>
      </c>
      <c r="O661" s="70">
        <f>IF($A661="","",D661+F661)</f>
        <v/>
      </c>
      <c r="P661" s="71">
        <f>IF($A661="","",K661+N661)</f>
        <v/>
      </c>
      <c r="Q661" s="70">
        <f>IF($A661="","",I661+L661-F661)</f>
        <v/>
      </c>
      <c r="R661" s="72">
        <f>IF($A661="","",IF(H661="",Q661,H661))</f>
        <v/>
      </c>
      <c r="S661" s="73">
        <f>IF($A661="","",R661-Q661)</f>
        <v/>
      </c>
      <c r="T661" s="70">
        <f>IF($A661="","",SUMIFS($B$5:$B$800,$A$5:$A$800,"&gt;="&amp;DATE(YEAR($A661),MONTH($A661),1),$A$5:$A$800,"&lt;="&amp;$A661)+IF(AND(YEAR($A661)=YEAR(Settings!$B$3),MONTH($A661)=MONTH(Settings!$B$3)),Settings!$B$6,0))</f>
        <v/>
      </c>
      <c r="U661" s="71">
        <f>IF($A661="","",SUMIFS($J$5:$J$800,$A$5:$A$800,"&gt;="&amp;DATE(YEAR($A661),MONTH($A661),1),$A$5:$A$800,"&lt;="&amp;$A661)+IF(AND(YEAR($A661)=YEAR(Settings!$B$3),MONTH($A661)=MONTH(Settings!$B$3)),Settings!$B$7,0))</f>
        <v/>
      </c>
      <c r="V661" s="70">
        <f>IF($A661="","",Settings!$B$8+SUM($B$5:B661))</f>
        <v/>
      </c>
      <c r="W661" s="71">
        <f>IF($A661="","",Settings!$B$9+SUM($J$5:J661))</f>
        <v/>
      </c>
      <c r="X661" s="71">
        <f>IF($A661="","",IF(AND(N661&gt;0,F661&gt;0),ROUND(F661/N661,0),X660))</f>
        <v/>
      </c>
      <c r="Y661" s="74">
        <f>IF($A661="","",IF(AND(M661&gt;0,L661&gt;0),ROUND(L661/M661,0),IF(AND(J661&gt;0,B661&gt;0),ROUND(B661/J661,0),Y660)))</f>
        <v/>
      </c>
    </row>
    <row r="662">
      <c r="A662" s="67" t="n"/>
      <c r="B662" s="68" t="n"/>
      <c r="C662" s="69" t="n"/>
      <c r="D662" s="68" t="n"/>
      <c r="E662" s="69" t="n"/>
      <c r="F662" s="68" t="n"/>
      <c r="G662" s="69" t="n"/>
      <c r="H662" s="68" t="n"/>
      <c r="I662" s="70">
        <f>IF($A662="","",R661)</f>
        <v/>
      </c>
      <c r="J662" s="71">
        <f>IF($A662="","",IF(C662="",0,C662))</f>
        <v/>
      </c>
      <c r="K662" s="71">
        <f>IF($A662="","",IF(E662="",0,E662))</f>
        <v/>
      </c>
      <c r="L662" s="70">
        <f>IF($A662="","",B662-D662)</f>
        <v/>
      </c>
      <c r="M662" s="71">
        <f>IF($A662="","",J662-K662)</f>
        <v/>
      </c>
      <c r="N662" s="71">
        <f>IF($A662="","",IF(G662="",0,G662))</f>
        <v/>
      </c>
      <c r="O662" s="70">
        <f>IF($A662="","",D662+F662)</f>
        <v/>
      </c>
      <c r="P662" s="71">
        <f>IF($A662="","",K662+N662)</f>
        <v/>
      </c>
      <c r="Q662" s="70">
        <f>IF($A662="","",I662+L662-F662)</f>
        <v/>
      </c>
      <c r="R662" s="72">
        <f>IF($A662="","",IF(H662="",Q662,H662))</f>
        <v/>
      </c>
      <c r="S662" s="73">
        <f>IF($A662="","",R662-Q662)</f>
        <v/>
      </c>
      <c r="T662" s="70">
        <f>IF($A662="","",SUMIFS($B$5:$B$800,$A$5:$A$800,"&gt;="&amp;DATE(YEAR($A662),MONTH($A662),1),$A$5:$A$800,"&lt;="&amp;$A662)+IF(AND(YEAR($A662)=YEAR(Settings!$B$3),MONTH($A662)=MONTH(Settings!$B$3)),Settings!$B$6,0))</f>
        <v/>
      </c>
      <c r="U662" s="71">
        <f>IF($A662="","",SUMIFS($J$5:$J$800,$A$5:$A$800,"&gt;="&amp;DATE(YEAR($A662),MONTH($A662),1),$A$5:$A$800,"&lt;="&amp;$A662)+IF(AND(YEAR($A662)=YEAR(Settings!$B$3),MONTH($A662)=MONTH(Settings!$B$3)),Settings!$B$7,0))</f>
        <v/>
      </c>
      <c r="V662" s="70">
        <f>IF($A662="","",Settings!$B$8+SUM($B$5:B662))</f>
        <v/>
      </c>
      <c r="W662" s="71">
        <f>IF($A662="","",Settings!$B$9+SUM($J$5:J662))</f>
        <v/>
      </c>
      <c r="X662" s="71">
        <f>IF($A662="","",IF(AND(N662&gt;0,F662&gt;0),ROUND(F662/N662,0),X661))</f>
        <v/>
      </c>
      <c r="Y662" s="74">
        <f>IF($A662="","",IF(AND(M662&gt;0,L662&gt;0),ROUND(L662/M662,0),IF(AND(J662&gt;0,B662&gt;0),ROUND(B662/J662,0),Y661)))</f>
        <v/>
      </c>
    </row>
    <row r="663">
      <c r="A663" s="67" t="n"/>
      <c r="B663" s="68" t="n"/>
      <c r="C663" s="69" t="n"/>
      <c r="D663" s="68" t="n"/>
      <c r="E663" s="69" t="n"/>
      <c r="F663" s="68" t="n"/>
      <c r="G663" s="69" t="n"/>
      <c r="H663" s="68" t="n"/>
      <c r="I663" s="70">
        <f>IF($A663="","",R662)</f>
        <v/>
      </c>
      <c r="J663" s="71">
        <f>IF($A663="","",IF(C663="",0,C663))</f>
        <v/>
      </c>
      <c r="K663" s="71">
        <f>IF($A663="","",IF(E663="",0,E663))</f>
        <v/>
      </c>
      <c r="L663" s="70">
        <f>IF($A663="","",B663-D663)</f>
        <v/>
      </c>
      <c r="M663" s="71">
        <f>IF($A663="","",J663-K663)</f>
        <v/>
      </c>
      <c r="N663" s="71">
        <f>IF($A663="","",IF(G663="",0,G663))</f>
        <v/>
      </c>
      <c r="O663" s="70">
        <f>IF($A663="","",D663+F663)</f>
        <v/>
      </c>
      <c r="P663" s="71">
        <f>IF($A663="","",K663+N663)</f>
        <v/>
      </c>
      <c r="Q663" s="70">
        <f>IF($A663="","",I663+L663-F663)</f>
        <v/>
      </c>
      <c r="R663" s="72">
        <f>IF($A663="","",IF(H663="",Q663,H663))</f>
        <v/>
      </c>
      <c r="S663" s="73">
        <f>IF($A663="","",R663-Q663)</f>
        <v/>
      </c>
      <c r="T663" s="70">
        <f>IF($A663="","",SUMIFS($B$5:$B$800,$A$5:$A$800,"&gt;="&amp;DATE(YEAR($A663),MONTH($A663),1),$A$5:$A$800,"&lt;="&amp;$A663)+IF(AND(YEAR($A663)=YEAR(Settings!$B$3),MONTH($A663)=MONTH(Settings!$B$3)),Settings!$B$6,0))</f>
        <v/>
      </c>
      <c r="U663" s="71">
        <f>IF($A663="","",SUMIFS($J$5:$J$800,$A$5:$A$800,"&gt;="&amp;DATE(YEAR($A663),MONTH($A663),1),$A$5:$A$800,"&lt;="&amp;$A663)+IF(AND(YEAR($A663)=YEAR(Settings!$B$3),MONTH($A663)=MONTH(Settings!$B$3)),Settings!$B$7,0))</f>
        <v/>
      </c>
      <c r="V663" s="70">
        <f>IF($A663="","",Settings!$B$8+SUM($B$5:B663))</f>
        <v/>
      </c>
      <c r="W663" s="71">
        <f>IF($A663="","",Settings!$B$9+SUM($J$5:J663))</f>
        <v/>
      </c>
      <c r="X663" s="71">
        <f>IF($A663="","",IF(AND(N663&gt;0,F663&gt;0),ROUND(F663/N663,0),X662))</f>
        <v/>
      </c>
      <c r="Y663" s="74">
        <f>IF($A663="","",IF(AND(M663&gt;0,L663&gt;0),ROUND(L663/M663,0),IF(AND(J663&gt;0,B663&gt;0),ROUND(B663/J663,0),Y662)))</f>
        <v/>
      </c>
    </row>
    <row r="664">
      <c r="A664" s="67" t="n"/>
      <c r="B664" s="68" t="n"/>
      <c r="C664" s="69" t="n"/>
      <c r="D664" s="68" t="n"/>
      <c r="E664" s="69" t="n"/>
      <c r="F664" s="68" t="n"/>
      <c r="G664" s="69" t="n"/>
      <c r="H664" s="68" t="n"/>
      <c r="I664" s="70">
        <f>IF($A664="","",R663)</f>
        <v/>
      </c>
      <c r="J664" s="71">
        <f>IF($A664="","",IF(C664="",0,C664))</f>
        <v/>
      </c>
      <c r="K664" s="71">
        <f>IF($A664="","",IF(E664="",0,E664))</f>
        <v/>
      </c>
      <c r="L664" s="70">
        <f>IF($A664="","",B664-D664)</f>
        <v/>
      </c>
      <c r="M664" s="71">
        <f>IF($A664="","",J664-K664)</f>
        <v/>
      </c>
      <c r="N664" s="71">
        <f>IF($A664="","",IF(G664="",0,G664))</f>
        <v/>
      </c>
      <c r="O664" s="70">
        <f>IF($A664="","",D664+F664)</f>
        <v/>
      </c>
      <c r="P664" s="71">
        <f>IF($A664="","",K664+N664)</f>
        <v/>
      </c>
      <c r="Q664" s="70">
        <f>IF($A664="","",I664+L664-F664)</f>
        <v/>
      </c>
      <c r="R664" s="72">
        <f>IF($A664="","",IF(H664="",Q664,H664))</f>
        <v/>
      </c>
      <c r="S664" s="73">
        <f>IF($A664="","",R664-Q664)</f>
        <v/>
      </c>
      <c r="T664" s="70">
        <f>IF($A664="","",SUMIFS($B$5:$B$800,$A$5:$A$800,"&gt;="&amp;DATE(YEAR($A664),MONTH($A664),1),$A$5:$A$800,"&lt;="&amp;$A664)+IF(AND(YEAR($A664)=YEAR(Settings!$B$3),MONTH($A664)=MONTH(Settings!$B$3)),Settings!$B$6,0))</f>
        <v/>
      </c>
      <c r="U664" s="71">
        <f>IF($A664="","",SUMIFS($J$5:$J$800,$A$5:$A$800,"&gt;="&amp;DATE(YEAR($A664),MONTH($A664),1),$A$5:$A$800,"&lt;="&amp;$A664)+IF(AND(YEAR($A664)=YEAR(Settings!$B$3),MONTH($A664)=MONTH(Settings!$B$3)),Settings!$B$7,0))</f>
        <v/>
      </c>
      <c r="V664" s="70">
        <f>IF($A664="","",Settings!$B$8+SUM($B$5:B664))</f>
        <v/>
      </c>
      <c r="W664" s="71">
        <f>IF($A664="","",Settings!$B$9+SUM($J$5:J664))</f>
        <v/>
      </c>
      <c r="X664" s="71">
        <f>IF($A664="","",IF(AND(N664&gt;0,F664&gt;0),ROUND(F664/N664,0),X663))</f>
        <v/>
      </c>
      <c r="Y664" s="74">
        <f>IF($A664="","",IF(AND(M664&gt;0,L664&gt;0),ROUND(L664/M664,0),IF(AND(J664&gt;0,B664&gt;0),ROUND(B664/J664,0),Y663)))</f>
        <v/>
      </c>
    </row>
    <row r="665">
      <c r="A665" s="67" t="n"/>
      <c r="B665" s="68" t="n"/>
      <c r="C665" s="69" t="n"/>
      <c r="D665" s="68" t="n"/>
      <c r="E665" s="69" t="n"/>
      <c r="F665" s="68" t="n"/>
      <c r="G665" s="69" t="n"/>
      <c r="H665" s="68" t="n"/>
      <c r="I665" s="70">
        <f>IF($A665="","",R664)</f>
        <v/>
      </c>
      <c r="J665" s="71">
        <f>IF($A665="","",IF(C665="",0,C665))</f>
        <v/>
      </c>
      <c r="K665" s="71">
        <f>IF($A665="","",IF(E665="",0,E665))</f>
        <v/>
      </c>
      <c r="L665" s="70">
        <f>IF($A665="","",B665-D665)</f>
        <v/>
      </c>
      <c r="M665" s="71">
        <f>IF($A665="","",J665-K665)</f>
        <v/>
      </c>
      <c r="N665" s="71">
        <f>IF($A665="","",IF(G665="",0,G665))</f>
        <v/>
      </c>
      <c r="O665" s="70">
        <f>IF($A665="","",D665+F665)</f>
        <v/>
      </c>
      <c r="P665" s="71">
        <f>IF($A665="","",K665+N665)</f>
        <v/>
      </c>
      <c r="Q665" s="70">
        <f>IF($A665="","",I665+L665-F665)</f>
        <v/>
      </c>
      <c r="R665" s="72">
        <f>IF($A665="","",IF(H665="",Q665,H665))</f>
        <v/>
      </c>
      <c r="S665" s="73">
        <f>IF($A665="","",R665-Q665)</f>
        <v/>
      </c>
      <c r="T665" s="70">
        <f>IF($A665="","",SUMIFS($B$5:$B$800,$A$5:$A$800,"&gt;="&amp;DATE(YEAR($A665),MONTH($A665),1),$A$5:$A$800,"&lt;="&amp;$A665)+IF(AND(YEAR($A665)=YEAR(Settings!$B$3),MONTH($A665)=MONTH(Settings!$B$3)),Settings!$B$6,0))</f>
        <v/>
      </c>
      <c r="U665" s="71">
        <f>IF($A665="","",SUMIFS($J$5:$J$800,$A$5:$A$800,"&gt;="&amp;DATE(YEAR($A665),MONTH($A665),1),$A$5:$A$800,"&lt;="&amp;$A665)+IF(AND(YEAR($A665)=YEAR(Settings!$B$3),MONTH($A665)=MONTH(Settings!$B$3)),Settings!$B$7,0))</f>
        <v/>
      </c>
      <c r="V665" s="70">
        <f>IF($A665="","",Settings!$B$8+SUM($B$5:B665))</f>
        <v/>
      </c>
      <c r="W665" s="71">
        <f>IF($A665="","",Settings!$B$9+SUM($J$5:J665))</f>
        <v/>
      </c>
      <c r="X665" s="71">
        <f>IF($A665="","",IF(AND(N665&gt;0,F665&gt;0),ROUND(F665/N665,0),X664))</f>
        <v/>
      </c>
      <c r="Y665" s="74">
        <f>IF($A665="","",IF(AND(M665&gt;0,L665&gt;0),ROUND(L665/M665,0),IF(AND(J665&gt;0,B665&gt;0),ROUND(B665/J665,0),Y664)))</f>
        <v/>
      </c>
    </row>
    <row r="666">
      <c r="A666" s="67" t="n"/>
      <c r="B666" s="68" t="n"/>
      <c r="C666" s="69" t="n"/>
      <c r="D666" s="68" t="n"/>
      <c r="E666" s="69" t="n"/>
      <c r="F666" s="68" t="n"/>
      <c r="G666" s="69" t="n"/>
      <c r="H666" s="68" t="n"/>
      <c r="I666" s="70">
        <f>IF($A666="","",R665)</f>
        <v/>
      </c>
      <c r="J666" s="71">
        <f>IF($A666="","",IF(C666="",0,C666))</f>
        <v/>
      </c>
      <c r="K666" s="71">
        <f>IF($A666="","",IF(E666="",0,E666))</f>
        <v/>
      </c>
      <c r="L666" s="70">
        <f>IF($A666="","",B666-D666)</f>
        <v/>
      </c>
      <c r="M666" s="71">
        <f>IF($A666="","",J666-K666)</f>
        <v/>
      </c>
      <c r="N666" s="71">
        <f>IF($A666="","",IF(G666="",0,G666))</f>
        <v/>
      </c>
      <c r="O666" s="70">
        <f>IF($A666="","",D666+F666)</f>
        <v/>
      </c>
      <c r="P666" s="71">
        <f>IF($A666="","",K666+N666)</f>
        <v/>
      </c>
      <c r="Q666" s="70">
        <f>IF($A666="","",I666+L666-F666)</f>
        <v/>
      </c>
      <c r="R666" s="72">
        <f>IF($A666="","",IF(H666="",Q666,H666))</f>
        <v/>
      </c>
      <c r="S666" s="73">
        <f>IF($A666="","",R666-Q666)</f>
        <v/>
      </c>
      <c r="T666" s="70">
        <f>IF($A666="","",SUMIFS($B$5:$B$800,$A$5:$A$800,"&gt;="&amp;DATE(YEAR($A666),MONTH($A666),1),$A$5:$A$800,"&lt;="&amp;$A666)+IF(AND(YEAR($A666)=YEAR(Settings!$B$3),MONTH($A666)=MONTH(Settings!$B$3)),Settings!$B$6,0))</f>
        <v/>
      </c>
      <c r="U666" s="71">
        <f>IF($A666="","",SUMIFS($J$5:$J$800,$A$5:$A$800,"&gt;="&amp;DATE(YEAR($A666),MONTH($A666),1),$A$5:$A$800,"&lt;="&amp;$A666)+IF(AND(YEAR($A666)=YEAR(Settings!$B$3),MONTH($A666)=MONTH(Settings!$B$3)),Settings!$B$7,0))</f>
        <v/>
      </c>
      <c r="V666" s="70">
        <f>IF($A666="","",Settings!$B$8+SUM($B$5:B666))</f>
        <v/>
      </c>
      <c r="W666" s="71">
        <f>IF($A666="","",Settings!$B$9+SUM($J$5:J666))</f>
        <v/>
      </c>
      <c r="X666" s="71">
        <f>IF($A666="","",IF(AND(N666&gt;0,F666&gt;0),ROUND(F666/N666,0),X665))</f>
        <v/>
      </c>
      <c r="Y666" s="74">
        <f>IF($A666="","",IF(AND(M666&gt;0,L666&gt;0),ROUND(L666/M666,0),IF(AND(J666&gt;0,B666&gt;0),ROUND(B666/J666,0),Y665)))</f>
        <v/>
      </c>
    </row>
    <row r="667">
      <c r="A667" s="67" t="n"/>
      <c r="B667" s="68" t="n"/>
      <c r="C667" s="69" t="n"/>
      <c r="D667" s="68" t="n"/>
      <c r="E667" s="69" t="n"/>
      <c r="F667" s="68" t="n"/>
      <c r="G667" s="69" t="n"/>
      <c r="H667" s="68" t="n"/>
      <c r="I667" s="70">
        <f>IF($A667="","",R666)</f>
        <v/>
      </c>
      <c r="J667" s="71">
        <f>IF($A667="","",IF(C667="",0,C667))</f>
        <v/>
      </c>
      <c r="K667" s="71">
        <f>IF($A667="","",IF(E667="",0,E667))</f>
        <v/>
      </c>
      <c r="L667" s="70">
        <f>IF($A667="","",B667-D667)</f>
        <v/>
      </c>
      <c r="M667" s="71">
        <f>IF($A667="","",J667-K667)</f>
        <v/>
      </c>
      <c r="N667" s="71">
        <f>IF($A667="","",IF(G667="",0,G667))</f>
        <v/>
      </c>
      <c r="O667" s="70">
        <f>IF($A667="","",D667+F667)</f>
        <v/>
      </c>
      <c r="P667" s="71">
        <f>IF($A667="","",K667+N667)</f>
        <v/>
      </c>
      <c r="Q667" s="70">
        <f>IF($A667="","",I667+L667-F667)</f>
        <v/>
      </c>
      <c r="R667" s="72">
        <f>IF($A667="","",IF(H667="",Q667,H667))</f>
        <v/>
      </c>
      <c r="S667" s="73">
        <f>IF($A667="","",R667-Q667)</f>
        <v/>
      </c>
      <c r="T667" s="70">
        <f>IF($A667="","",SUMIFS($B$5:$B$800,$A$5:$A$800,"&gt;="&amp;DATE(YEAR($A667),MONTH($A667),1),$A$5:$A$800,"&lt;="&amp;$A667)+IF(AND(YEAR($A667)=YEAR(Settings!$B$3),MONTH($A667)=MONTH(Settings!$B$3)),Settings!$B$6,0))</f>
        <v/>
      </c>
      <c r="U667" s="71">
        <f>IF($A667="","",SUMIFS($J$5:$J$800,$A$5:$A$800,"&gt;="&amp;DATE(YEAR($A667),MONTH($A667),1),$A$5:$A$800,"&lt;="&amp;$A667)+IF(AND(YEAR($A667)=YEAR(Settings!$B$3),MONTH($A667)=MONTH(Settings!$B$3)),Settings!$B$7,0))</f>
        <v/>
      </c>
      <c r="V667" s="70">
        <f>IF($A667="","",Settings!$B$8+SUM($B$5:B667))</f>
        <v/>
      </c>
      <c r="W667" s="71">
        <f>IF($A667="","",Settings!$B$9+SUM($J$5:J667))</f>
        <v/>
      </c>
      <c r="X667" s="71">
        <f>IF($A667="","",IF(AND(N667&gt;0,F667&gt;0),ROUND(F667/N667,0),X666))</f>
        <v/>
      </c>
      <c r="Y667" s="74">
        <f>IF($A667="","",IF(AND(M667&gt;0,L667&gt;0),ROUND(L667/M667,0),IF(AND(J667&gt;0,B667&gt;0),ROUND(B667/J667,0),Y666)))</f>
        <v/>
      </c>
    </row>
    <row r="668">
      <c r="A668" s="67" t="n"/>
      <c r="B668" s="68" t="n"/>
      <c r="C668" s="69" t="n"/>
      <c r="D668" s="68" t="n"/>
      <c r="E668" s="69" t="n"/>
      <c r="F668" s="68" t="n"/>
      <c r="G668" s="69" t="n"/>
      <c r="H668" s="68" t="n"/>
      <c r="I668" s="70">
        <f>IF($A668="","",R667)</f>
        <v/>
      </c>
      <c r="J668" s="71">
        <f>IF($A668="","",IF(C668="",0,C668))</f>
        <v/>
      </c>
      <c r="K668" s="71">
        <f>IF($A668="","",IF(E668="",0,E668))</f>
        <v/>
      </c>
      <c r="L668" s="70">
        <f>IF($A668="","",B668-D668)</f>
        <v/>
      </c>
      <c r="M668" s="71">
        <f>IF($A668="","",J668-K668)</f>
        <v/>
      </c>
      <c r="N668" s="71">
        <f>IF($A668="","",IF(G668="",0,G668))</f>
        <v/>
      </c>
      <c r="O668" s="70">
        <f>IF($A668="","",D668+F668)</f>
        <v/>
      </c>
      <c r="P668" s="71">
        <f>IF($A668="","",K668+N668)</f>
        <v/>
      </c>
      <c r="Q668" s="70">
        <f>IF($A668="","",I668+L668-F668)</f>
        <v/>
      </c>
      <c r="R668" s="72">
        <f>IF($A668="","",IF(H668="",Q668,H668))</f>
        <v/>
      </c>
      <c r="S668" s="73">
        <f>IF($A668="","",R668-Q668)</f>
        <v/>
      </c>
      <c r="T668" s="70">
        <f>IF($A668="","",SUMIFS($B$5:$B$800,$A$5:$A$800,"&gt;="&amp;DATE(YEAR($A668),MONTH($A668),1),$A$5:$A$800,"&lt;="&amp;$A668)+IF(AND(YEAR($A668)=YEAR(Settings!$B$3),MONTH($A668)=MONTH(Settings!$B$3)),Settings!$B$6,0))</f>
        <v/>
      </c>
      <c r="U668" s="71">
        <f>IF($A668="","",SUMIFS($J$5:$J$800,$A$5:$A$800,"&gt;="&amp;DATE(YEAR($A668),MONTH($A668),1),$A$5:$A$800,"&lt;="&amp;$A668)+IF(AND(YEAR($A668)=YEAR(Settings!$B$3),MONTH($A668)=MONTH(Settings!$B$3)),Settings!$B$7,0))</f>
        <v/>
      </c>
      <c r="V668" s="70">
        <f>IF($A668="","",Settings!$B$8+SUM($B$5:B668))</f>
        <v/>
      </c>
      <c r="W668" s="71">
        <f>IF($A668="","",Settings!$B$9+SUM($J$5:J668))</f>
        <v/>
      </c>
      <c r="X668" s="71">
        <f>IF($A668="","",IF(AND(N668&gt;0,F668&gt;0),ROUND(F668/N668,0),X667))</f>
        <v/>
      </c>
      <c r="Y668" s="74">
        <f>IF($A668="","",IF(AND(M668&gt;0,L668&gt;0),ROUND(L668/M668,0),IF(AND(J668&gt;0,B668&gt;0),ROUND(B668/J668,0),Y667)))</f>
        <v/>
      </c>
    </row>
    <row r="669">
      <c r="A669" s="67" t="n"/>
      <c r="B669" s="68" t="n"/>
      <c r="C669" s="69" t="n"/>
      <c r="D669" s="68" t="n"/>
      <c r="E669" s="69" t="n"/>
      <c r="F669" s="68" t="n"/>
      <c r="G669" s="69" t="n"/>
      <c r="H669" s="68" t="n"/>
      <c r="I669" s="70">
        <f>IF($A669="","",R668)</f>
        <v/>
      </c>
      <c r="J669" s="71">
        <f>IF($A669="","",IF(C669="",0,C669))</f>
        <v/>
      </c>
      <c r="K669" s="71">
        <f>IF($A669="","",IF(E669="",0,E669))</f>
        <v/>
      </c>
      <c r="L669" s="70">
        <f>IF($A669="","",B669-D669)</f>
        <v/>
      </c>
      <c r="M669" s="71">
        <f>IF($A669="","",J669-K669)</f>
        <v/>
      </c>
      <c r="N669" s="71">
        <f>IF($A669="","",IF(G669="",0,G669))</f>
        <v/>
      </c>
      <c r="O669" s="70">
        <f>IF($A669="","",D669+F669)</f>
        <v/>
      </c>
      <c r="P669" s="71">
        <f>IF($A669="","",K669+N669)</f>
        <v/>
      </c>
      <c r="Q669" s="70">
        <f>IF($A669="","",I669+L669-F669)</f>
        <v/>
      </c>
      <c r="R669" s="72">
        <f>IF($A669="","",IF(H669="",Q669,H669))</f>
        <v/>
      </c>
      <c r="S669" s="73">
        <f>IF($A669="","",R669-Q669)</f>
        <v/>
      </c>
      <c r="T669" s="70">
        <f>IF($A669="","",SUMIFS($B$5:$B$800,$A$5:$A$800,"&gt;="&amp;DATE(YEAR($A669),MONTH($A669),1),$A$5:$A$800,"&lt;="&amp;$A669)+IF(AND(YEAR($A669)=YEAR(Settings!$B$3),MONTH($A669)=MONTH(Settings!$B$3)),Settings!$B$6,0))</f>
        <v/>
      </c>
      <c r="U669" s="71">
        <f>IF($A669="","",SUMIFS($J$5:$J$800,$A$5:$A$800,"&gt;="&amp;DATE(YEAR($A669),MONTH($A669),1),$A$5:$A$800,"&lt;="&amp;$A669)+IF(AND(YEAR($A669)=YEAR(Settings!$B$3),MONTH($A669)=MONTH(Settings!$B$3)),Settings!$B$7,0))</f>
        <v/>
      </c>
      <c r="V669" s="70">
        <f>IF($A669="","",Settings!$B$8+SUM($B$5:B669))</f>
        <v/>
      </c>
      <c r="W669" s="71">
        <f>IF($A669="","",Settings!$B$9+SUM($J$5:J669))</f>
        <v/>
      </c>
      <c r="X669" s="71">
        <f>IF($A669="","",IF(AND(N669&gt;0,F669&gt;0),ROUND(F669/N669,0),X668))</f>
        <v/>
      </c>
      <c r="Y669" s="74">
        <f>IF($A669="","",IF(AND(M669&gt;0,L669&gt;0),ROUND(L669/M669,0),IF(AND(J669&gt;0,B669&gt;0),ROUND(B669/J669,0),Y668)))</f>
        <v/>
      </c>
    </row>
    <row r="670">
      <c r="A670" s="67" t="n"/>
      <c r="B670" s="68" t="n"/>
      <c r="C670" s="69" t="n"/>
      <c r="D670" s="68" t="n"/>
      <c r="E670" s="69" t="n"/>
      <c r="F670" s="68" t="n"/>
      <c r="G670" s="69" t="n"/>
      <c r="H670" s="68" t="n"/>
      <c r="I670" s="70">
        <f>IF($A670="","",R669)</f>
        <v/>
      </c>
      <c r="J670" s="71">
        <f>IF($A670="","",IF(C670="",0,C670))</f>
        <v/>
      </c>
      <c r="K670" s="71">
        <f>IF($A670="","",IF(E670="",0,E670))</f>
        <v/>
      </c>
      <c r="L670" s="70">
        <f>IF($A670="","",B670-D670)</f>
        <v/>
      </c>
      <c r="M670" s="71">
        <f>IF($A670="","",J670-K670)</f>
        <v/>
      </c>
      <c r="N670" s="71">
        <f>IF($A670="","",IF(G670="",0,G670))</f>
        <v/>
      </c>
      <c r="O670" s="70">
        <f>IF($A670="","",D670+F670)</f>
        <v/>
      </c>
      <c r="P670" s="71">
        <f>IF($A670="","",K670+N670)</f>
        <v/>
      </c>
      <c r="Q670" s="70">
        <f>IF($A670="","",I670+L670-F670)</f>
        <v/>
      </c>
      <c r="R670" s="72">
        <f>IF($A670="","",IF(H670="",Q670,H670))</f>
        <v/>
      </c>
      <c r="S670" s="73">
        <f>IF($A670="","",R670-Q670)</f>
        <v/>
      </c>
      <c r="T670" s="70">
        <f>IF($A670="","",SUMIFS($B$5:$B$800,$A$5:$A$800,"&gt;="&amp;DATE(YEAR($A670),MONTH($A670),1),$A$5:$A$800,"&lt;="&amp;$A670)+IF(AND(YEAR($A670)=YEAR(Settings!$B$3),MONTH($A670)=MONTH(Settings!$B$3)),Settings!$B$6,0))</f>
        <v/>
      </c>
      <c r="U670" s="71">
        <f>IF($A670="","",SUMIFS($J$5:$J$800,$A$5:$A$800,"&gt;="&amp;DATE(YEAR($A670),MONTH($A670),1),$A$5:$A$800,"&lt;="&amp;$A670)+IF(AND(YEAR($A670)=YEAR(Settings!$B$3),MONTH($A670)=MONTH(Settings!$B$3)),Settings!$B$7,0))</f>
        <v/>
      </c>
      <c r="V670" s="70">
        <f>IF($A670="","",Settings!$B$8+SUM($B$5:B670))</f>
        <v/>
      </c>
      <c r="W670" s="71">
        <f>IF($A670="","",Settings!$B$9+SUM($J$5:J670))</f>
        <v/>
      </c>
      <c r="X670" s="71">
        <f>IF($A670="","",IF(AND(N670&gt;0,F670&gt;0),ROUND(F670/N670,0),X669))</f>
        <v/>
      </c>
      <c r="Y670" s="74">
        <f>IF($A670="","",IF(AND(M670&gt;0,L670&gt;0),ROUND(L670/M670,0),IF(AND(J670&gt;0,B670&gt;0),ROUND(B670/J670,0),Y669)))</f>
        <v/>
      </c>
    </row>
    <row r="671">
      <c r="A671" s="67" t="n"/>
      <c r="B671" s="68" t="n"/>
      <c r="C671" s="69" t="n"/>
      <c r="D671" s="68" t="n"/>
      <c r="E671" s="69" t="n"/>
      <c r="F671" s="68" t="n"/>
      <c r="G671" s="69" t="n"/>
      <c r="H671" s="68" t="n"/>
      <c r="I671" s="70">
        <f>IF($A671="","",R670)</f>
        <v/>
      </c>
      <c r="J671" s="71">
        <f>IF($A671="","",IF(C671="",0,C671))</f>
        <v/>
      </c>
      <c r="K671" s="71">
        <f>IF($A671="","",IF(E671="",0,E671))</f>
        <v/>
      </c>
      <c r="L671" s="70">
        <f>IF($A671="","",B671-D671)</f>
        <v/>
      </c>
      <c r="M671" s="71">
        <f>IF($A671="","",J671-K671)</f>
        <v/>
      </c>
      <c r="N671" s="71">
        <f>IF($A671="","",IF(G671="",0,G671))</f>
        <v/>
      </c>
      <c r="O671" s="70">
        <f>IF($A671="","",D671+F671)</f>
        <v/>
      </c>
      <c r="P671" s="71">
        <f>IF($A671="","",K671+N671)</f>
        <v/>
      </c>
      <c r="Q671" s="70">
        <f>IF($A671="","",I671+L671-F671)</f>
        <v/>
      </c>
      <c r="R671" s="72">
        <f>IF($A671="","",IF(H671="",Q671,H671))</f>
        <v/>
      </c>
      <c r="S671" s="73">
        <f>IF($A671="","",R671-Q671)</f>
        <v/>
      </c>
      <c r="T671" s="70">
        <f>IF($A671="","",SUMIFS($B$5:$B$800,$A$5:$A$800,"&gt;="&amp;DATE(YEAR($A671),MONTH($A671),1),$A$5:$A$800,"&lt;="&amp;$A671)+IF(AND(YEAR($A671)=YEAR(Settings!$B$3),MONTH($A671)=MONTH(Settings!$B$3)),Settings!$B$6,0))</f>
        <v/>
      </c>
      <c r="U671" s="71">
        <f>IF($A671="","",SUMIFS($J$5:$J$800,$A$5:$A$800,"&gt;="&amp;DATE(YEAR($A671),MONTH($A671),1),$A$5:$A$800,"&lt;="&amp;$A671)+IF(AND(YEAR($A671)=YEAR(Settings!$B$3),MONTH($A671)=MONTH(Settings!$B$3)),Settings!$B$7,0))</f>
        <v/>
      </c>
      <c r="V671" s="70">
        <f>IF($A671="","",Settings!$B$8+SUM($B$5:B671))</f>
        <v/>
      </c>
      <c r="W671" s="71">
        <f>IF($A671="","",Settings!$B$9+SUM($J$5:J671))</f>
        <v/>
      </c>
      <c r="X671" s="71">
        <f>IF($A671="","",IF(AND(N671&gt;0,F671&gt;0),ROUND(F671/N671,0),X670))</f>
        <v/>
      </c>
      <c r="Y671" s="74">
        <f>IF($A671="","",IF(AND(M671&gt;0,L671&gt;0),ROUND(L671/M671,0),IF(AND(J671&gt;0,B671&gt;0),ROUND(B671/J671,0),Y670)))</f>
        <v/>
      </c>
    </row>
    <row r="672">
      <c r="A672" s="67" t="n"/>
      <c r="B672" s="68" t="n"/>
      <c r="C672" s="69" t="n"/>
      <c r="D672" s="68" t="n"/>
      <c r="E672" s="69" t="n"/>
      <c r="F672" s="68" t="n"/>
      <c r="G672" s="69" t="n"/>
      <c r="H672" s="68" t="n"/>
      <c r="I672" s="70">
        <f>IF($A672="","",R671)</f>
        <v/>
      </c>
      <c r="J672" s="71">
        <f>IF($A672="","",IF(C672="",0,C672))</f>
        <v/>
      </c>
      <c r="K672" s="71">
        <f>IF($A672="","",IF(E672="",0,E672))</f>
        <v/>
      </c>
      <c r="L672" s="70">
        <f>IF($A672="","",B672-D672)</f>
        <v/>
      </c>
      <c r="M672" s="71">
        <f>IF($A672="","",J672-K672)</f>
        <v/>
      </c>
      <c r="N672" s="71">
        <f>IF($A672="","",IF(G672="",0,G672))</f>
        <v/>
      </c>
      <c r="O672" s="70">
        <f>IF($A672="","",D672+F672)</f>
        <v/>
      </c>
      <c r="P672" s="71">
        <f>IF($A672="","",K672+N672)</f>
        <v/>
      </c>
      <c r="Q672" s="70">
        <f>IF($A672="","",I672+L672-F672)</f>
        <v/>
      </c>
      <c r="R672" s="72">
        <f>IF($A672="","",IF(H672="",Q672,H672))</f>
        <v/>
      </c>
      <c r="S672" s="73">
        <f>IF($A672="","",R672-Q672)</f>
        <v/>
      </c>
      <c r="T672" s="70">
        <f>IF($A672="","",SUMIFS($B$5:$B$800,$A$5:$A$800,"&gt;="&amp;DATE(YEAR($A672),MONTH($A672),1),$A$5:$A$800,"&lt;="&amp;$A672)+IF(AND(YEAR($A672)=YEAR(Settings!$B$3),MONTH($A672)=MONTH(Settings!$B$3)),Settings!$B$6,0))</f>
        <v/>
      </c>
      <c r="U672" s="71">
        <f>IF($A672="","",SUMIFS($J$5:$J$800,$A$5:$A$800,"&gt;="&amp;DATE(YEAR($A672),MONTH($A672),1),$A$5:$A$800,"&lt;="&amp;$A672)+IF(AND(YEAR($A672)=YEAR(Settings!$B$3),MONTH($A672)=MONTH(Settings!$B$3)),Settings!$B$7,0))</f>
        <v/>
      </c>
      <c r="V672" s="70">
        <f>IF($A672="","",Settings!$B$8+SUM($B$5:B672))</f>
        <v/>
      </c>
      <c r="W672" s="71">
        <f>IF($A672="","",Settings!$B$9+SUM($J$5:J672))</f>
        <v/>
      </c>
      <c r="X672" s="71">
        <f>IF($A672="","",IF(AND(N672&gt;0,F672&gt;0),ROUND(F672/N672,0),X671))</f>
        <v/>
      </c>
      <c r="Y672" s="74">
        <f>IF($A672="","",IF(AND(M672&gt;0,L672&gt;0),ROUND(L672/M672,0),IF(AND(J672&gt;0,B672&gt;0),ROUND(B672/J672,0),Y671)))</f>
        <v/>
      </c>
    </row>
    <row r="673">
      <c r="A673" s="67" t="n"/>
      <c r="B673" s="68" t="n"/>
      <c r="C673" s="69" t="n"/>
      <c r="D673" s="68" t="n"/>
      <c r="E673" s="69" t="n"/>
      <c r="F673" s="68" t="n"/>
      <c r="G673" s="69" t="n"/>
      <c r="H673" s="68" t="n"/>
      <c r="I673" s="70">
        <f>IF($A673="","",R672)</f>
        <v/>
      </c>
      <c r="J673" s="71">
        <f>IF($A673="","",IF(C673="",0,C673))</f>
        <v/>
      </c>
      <c r="K673" s="71">
        <f>IF($A673="","",IF(E673="",0,E673))</f>
        <v/>
      </c>
      <c r="L673" s="70">
        <f>IF($A673="","",B673-D673)</f>
        <v/>
      </c>
      <c r="M673" s="71">
        <f>IF($A673="","",J673-K673)</f>
        <v/>
      </c>
      <c r="N673" s="71">
        <f>IF($A673="","",IF(G673="",0,G673))</f>
        <v/>
      </c>
      <c r="O673" s="70">
        <f>IF($A673="","",D673+F673)</f>
        <v/>
      </c>
      <c r="P673" s="71">
        <f>IF($A673="","",K673+N673)</f>
        <v/>
      </c>
      <c r="Q673" s="70">
        <f>IF($A673="","",I673+L673-F673)</f>
        <v/>
      </c>
      <c r="R673" s="72">
        <f>IF($A673="","",IF(H673="",Q673,H673))</f>
        <v/>
      </c>
      <c r="S673" s="73">
        <f>IF($A673="","",R673-Q673)</f>
        <v/>
      </c>
      <c r="T673" s="70">
        <f>IF($A673="","",SUMIFS($B$5:$B$800,$A$5:$A$800,"&gt;="&amp;DATE(YEAR($A673),MONTH($A673),1),$A$5:$A$800,"&lt;="&amp;$A673)+IF(AND(YEAR($A673)=YEAR(Settings!$B$3),MONTH($A673)=MONTH(Settings!$B$3)),Settings!$B$6,0))</f>
        <v/>
      </c>
      <c r="U673" s="71">
        <f>IF($A673="","",SUMIFS($J$5:$J$800,$A$5:$A$800,"&gt;="&amp;DATE(YEAR($A673),MONTH($A673),1),$A$5:$A$800,"&lt;="&amp;$A673)+IF(AND(YEAR($A673)=YEAR(Settings!$B$3),MONTH($A673)=MONTH(Settings!$B$3)),Settings!$B$7,0))</f>
        <v/>
      </c>
      <c r="V673" s="70">
        <f>IF($A673="","",Settings!$B$8+SUM($B$5:B673))</f>
        <v/>
      </c>
      <c r="W673" s="71">
        <f>IF($A673="","",Settings!$B$9+SUM($J$5:J673))</f>
        <v/>
      </c>
      <c r="X673" s="71">
        <f>IF($A673="","",IF(AND(N673&gt;0,F673&gt;0),ROUND(F673/N673,0),X672))</f>
        <v/>
      </c>
      <c r="Y673" s="74">
        <f>IF($A673="","",IF(AND(M673&gt;0,L673&gt;0),ROUND(L673/M673,0),IF(AND(J673&gt;0,B673&gt;0),ROUND(B673/J673,0),Y672)))</f>
        <v/>
      </c>
    </row>
    <row r="674">
      <c r="A674" s="67" t="n"/>
      <c r="B674" s="68" t="n"/>
      <c r="C674" s="69" t="n"/>
      <c r="D674" s="68" t="n"/>
      <c r="E674" s="69" t="n"/>
      <c r="F674" s="68" t="n"/>
      <c r="G674" s="69" t="n"/>
      <c r="H674" s="68" t="n"/>
      <c r="I674" s="70">
        <f>IF($A674="","",R673)</f>
        <v/>
      </c>
      <c r="J674" s="71">
        <f>IF($A674="","",IF(C674="",0,C674))</f>
        <v/>
      </c>
      <c r="K674" s="71">
        <f>IF($A674="","",IF(E674="",0,E674))</f>
        <v/>
      </c>
      <c r="L674" s="70">
        <f>IF($A674="","",B674-D674)</f>
        <v/>
      </c>
      <c r="M674" s="71">
        <f>IF($A674="","",J674-K674)</f>
        <v/>
      </c>
      <c r="N674" s="71">
        <f>IF($A674="","",IF(G674="",0,G674))</f>
        <v/>
      </c>
      <c r="O674" s="70">
        <f>IF($A674="","",D674+F674)</f>
        <v/>
      </c>
      <c r="P674" s="71">
        <f>IF($A674="","",K674+N674)</f>
        <v/>
      </c>
      <c r="Q674" s="70">
        <f>IF($A674="","",I674+L674-F674)</f>
        <v/>
      </c>
      <c r="R674" s="72">
        <f>IF($A674="","",IF(H674="",Q674,H674))</f>
        <v/>
      </c>
      <c r="S674" s="73">
        <f>IF($A674="","",R674-Q674)</f>
        <v/>
      </c>
      <c r="T674" s="70">
        <f>IF($A674="","",SUMIFS($B$5:$B$800,$A$5:$A$800,"&gt;="&amp;DATE(YEAR($A674),MONTH($A674),1),$A$5:$A$800,"&lt;="&amp;$A674)+IF(AND(YEAR($A674)=YEAR(Settings!$B$3),MONTH($A674)=MONTH(Settings!$B$3)),Settings!$B$6,0))</f>
        <v/>
      </c>
      <c r="U674" s="71">
        <f>IF($A674="","",SUMIFS($J$5:$J$800,$A$5:$A$800,"&gt;="&amp;DATE(YEAR($A674),MONTH($A674),1),$A$5:$A$800,"&lt;="&amp;$A674)+IF(AND(YEAR($A674)=YEAR(Settings!$B$3),MONTH($A674)=MONTH(Settings!$B$3)),Settings!$B$7,0))</f>
        <v/>
      </c>
      <c r="V674" s="70">
        <f>IF($A674="","",Settings!$B$8+SUM($B$5:B674))</f>
        <v/>
      </c>
      <c r="W674" s="71">
        <f>IF($A674="","",Settings!$B$9+SUM($J$5:J674))</f>
        <v/>
      </c>
      <c r="X674" s="71">
        <f>IF($A674="","",IF(AND(N674&gt;0,F674&gt;0),ROUND(F674/N674,0),X673))</f>
        <v/>
      </c>
      <c r="Y674" s="74">
        <f>IF($A674="","",IF(AND(M674&gt;0,L674&gt;0),ROUND(L674/M674,0),IF(AND(J674&gt;0,B674&gt;0),ROUND(B674/J674,0),Y673)))</f>
        <v/>
      </c>
    </row>
    <row r="675">
      <c r="A675" s="67" t="n"/>
      <c r="B675" s="68" t="n"/>
      <c r="C675" s="69" t="n"/>
      <c r="D675" s="68" t="n"/>
      <c r="E675" s="69" t="n"/>
      <c r="F675" s="68" t="n"/>
      <c r="G675" s="69" t="n"/>
      <c r="H675" s="68" t="n"/>
      <c r="I675" s="70">
        <f>IF($A675="","",R674)</f>
        <v/>
      </c>
      <c r="J675" s="71">
        <f>IF($A675="","",IF(C675="",0,C675))</f>
        <v/>
      </c>
      <c r="K675" s="71">
        <f>IF($A675="","",IF(E675="",0,E675))</f>
        <v/>
      </c>
      <c r="L675" s="70">
        <f>IF($A675="","",B675-D675)</f>
        <v/>
      </c>
      <c r="M675" s="71">
        <f>IF($A675="","",J675-K675)</f>
        <v/>
      </c>
      <c r="N675" s="71">
        <f>IF($A675="","",IF(G675="",0,G675))</f>
        <v/>
      </c>
      <c r="O675" s="70">
        <f>IF($A675="","",D675+F675)</f>
        <v/>
      </c>
      <c r="P675" s="71">
        <f>IF($A675="","",K675+N675)</f>
        <v/>
      </c>
      <c r="Q675" s="70">
        <f>IF($A675="","",I675+L675-F675)</f>
        <v/>
      </c>
      <c r="R675" s="72">
        <f>IF($A675="","",IF(H675="",Q675,H675))</f>
        <v/>
      </c>
      <c r="S675" s="73">
        <f>IF($A675="","",R675-Q675)</f>
        <v/>
      </c>
      <c r="T675" s="70">
        <f>IF($A675="","",SUMIFS($B$5:$B$800,$A$5:$A$800,"&gt;="&amp;DATE(YEAR($A675),MONTH($A675),1),$A$5:$A$800,"&lt;="&amp;$A675)+IF(AND(YEAR($A675)=YEAR(Settings!$B$3),MONTH($A675)=MONTH(Settings!$B$3)),Settings!$B$6,0))</f>
        <v/>
      </c>
      <c r="U675" s="71">
        <f>IF($A675="","",SUMIFS($J$5:$J$800,$A$5:$A$800,"&gt;="&amp;DATE(YEAR($A675),MONTH($A675),1),$A$5:$A$800,"&lt;="&amp;$A675)+IF(AND(YEAR($A675)=YEAR(Settings!$B$3),MONTH($A675)=MONTH(Settings!$B$3)),Settings!$B$7,0))</f>
        <v/>
      </c>
      <c r="V675" s="70">
        <f>IF($A675="","",Settings!$B$8+SUM($B$5:B675))</f>
        <v/>
      </c>
      <c r="W675" s="71">
        <f>IF($A675="","",Settings!$B$9+SUM($J$5:J675))</f>
        <v/>
      </c>
      <c r="X675" s="71">
        <f>IF($A675="","",IF(AND(N675&gt;0,F675&gt;0),ROUND(F675/N675,0),X674))</f>
        <v/>
      </c>
      <c r="Y675" s="74">
        <f>IF($A675="","",IF(AND(M675&gt;0,L675&gt;0),ROUND(L675/M675,0),IF(AND(J675&gt;0,B675&gt;0),ROUND(B675/J675,0),Y674)))</f>
        <v/>
      </c>
    </row>
    <row r="676">
      <c r="A676" s="67" t="n"/>
      <c r="B676" s="68" t="n"/>
      <c r="C676" s="69" t="n"/>
      <c r="D676" s="68" t="n"/>
      <c r="E676" s="69" t="n"/>
      <c r="F676" s="68" t="n"/>
      <c r="G676" s="69" t="n"/>
      <c r="H676" s="68" t="n"/>
      <c r="I676" s="70">
        <f>IF($A676="","",R675)</f>
        <v/>
      </c>
      <c r="J676" s="71">
        <f>IF($A676="","",IF(C676="",0,C676))</f>
        <v/>
      </c>
      <c r="K676" s="71">
        <f>IF($A676="","",IF(E676="",0,E676))</f>
        <v/>
      </c>
      <c r="L676" s="70">
        <f>IF($A676="","",B676-D676)</f>
        <v/>
      </c>
      <c r="M676" s="71">
        <f>IF($A676="","",J676-K676)</f>
        <v/>
      </c>
      <c r="N676" s="71">
        <f>IF($A676="","",IF(G676="",0,G676))</f>
        <v/>
      </c>
      <c r="O676" s="70">
        <f>IF($A676="","",D676+F676)</f>
        <v/>
      </c>
      <c r="P676" s="71">
        <f>IF($A676="","",K676+N676)</f>
        <v/>
      </c>
      <c r="Q676" s="70">
        <f>IF($A676="","",I676+L676-F676)</f>
        <v/>
      </c>
      <c r="R676" s="72">
        <f>IF($A676="","",IF(H676="",Q676,H676))</f>
        <v/>
      </c>
      <c r="S676" s="73">
        <f>IF($A676="","",R676-Q676)</f>
        <v/>
      </c>
      <c r="T676" s="70">
        <f>IF($A676="","",SUMIFS($B$5:$B$800,$A$5:$A$800,"&gt;="&amp;DATE(YEAR($A676),MONTH($A676),1),$A$5:$A$800,"&lt;="&amp;$A676)+IF(AND(YEAR($A676)=YEAR(Settings!$B$3),MONTH($A676)=MONTH(Settings!$B$3)),Settings!$B$6,0))</f>
        <v/>
      </c>
      <c r="U676" s="71">
        <f>IF($A676="","",SUMIFS($J$5:$J$800,$A$5:$A$800,"&gt;="&amp;DATE(YEAR($A676),MONTH($A676),1),$A$5:$A$800,"&lt;="&amp;$A676)+IF(AND(YEAR($A676)=YEAR(Settings!$B$3),MONTH($A676)=MONTH(Settings!$B$3)),Settings!$B$7,0))</f>
        <v/>
      </c>
      <c r="V676" s="70">
        <f>IF($A676="","",Settings!$B$8+SUM($B$5:B676))</f>
        <v/>
      </c>
      <c r="W676" s="71">
        <f>IF($A676="","",Settings!$B$9+SUM($J$5:J676))</f>
        <v/>
      </c>
      <c r="X676" s="71">
        <f>IF($A676="","",IF(AND(N676&gt;0,F676&gt;0),ROUND(F676/N676,0),X675))</f>
        <v/>
      </c>
      <c r="Y676" s="74">
        <f>IF($A676="","",IF(AND(M676&gt;0,L676&gt;0),ROUND(L676/M676,0),IF(AND(J676&gt;0,B676&gt;0),ROUND(B676/J676,0),Y675)))</f>
        <v/>
      </c>
    </row>
    <row r="677">
      <c r="A677" s="67" t="n"/>
      <c r="B677" s="68" t="n"/>
      <c r="C677" s="69" t="n"/>
      <c r="D677" s="68" t="n"/>
      <c r="E677" s="69" t="n"/>
      <c r="F677" s="68" t="n"/>
      <c r="G677" s="69" t="n"/>
      <c r="H677" s="68" t="n"/>
      <c r="I677" s="70">
        <f>IF($A677="","",R676)</f>
        <v/>
      </c>
      <c r="J677" s="71">
        <f>IF($A677="","",IF(C677="",0,C677))</f>
        <v/>
      </c>
      <c r="K677" s="71">
        <f>IF($A677="","",IF(E677="",0,E677))</f>
        <v/>
      </c>
      <c r="L677" s="70">
        <f>IF($A677="","",B677-D677)</f>
        <v/>
      </c>
      <c r="M677" s="71">
        <f>IF($A677="","",J677-K677)</f>
        <v/>
      </c>
      <c r="N677" s="71">
        <f>IF($A677="","",IF(G677="",0,G677))</f>
        <v/>
      </c>
      <c r="O677" s="70">
        <f>IF($A677="","",D677+F677)</f>
        <v/>
      </c>
      <c r="P677" s="71">
        <f>IF($A677="","",K677+N677)</f>
        <v/>
      </c>
      <c r="Q677" s="70">
        <f>IF($A677="","",I677+L677-F677)</f>
        <v/>
      </c>
      <c r="R677" s="72">
        <f>IF($A677="","",IF(H677="",Q677,H677))</f>
        <v/>
      </c>
      <c r="S677" s="73">
        <f>IF($A677="","",R677-Q677)</f>
        <v/>
      </c>
      <c r="T677" s="70">
        <f>IF($A677="","",SUMIFS($B$5:$B$800,$A$5:$A$800,"&gt;="&amp;DATE(YEAR($A677),MONTH($A677),1),$A$5:$A$800,"&lt;="&amp;$A677)+IF(AND(YEAR($A677)=YEAR(Settings!$B$3),MONTH($A677)=MONTH(Settings!$B$3)),Settings!$B$6,0))</f>
        <v/>
      </c>
      <c r="U677" s="71">
        <f>IF($A677="","",SUMIFS($J$5:$J$800,$A$5:$A$800,"&gt;="&amp;DATE(YEAR($A677),MONTH($A677),1),$A$5:$A$800,"&lt;="&amp;$A677)+IF(AND(YEAR($A677)=YEAR(Settings!$B$3),MONTH($A677)=MONTH(Settings!$B$3)),Settings!$B$7,0))</f>
        <v/>
      </c>
      <c r="V677" s="70">
        <f>IF($A677="","",Settings!$B$8+SUM($B$5:B677))</f>
        <v/>
      </c>
      <c r="W677" s="71">
        <f>IF($A677="","",Settings!$B$9+SUM($J$5:J677))</f>
        <v/>
      </c>
      <c r="X677" s="71">
        <f>IF($A677="","",IF(AND(N677&gt;0,F677&gt;0),ROUND(F677/N677,0),X676))</f>
        <v/>
      </c>
      <c r="Y677" s="74">
        <f>IF($A677="","",IF(AND(M677&gt;0,L677&gt;0),ROUND(L677/M677,0),IF(AND(J677&gt;0,B677&gt;0),ROUND(B677/J677,0),Y676)))</f>
        <v/>
      </c>
    </row>
    <row r="678">
      <c r="A678" s="67" t="n"/>
      <c r="B678" s="68" t="n"/>
      <c r="C678" s="69" t="n"/>
      <c r="D678" s="68" t="n"/>
      <c r="E678" s="69" t="n"/>
      <c r="F678" s="68" t="n"/>
      <c r="G678" s="69" t="n"/>
      <c r="H678" s="68" t="n"/>
      <c r="I678" s="70">
        <f>IF($A678="","",R677)</f>
        <v/>
      </c>
      <c r="J678" s="71">
        <f>IF($A678="","",IF(C678="",0,C678))</f>
        <v/>
      </c>
      <c r="K678" s="71">
        <f>IF($A678="","",IF(E678="",0,E678))</f>
        <v/>
      </c>
      <c r="L678" s="70">
        <f>IF($A678="","",B678-D678)</f>
        <v/>
      </c>
      <c r="M678" s="71">
        <f>IF($A678="","",J678-K678)</f>
        <v/>
      </c>
      <c r="N678" s="71">
        <f>IF($A678="","",IF(G678="",0,G678))</f>
        <v/>
      </c>
      <c r="O678" s="70">
        <f>IF($A678="","",D678+F678)</f>
        <v/>
      </c>
      <c r="P678" s="71">
        <f>IF($A678="","",K678+N678)</f>
        <v/>
      </c>
      <c r="Q678" s="70">
        <f>IF($A678="","",I678+L678-F678)</f>
        <v/>
      </c>
      <c r="R678" s="72">
        <f>IF($A678="","",IF(H678="",Q678,H678))</f>
        <v/>
      </c>
      <c r="S678" s="73">
        <f>IF($A678="","",R678-Q678)</f>
        <v/>
      </c>
      <c r="T678" s="70">
        <f>IF($A678="","",SUMIFS($B$5:$B$800,$A$5:$A$800,"&gt;="&amp;DATE(YEAR($A678),MONTH($A678),1),$A$5:$A$800,"&lt;="&amp;$A678)+IF(AND(YEAR($A678)=YEAR(Settings!$B$3),MONTH($A678)=MONTH(Settings!$B$3)),Settings!$B$6,0))</f>
        <v/>
      </c>
      <c r="U678" s="71">
        <f>IF($A678="","",SUMIFS($J$5:$J$800,$A$5:$A$800,"&gt;="&amp;DATE(YEAR($A678),MONTH($A678),1),$A$5:$A$800,"&lt;="&amp;$A678)+IF(AND(YEAR($A678)=YEAR(Settings!$B$3),MONTH($A678)=MONTH(Settings!$B$3)),Settings!$B$7,0))</f>
        <v/>
      </c>
      <c r="V678" s="70">
        <f>IF($A678="","",Settings!$B$8+SUM($B$5:B678))</f>
        <v/>
      </c>
      <c r="W678" s="71">
        <f>IF($A678="","",Settings!$B$9+SUM($J$5:J678))</f>
        <v/>
      </c>
      <c r="X678" s="71">
        <f>IF($A678="","",IF(AND(N678&gt;0,F678&gt;0),ROUND(F678/N678,0),X677))</f>
        <v/>
      </c>
      <c r="Y678" s="74">
        <f>IF($A678="","",IF(AND(M678&gt;0,L678&gt;0),ROUND(L678/M678,0),IF(AND(J678&gt;0,B678&gt;0),ROUND(B678/J678,0),Y677)))</f>
        <v/>
      </c>
    </row>
    <row r="679">
      <c r="A679" s="67" t="n"/>
      <c r="B679" s="68" t="n"/>
      <c r="C679" s="69" t="n"/>
      <c r="D679" s="68" t="n"/>
      <c r="E679" s="69" t="n"/>
      <c r="F679" s="68" t="n"/>
      <c r="G679" s="69" t="n"/>
      <c r="H679" s="68" t="n"/>
      <c r="I679" s="70">
        <f>IF($A679="","",R678)</f>
        <v/>
      </c>
      <c r="J679" s="71">
        <f>IF($A679="","",IF(C679="",0,C679))</f>
        <v/>
      </c>
      <c r="K679" s="71">
        <f>IF($A679="","",IF(E679="",0,E679))</f>
        <v/>
      </c>
      <c r="L679" s="70">
        <f>IF($A679="","",B679-D679)</f>
        <v/>
      </c>
      <c r="M679" s="71">
        <f>IF($A679="","",J679-K679)</f>
        <v/>
      </c>
      <c r="N679" s="71">
        <f>IF($A679="","",IF(G679="",0,G679))</f>
        <v/>
      </c>
      <c r="O679" s="70">
        <f>IF($A679="","",D679+F679)</f>
        <v/>
      </c>
      <c r="P679" s="71">
        <f>IF($A679="","",K679+N679)</f>
        <v/>
      </c>
      <c r="Q679" s="70">
        <f>IF($A679="","",I679+L679-F679)</f>
        <v/>
      </c>
      <c r="R679" s="72">
        <f>IF($A679="","",IF(H679="",Q679,H679))</f>
        <v/>
      </c>
      <c r="S679" s="73">
        <f>IF($A679="","",R679-Q679)</f>
        <v/>
      </c>
      <c r="T679" s="70">
        <f>IF($A679="","",SUMIFS($B$5:$B$800,$A$5:$A$800,"&gt;="&amp;DATE(YEAR($A679),MONTH($A679),1),$A$5:$A$800,"&lt;="&amp;$A679)+IF(AND(YEAR($A679)=YEAR(Settings!$B$3),MONTH($A679)=MONTH(Settings!$B$3)),Settings!$B$6,0))</f>
        <v/>
      </c>
      <c r="U679" s="71">
        <f>IF($A679="","",SUMIFS($J$5:$J$800,$A$5:$A$800,"&gt;="&amp;DATE(YEAR($A679),MONTH($A679),1),$A$5:$A$800,"&lt;="&amp;$A679)+IF(AND(YEAR($A679)=YEAR(Settings!$B$3),MONTH($A679)=MONTH(Settings!$B$3)),Settings!$B$7,0))</f>
        <v/>
      </c>
      <c r="V679" s="70">
        <f>IF($A679="","",Settings!$B$8+SUM($B$5:B679))</f>
        <v/>
      </c>
      <c r="W679" s="71">
        <f>IF($A679="","",Settings!$B$9+SUM($J$5:J679))</f>
        <v/>
      </c>
      <c r="X679" s="71">
        <f>IF($A679="","",IF(AND(N679&gt;0,F679&gt;0),ROUND(F679/N679,0),X678))</f>
        <v/>
      </c>
      <c r="Y679" s="74">
        <f>IF($A679="","",IF(AND(M679&gt;0,L679&gt;0),ROUND(L679/M679,0),IF(AND(J679&gt;0,B679&gt;0),ROUND(B679/J679,0),Y678)))</f>
        <v/>
      </c>
    </row>
    <row r="680">
      <c r="A680" s="67" t="n"/>
      <c r="B680" s="68" t="n"/>
      <c r="C680" s="69" t="n"/>
      <c r="D680" s="68" t="n"/>
      <c r="E680" s="69" t="n"/>
      <c r="F680" s="68" t="n"/>
      <c r="G680" s="69" t="n"/>
      <c r="H680" s="68" t="n"/>
      <c r="I680" s="70">
        <f>IF($A680="","",R679)</f>
        <v/>
      </c>
      <c r="J680" s="71">
        <f>IF($A680="","",IF(C680="",0,C680))</f>
        <v/>
      </c>
      <c r="K680" s="71">
        <f>IF($A680="","",IF(E680="",0,E680))</f>
        <v/>
      </c>
      <c r="L680" s="70">
        <f>IF($A680="","",B680-D680)</f>
        <v/>
      </c>
      <c r="M680" s="71">
        <f>IF($A680="","",J680-K680)</f>
        <v/>
      </c>
      <c r="N680" s="71">
        <f>IF($A680="","",IF(G680="",0,G680))</f>
        <v/>
      </c>
      <c r="O680" s="70">
        <f>IF($A680="","",D680+F680)</f>
        <v/>
      </c>
      <c r="P680" s="71">
        <f>IF($A680="","",K680+N680)</f>
        <v/>
      </c>
      <c r="Q680" s="70">
        <f>IF($A680="","",I680+L680-F680)</f>
        <v/>
      </c>
      <c r="R680" s="72">
        <f>IF($A680="","",IF(H680="",Q680,H680))</f>
        <v/>
      </c>
      <c r="S680" s="73">
        <f>IF($A680="","",R680-Q680)</f>
        <v/>
      </c>
      <c r="T680" s="70">
        <f>IF($A680="","",SUMIFS($B$5:$B$800,$A$5:$A$800,"&gt;="&amp;DATE(YEAR($A680),MONTH($A680),1),$A$5:$A$800,"&lt;="&amp;$A680)+IF(AND(YEAR($A680)=YEAR(Settings!$B$3),MONTH($A680)=MONTH(Settings!$B$3)),Settings!$B$6,0))</f>
        <v/>
      </c>
      <c r="U680" s="71">
        <f>IF($A680="","",SUMIFS($J$5:$J$800,$A$5:$A$800,"&gt;="&amp;DATE(YEAR($A680),MONTH($A680),1),$A$5:$A$800,"&lt;="&amp;$A680)+IF(AND(YEAR($A680)=YEAR(Settings!$B$3),MONTH($A680)=MONTH(Settings!$B$3)),Settings!$B$7,0))</f>
        <v/>
      </c>
      <c r="V680" s="70">
        <f>IF($A680="","",Settings!$B$8+SUM($B$5:B680))</f>
        <v/>
      </c>
      <c r="W680" s="71">
        <f>IF($A680="","",Settings!$B$9+SUM($J$5:J680))</f>
        <v/>
      </c>
      <c r="X680" s="71">
        <f>IF($A680="","",IF(AND(N680&gt;0,F680&gt;0),ROUND(F680/N680,0),X679))</f>
        <v/>
      </c>
      <c r="Y680" s="74">
        <f>IF($A680="","",IF(AND(M680&gt;0,L680&gt;0),ROUND(L680/M680,0),IF(AND(J680&gt;0,B680&gt;0),ROUND(B680/J680,0),Y679)))</f>
        <v/>
      </c>
    </row>
    <row r="681">
      <c r="A681" s="67" t="n"/>
      <c r="B681" s="68" t="n"/>
      <c r="C681" s="69" t="n"/>
      <c r="D681" s="68" t="n"/>
      <c r="E681" s="69" t="n"/>
      <c r="F681" s="68" t="n"/>
      <c r="G681" s="69" t="n"/>
      <c r="H681" s="68" t="n"/>
      <c r="I681" s="70">
        <f>IF($A681="","",R680)</f>
        <v/>
      </c>
      <c r="J681" s="71">
        <f>IF($A681="","",IF(C681="",0,C681))</f>
        <v/>
      </c>
      <c r="K681" s="71">
        <f>IF($A681="","",IF(E681="",0,E681))</f>
        <v/>
      </c>
      <c r="L681" s="70">
        <f>IF($A681="","",B681-D681)</f>
        <v/>
      </c>
      <c r="M681" s="71">
        <f>IF($A681="","",J681-K681)</f>
        <v/>
      </c>
      <c r="N681" s="71">
        <f>IF($A681="","",IF(G681="",0,G681))</f>
        <v/>
      </c>
      <c r="O681" s="70">
        <f>IF($A681="","",D681+F681)</f>
        <v/>
      </c>
      <c r="P681" s="71">
        <f>IF($A681="","",K681+N681)</f>
        <v/>
      </c>
      <c r="Q681" s="70">
        <f>IF($A681="","",I681+L681-F681)</f>
        <v/>
      </c>
      <c r="R681" s="72">
        <f>IF($A681="","",IF(H681="",Q681,H681))</f>
        <v/>
      </c>
      <c r="S681" s="73">
        <f>IF($A681="","",R681-Q681)</f>
        <v/>
      </c>
      <c r="T681" s="70">
        <f>IF($A681="","",SUMIFS($B$5:$B$800,$A$5:$A$800,"&gt;="&amp;DATE(YEAR($A681),MONTH($A681),1),$A$5:$A$800,"&lt;="&amp;$A681)+IF(AND(YEAR($A681)=YEAR(Settings!$B$3),MONTH($A681)=MONTH(Settings!$B$3)),Settings!$B$6,0))</f>
        <v/>
      </c>
      <c r="U681" s="71">
        <f>IF($A681="","",SUMIFS($J$5:$J$800,$A$5:$A$800,"&gt;="&amp;DATE(YEAR($A681),MONTH($A681),1),$A$5:$A$800,"&lt;="&amp;$A681)+IF(AND(YEAR($A681)=YEAR(Settings!$B$3),MONTH($A681)=MONTH(Settings!$B$3)),Settings!$B$7,0))</f>
        <v/>
      </c>
      <c r="V681" s="70">
        <f>IF($A681="","",Settings!$B$8+SUM($B$5:B681))</f>
        <v/>
      </c>
      <c r="W681" s="71">
        <f>IF($A681="","",Settings!$B$9+SUM($J$5:J681))</f>
        <v/>
      </c>
      <c r="X681" s="71">
        <f>IF($A681="","",IF(AND(N681&gt;0,F681&gt;0),ROUND(F681/N681,0),X680))</f>
        <v/>
      </c>
      <c r="Y681" s="74">
        <f>IF($A681="","",IF(AND(M681&gt;0,L681&gt;0),ROUND(L681/M681,0),IF(AND(J681&gt;0,B681&gt;0),ROUND(B681/J681,0),Y680)))</f>
        <v/>
      </c>
    </row>
    <row r="682">
      <c r="A682" s="67" t="n"/>
      <c r="B682" s="68" t="n"/>
      <c r="C682" s="69" t="n"/>
      <c r="D682" s="68" t="n"/>
      <c r="E682" s="69" t="n"/>
      <c r="F682" s="68" t="n"/>
      <c r="G682" s="69" t="n"/>
      <c r="H682" s="68" t="n"/>
      <c r="I682" s="70">
        <f>IF($A682="","",R681)</f>
        <v/>
      </c>
      <c r="J682" s="71">
        <f>IF($A682="","",IF(C682="",0,C682))</f>
        <v/>
      </c>
      <c r="K682" s="71">
        <f>IF($A682="","",IF(E682="",0,E682))</f>
        <v/>
      </c>
      <c r="L682" s="70">
        <f>IF($A682="","",B682-D682)</f>
        <v/>
      </c>
      <c r="M682" s="71">
        <f>IF($A682="","",J682-K682)</f>
        <v/>
      </c>
      <c r="N682" s="71">
        <f>IF($A682="","",IF(G682="",0,G682))</f>
        <v/>
      </c>
      <c r="O682" s="70">
        <f>IF($A682="","",D682+F682)</f>
        <v/>
      </c>
      <c r="P682" s="71">
        <f>IF($A682="","",K682+N682)</f>
        <v/>
      </c>
      <c r="Q682" s="70">
        <f>IF($A682="","",I682+L682-F682)</f>
        <v/>
      </c>
      <c r="R682" s="72">
        <f>IF($A682="","",IF(H682="",Q682,H682))</f>
        <v/>
      </c>
      <c r="S682" s="73">
        <f>IF($A682="","",R682-Q682)</f>
        <v/>
      </c>
      <c r="T682" s="70">
        <f>IF($A682="","",SUMIFS($B$5:$B$800,$A$5:$A$800,"&gt;="&amp;DATE(YEAR($A682),MONTH($A682),1),$A$5:$A$800,"&lt;="&amp;$A682)+IF(AND(YEAR($A682)=YEAR(Settings!$B$3),MONTH($A682)=MONTH(Settings!$B$3)),Settings!$B$6,0))</f>
        <v/>
      </c>
      <c r="U682" s="71">
        <f>IF($A682="","",SUMIFS($J$5:$J$800,$A$5:$A$800,"&gt;="&amp;DATE(YEAR($A682),MONTH($A682),1),$A$5:$A$800,"&lt;="&amp;$A682)+IF(AND(YEAR($A682)=YEAR(Settings!$B$3),MONTH($A682)=MONTH(Settings!$B$3)),Settings!$B$7,0))</f>
        <v/>
      </c>
      <c r="V682" s="70">
        <f>IF($A682="","",Settings!$B$8+SUM($B$5:B682))</f>
        <v/>
      </c>
      <c r="W682" s="71">
        <f>IF($A682="","",Settings!$B$9+SUM($J$5:J682))</f>
        <v/>
      </c>
      <c r="X682" s="71">
        <f>IF($A682="","",IF(AND(N682&gt;0,F682&gt;0),ROUND(F682/N682,0),X681))</f>
        <v/>
      </c>
      <c r="Y682" s="74">
        <f>IF($A682="","",IF(AND(M682&gt;0,L682&gt;0),ROUND(L682/M682,0),IF(AND(J682&gt;0,B682&gt;0),ROUND(B682/J682,0),Y681)))</f>
        <v/>
      </c>
    </row>
    <row r="683">
      <c r="A683" s="67" t="n"/>
      <c r="B683" s="68" t="n"/>
      <c r="C683" s="69" t="n"/>
      <c r="D683" s="68" t="n"/>
      <c r="E683" s="69" t="n"/>
      <c r="F683" s="68" t="n"/>
      <c r="G683" s="69" t="n"/>
      <c r="H683" s="68" t="n"/>
      <c r="I683" s="70">
        <f>IF($A683="","",R682)</f>
        <v/>
      </c>
      <c r="J683" s="71">
        <f>IF($A683="","",IF(C683="",0,C683))</f>
        <v/>
      </c>
      <c r="K683" s="71">
        <f>IF($A683="","",IF(E683="",0,E683))</f>
        <v/>
      </c>
      <c r="L683" s="70">
        <f>IF($A683="","",B683-D683)</f>
        <v/>
      </c>
      <c r="M683" s="71">
        <f>IF($A683="","",J683-K683)</f>
        <v/>
      </c>
      <c r="N683" s="71">
        <f>IF($A683="","",IF(G683="",0,G683))</f>
        <v/>
      </c>
      <c r="O683" s="70">
        <f>IF($A683="","",D683+F683)</f>
        <v/>
      </c>
      <c r="P683" s="71">
        <f>IF($A683="","",K683+N683)</f>
        <v/>
      </c>
      <c r="Q683" s="70">
        <f>IF($A683="","",I683+L683-F683)</f>
        <v/>
      </c>
      <c r="R683" s="72">
        <f>IF($A683="","",IF(H683="",Q683,H683))</f>
        <v/>
      </c>
      <c r="S683" s="73">
        <f>IF($A683="","",R683-Q683)</f>
        <v/>
      </c>
      <c r="T683" s="70">
        <f>IF($A683="","",SUMIFS($B$5:$B$800,$A$5:$A$800,"&gt;="&amp;DATE(YEAR($A683),MONTH($A683),1),$A$5:$A$800,"&lt;="&amp;$A683)+IF(AND(YEAR($A683)=YEAR(Settings!$B$3),MONTH($A683)=MONTH(Settings!$B$3)),Settings!$B$6,0))</f>
        <v/>
      </c>
      <c r="U683" s="71">
        <f>IF($A683="","",SUMIFS($J$5:$J$800,$A$5:$A$800,"&gt;="&amp;DATE(YEAR($A683),MONTH($A683),1),$A$5:$A$800,"&lt;="&amp;$A683)+IF(AND(YEAR($A683)=YEAR(Settings!$B$3),MONTH($A683)=MONTH(Settings!$B$3)),Settings!$B$7,0))</f>
        <v/>
      </c>
      <c r="V683" s="70">
        <f>IF($A683="","",Settings!$B$8+SUM($B$5:B683))</f>
        <v/>
      </c>
      <c r="W683" s="71">
        <f>IF($A683="","",Settings!$B$9+SUM($J$5:J683))</f>
        <v/>
      </c>
      <c r="X683" s="71">
        <f>IF($A683="","",IF(AND(N683&gt;0,F683&gt;0),ROUND(F683/N683,0),X682))</f>
        <v/>
      </c>
      <c r="Y683" s="74">
        <f>IF($A683="","",IF(AND(M683&gt;0,L683&gt;0),ROUND(L683/M683,0),IF(AND(J683&gt;0,B683&gt;0),ROUND(B683/J683,0),Y682)))</f>
        <v/>
      </c>
    </row>
    <row r="684">
      <c r="A684" s="67" t="n"/>
      <c r="B684" s="68" t="n"/>
      <c r="C684" s="69" t="n"/>
      <c r="D684" s="68" t="n"/>
      <c r="E684" s="69" t="n"/>
      <c r="F684" s="68" t="n"/>
      <c r="G684" s="69" t="n"/>
      <c r="H684" s="68" t="n"/>
      <c r="I684" s="70">
        <f>IF($A684="","",R683)</f>
        <v/>
      </c>
      <c r="J684" s="71">
        <f>IF($A684="","",IF(C684="",0,C684))</f>
        <v/>
      </c>
      <c r="K684" s="71">
        <f>IF($A684="","",IF(E684="",0,E684))</f>
        <v/>
      </c>
      <c r="L684" s="70">
        <f>IF($A684="","",B684-D684)</f>
        <v/>
      </c>
      <c r="M684" s="71">
        <f>IF($A684="","",J684-K684)</f>
        <v/>
      </c>
      <c r="N684" s="71">
        <f>IF($A684="","",IF(G684="",0,G684))</f>
        <v/>
      </c>
      <c r="O684" s="70">
        <f>IF($A684="","",D684+F684)</f>
        <v/>
      </c>
      <c r="P684" s="71">
        <f>IF($A684="","",K684+N684)</f>
        <v/>
      </c>
      <c r="Q684" s="70">
        <f>IF($A684="","",I684+L684-F684)</f>
        <v/>
      </c>
      <c r="R684" s="72">
        <f>IF($A684="","",IF(H684="",Q684,H684))</f>
        <v/>
      </c>
      <c r="S684" s="73">
        <f>IF($A684="","",R684-Q684)</f>
        <v/>
      </c>
      <c r="T684" s="70">
        <f>IF($A684="","",SUMIFS($B$5:$B$800,$A$5:$A$800,"&gt;="&amp;DATE(YEAR($A684),MONTH($A684),1),$A$5:$A$800,"&lt;="&amp;$A684)+IF(AND(YEAR($A684)=YEAR(Settings!$B$3),MONTH($A684)=MONTH(Settings!$B$3)),Settings!$B$6,0))</f>
        <v/>
      </c>
      <c r="U684" s="71">
        <f>IF($A684="","",SUMIFS($J$5:$J$800,$A$5:$A$800,"&gt;="&amp;DATE(YEAR($A684),MONTH($A684),1),$A$5:$A$800,"&lt;="&amp;$A684)+IF(AND(YEAR($A684)=YEAR(Settings!$B$3),MONTH($A684)=MONTH(Settings!$B$3)),Settings!$B$7,0))</f>
        <v/>
      </c>
      <c r="V684" s="70">
        <f>IF($A684="","",Settings!$B$8+SUM($B$5:B684))</f>
        <v/>
      </c>
      <c r="W684" s="71">
        <f>IF($A684="","",Settings!$B$9+SUM($J$5:J684))</f>
        <v/>
      </c>
      <c r="X684" s="71">
        <f>IF($A684="","",IF(AND(N684&gt;0,F684&gt;0),ROUND(F684/N684,0),X683))</f>
        <v/>
      </c>
      <c r="Y684" s="74">
        <f>IF($A684="","",IF(AND(M684&gt;0,L684&gt;0),ROUND(L684/M684,0),IF(AND(J684&gt;0,B684&gt;0),ROUND(B684/J684,0),Y683)))</f>
        <v/>
      </c>
    </row>
    <row r="685">
      <c r="A685" s="67" t="n"/>
      <c r="B685" s="68" t="n"/>
      <c r="C685" s="69" t="n"/>
      <c r="D685" s="68" t="n"/>
      <c r="E685" s="69" t="n"/>
      <c r="F685" s="68" t="n"/>
      <c r="G685" s="69" t="n"/>
      <c r="H685" s="68" t="n"/>
      <c r="I685" s="70">
        <f>IF($A685="","",R684)</f>
        <v/>
      </c>
      <c r="J685" s="71">
        <f>IF($A685="","",IF(C685="",0,C685))</f>
        <v/>
      </c>
      <c r="K685" s="71">
        <f>IF($A685="","",IF(E685="",0,E685))</f>
        <v/>
      </c>
      <c r="L685" s="70">
        <f>IF($A685="","",B685-D685)</f>
        <v/>
      </c>
      <c r="M685" s="71">
        <f>IF($A685="","",J685-K685)</f>
        <v/>
      </c>
      <c r="N685" s="71">
        <f>IF($A685="","",IF(G685="",0,G685))</f>
        <v/>
      </c>
      <c r="O685" s="70">
        <f>IF($A685="","",D685+F685)</f>
        <v/>
      </c>
      <c r="P685" s="71">
        <f>IF($A685="","",K685+N685)</f>
        <v/>
      </c>
      <c r="Q685" s="70">
        <f>IF($A685="","",I685+L685-F685)</f>
        <v/>
      </c>
      <c r="R685" s="72">
        <f>IF($A685="","",IF(H685="",Q685,H685))</f>
        <v/>
      </c>
      <c r="S685" s="73">
        <f>IF($A685="","",R685-Q685)</f>
        <v/>
      </c>
      <c r="T685" s="70">
        <f>IF($A685="","",SUMIFS($B$5:$B$800,$A$5:$A$800,"&gt;="&amp;DATE(YEAR($A685),MONTH($A685),1),$A$5:$A$800,"&lt;="&amp;$A685)+IF(AND(YEAR($A685)=YEAR(Settings!$B$3),MONTH($A685)=MONTH(Settings!$B$3)),Settings!$B$6,0))</f>
        <v/>
      </c>
      <c r="U685" s="71">
        <f>IF($A685="","",SUMIFS($J$5:$J$800,$A$5:$A$800,"&gt;="&amp;DATE(YEAR($A685),MONTH($A685),1),$A$5:$A$800,"&lt;="&amp;$A685)+IF(AND(YEAR($A685)=YEAR(Settings!$B$3),MONTH($A685)=MONTH(Settings!$B$3)),Settings!$B$7,0))</f>
        <v/>
      </c>
      <c r="V685" s="70">
        <f>IF($A685="","",Settings!$B$8+SUM($B$5:B685))</f>
        <v/>
      </c>
      <c r="W685" s="71">
        <f>IF($A685="","",Settings!$B$9+SUM($J$5:J685))</f>
        <v/>
      </c>
      <c r="X685" s="71">
        <f>IF($A685="","",IF(AND(N685&gt;0,F685&gt;0),ROUND(F685/N685,0),X684))</f>
        <v/>
      </c>
      <c r="Y685" s="74">
        <f>IF($A685="","",IF(AND(M685&gt;0,L685&gt;0),ROUND(L685/M685,0),IF(AND(J685&gt;0,B685&gt;0),ROUND(B685/J685,0),Y684)))</f>
        <v/>
      </c>
    </row>
    <row r="686">
      <c r="A686" s="67" t="n"/>
      <c r="B686" s="68" t="n"/>
      <c r="C686" s="69" t="n"/>
      <c r="D686" s="68" t="n"/>
      <c r="E686" s="69" t="n"/>
      <c r="F686" s="68" t="n"/>
      <c r="G686" s="69" t="n"/>
      <c r="H686" s="68" t="n"/>
      <c r="I686" s="70">
        <f>IF($A686="","",R685)</f>
        <v/>
      </c>
      <c r="J686" s="71">
        <f>IF($A686="","",IF(C686="",0,C686))</f>
        <v/>
      </c>
      <c r="K686" s="71">
        <f>IF($A686="","",IF(E686="",0,E686))</f>
        <v/>
      </c>
      <c r="L686" s="70">
        <f>IF($A686="","",B686-D686)</f>
        <v/>
      </c>
      <c r="M686" s="71">
        <f>IF($A686="","",J686-K686)</f>
        <v/>
      </c>
      <c r="N686" s="71">
        <f>IF($A686="","",IF(G686="",0,G686))</f>
        <v/>
      </c>
      <c r="O686" s="70">
        <f>IF($A686="","",D686+F686)</f>
        <v/>
      </c>
      <c r="P686" s="71">
        <f>IF($A686="","",K686+N686)</f>
        <v/>
      </c>
      <c r="Q686" s="70">
        <f>IF($A686="","",I686+L686-F686)</f>
        <v/>
      </c>
      <c r="R686" s="72">
        <f>IF($A686="","",IF(H686="",Q686,H686))</f>
        <v/>
      </c>
      <c r="S686" s="73">
        <f>IF($A686="","",R686-Q686)</f>
        <v/>
      </c>
      <c r="T686" s="70">
        <f>IF($A686="","",SUMIFS($B$5:$B$800,$A$5:$A$800,"&gt;="&amp;DATE(YEAR($A686),MONTH($A686),1),$A$5:$A$800,"&lt;="&amp;$A686)+IF(AND(YEAR($A686)=YEAR(Settings!$B$3),MONTH($A686)=MONTH(Settings!$B$3)),Settings!$B$6,0))</f>
        <v/>
      </c>
      <c r="U686" s="71">
        <f>IF($A686="","",SUMIFS($J$5:$J$800,$A$5:$A$800,"&gt;="&amp;DATE(YEAR($A686),MONTH($A686),1),$A$5:$A$800,"&lt;="&amp;$A686)+IF(AND(YEAR($A686)=YEAR(Settings!$B$3),MONTH($A686)=MONTH(Settings!$B$3)),Settings!$B$7,0))</f>
        <v/>
      </c>
      <c r="V686" s="70">
        <f>IF($A686="","",Settings!$B$8+SUM($B$5:B686))</f>
        <v/>
      </c>
      <c r="W686" s="71">
        <f>IF($A686="","",Settings!$B$9+SUM($J$5:J686))</f>
        <v/>
      </c>
      <c r="X686" s="71">
        <f>IF($A686="","",IF(AND(N686&gt;0,F686&gt;0),ROUND(F686/N686,0),X685))</f>
        <v/>
      </c>
      <c r="Y686" s="74">
        <f>IF($A686="","",IF(AND(M686&gt;0,L686&gt;0),ROUND(L686/M686,0),IF(AND(J686&gt;0,B686&gt;0),ROUND(B686/J686,0),Y685)))</f>
        <v/>
      </c>
    </row>
    <row r="687">
      <c r="A687" s="67" t="n"/>
      <c r="B687" s="68" t="n"/>
      <c r="C687" s="69" t="n"/>
      <c r="D687" s="68" t="n"/>
      <c r="E687" s="69" t="n"/>
      <c r="F687" s="68" t="n"/>
      <c r="G687" s="69" t="n"/>
      <c r="H687" s="68" t="n"/>
      <c r="I687" s="70">
        <f>IF($A687="","",R686)</f>
        <v/>
      </c>
      <c r="J687" s="71">
        <f>IF($A687="","",IF(C687="",0,C687))</f>
        <v/>
      </c>
      <c r="K687" s="71">
        <f>IF($A687="","",IF(E687="",0,E687))</f>
        <v/>
      </c>
      <c r="L687" s="70">
        <f>IF($A687="","",B687-D687)</f>
        <v/>
      </c>
      <c r="M687" s="71">
        <f>IF($A687="","",J687-K687)</f>
        <v/>
      </c>
      <c r="N687" s="71">
        <f>IF($A687="","",IF(G687="",0,G687))</f>
        <v/>
      </c>
      <c r="O687" s="70">
        <f>IF($A687="","",D687+F687)</f>
        <v/>
      </c>
      <c r="P687" s="71">
        <f>IF($A687="","",K687+N687)</f>
        <v/>
      </c>
      <c r="Q687" s="70">
        <f>IF($A687="","",I687+L687-F687)</f>
        <v/>
      </c>
      <c r="R687" s="72">
        <f>IF($A687="","",IF(H687="",Q687,H687))</f>
        <v/>
      </c>
      <c r="S687" s="73">
        <f>IF($A687="","",R687-Q687)</f>
        <v/>
      </c>
      <c r="T687" s="70">
        <f>IF($A687="","",SUMIFS($B$5:$B$800,$A$5:$A$800,"&gt;="&amp;DATE(YEAR($A687),MONTH($A687),1),$A$5:$A$800,"&lt;="&amp;$A687)+IF(AND(YEAR($A687)=YEAR(Settings!$B$3),MONTH($A687)=MONTH(Settings!$B$3)),Settings!$B$6,0))</f>
        <v/>
      </c>
      <c r="U687" s="71">
        <f>IF($A687="","",SUMIFS($J$5:$J$800,$A$5:$A$800,"&gt;="&amp;DATE(YEAR($A687),MONTH($A687),1),$A$5:$A$800,"&lt;="&amp;$A687)+IF(AND(YEAR($A687)=YEAR(Settings!$B$3),MONTH($A687)=MONTH(Settings!$B$3)),Settings!$B$7,0))</f>
        <v/>
      </c>
      <c r="V687" s="70">
        <f>IF($A687="","",Settings!$B$8+SUM($B$5:B687))</f>
        <v/>
      </c>
      <c r="W687" s="71">
        <f>IF($A687="","",Settings!$B$9+SUM($J$5:J687))</f>
        <v/>
      </c>
      <c r="X687" s="71">
        <f>IF($A687="","",IF(AND(N687&gt;0,F687&gt;0),ROUND(F687/N687,0),X686))</f>
        <v/>
      </c>
      <c r="Y687" s="74">
        <f>IF($A687="","",IF(AND(M687&gt;0,L687&gt;0),ROUND(L687/M687,0),IF(AND(J687&gt;0,B687&gt;0),ROUND(B687/J687,0),Y686)))</f>
        <v/>
      </c>
    </row>
    <row r="688">
      <c r="A688" s="67" t="n"/>
      <c r="B688" s="68" t="n"/>
      <c r="C688" s="69" t="n"/>
      <c r="D688" s="68" t="n"/>
      <c r="E688" s="69" t="n"/>
      <c r="F688" s="68" t="n"/>
      <c r="G688" s="69" t="n"/>
      <c r="H688" s="68" t="n"/>
      <c r="I688" s="70">
        <f>IF($A688="","",R687)</f>
        <v/>
      </c>
      <c r="J688" s="71">
        <f>IF($A688="","",IF(C688="",0,C688))</f>
        <v/>
      </c>
      <c r="K688" s="71">
        <f>IF($A688="","",IF(E688="",0,E688))</f>
        <v/>
      </c>
      <c r="L688" s="70">
        <f>IF($A688="","",B688-D688)</f>
        <v/>
      </c>
      <c r="M688" s="71">
        <f>IF($A688="","",J688-K688)</f>
        <v/>
      </c>
      <c r="N688" s="71">
        <f>IF($A688="","",IF(G688="",0,G688))</f>
        <v/>
      </c>
      <c r="O688" s="70">
        <f>IF($A688="","",D688+F688)</f>
        <v/>
      </c>
      <c r="P688" s="71">
        <f>IF($A688="","",K688+N688)</f>
        <v/>
      </c>
      <c r="Q688" s="70">
        <f>IF($A688="","",I688+L688-F688)</f>
        <v/>
      </c>
      <c r="R688" s="72">
        <f>IF($A688="","",IF(H688="",Q688,H688))</f>
        <v/>
      </c>
      <c r="S688" s="73">
        <f>IF($A688="","",R688-Q688)</f>
        <v/>
      </c>
      <c r="T688" s="70">
        <f>IF($A688="","",SUMIFS($B$5:$B$800,$A$5:$A$800,"&gt;="&amp;DATE(YEAR($A688),MONTH($A688),1),$A$5:$A$800,"&lt;="&amp;$A688)+IF(AND(YEAR($A688)=YEAR(Settings!$B$3),MONTH($A688)=MONTH(Settings!$B$3)),Settings!$B$6,0))</f>
        <v/>
      </c>
      <c r="U688" s="71">
        <f>IF($A688="","",SUMIFS($J$5:$J$800,$A$5:$A$800,"&gt;="&amp;DATE(YEAR($A688),MONTH($A688),1),$A$5:$A$800,"&lt;="&amp;$A688)+IF(AND(YEAR($A688)=YEAR(Settings!$B$3),MONTH($A688)=MONTH(Settings!$B$3)),Settings!$B$7,0))</f>
        <v/>
      </c>
      <c r="V688" s="70">
        <f>IF($A688="","",Settings!$B$8+SUM($B$5:B688))</f>
        <v/>
      </c>
      <c r="W688" s="71">
        <f>IF($A688="","",Settings!$B$9+SUM($J$5:J688))</f>
        <v/>
      </c>
      <c r="X688" s="71">
        <f>IF($A688="","",IF(AND(N688&gt;0,F688&gt;0),ROUND(F688/N688,0),X687))</f>
        <v/>
      </c>
      <c r="Y688" s="74">
        <f>IF($A688="","",IF(AND(M688&gt;0,L688&gt;0),ROUND(L688/M688,0),IF(AND(J688&gt;0,B688&gt;0),ROUND(B688/J688,0),Y687)))</f>
        <v/>
      </c>
    </row>
    <row r="689">
      <c r="A689" s="67" t="n"/>
      <c r="B689" s="68" t="n"/>
      <c r="C689" s="69" t="n"/>
      <c r="D689" s="68" t="n"/>
      <c r="E689" s="69" t="n"/>
      <c r="F689" s="68" t="n"/>
      <c r="G689" s="69" t="n"/>
      <c r="H689" s="68" t="n"/>
      <c r="I689" s="70">
        <f>IF($A689="","",R688)</f>
        <v/>
      </c>
      <c r="J689" s="71">
        <f>IF($A689="","",IF(C689="",0,C689))</f>
        <v/>
      </c>
      <c r="K689" s="71">
        <f>IF($A689="","",IF(E689="",0,E689))</f>
        <v/>
      </c>
      <c r="L689" s="70">
        <f>IF($A689="","",B689-D689)</f>
        <v/>
      </c>
      <c r="M689" s="71">
        <f>IF($A689="","",J689-K689)</f>
        <v/>
      </c>
      <c r="N689" s="71">
        <f>IF($A689="","",IF(G689="",0,G689))</f>
        <v/>
      </c>
      <c r="O689" s="70">
        <f>IF($A689="","",D689+F689)</f>
        <v/>
      </c>
      <c r="P689" s="71">
        <f>IF($A689="","",K689+N689)</f>
        <v/>
      </c>
      <c r="Q689" s="70">
        <f>IF($A689="","",I689+L689-F689)</f>
        <v/>
      </c>
      <c r="R689" s="72">
        <f>IF($A689="","",IF(H689="",Q689,H689))</f>
        <v/>
      </c>
      <c r="S689" s="73">
        <f>IF($A689="","",R689-Q689)</f>
        <v/>
      </c>
      <c r="T689" s="70">
        <f>IF($A689="","",SUMIFS($B$5:$B$800,$A$5:$A$800,"&gt;="&amp;DATE(YEAR($A689),MONTH($A689),1),$A$5:$A$800,"&lt;="&amp;$A689)+IF(AND(YEAR($A689)=YEAR(Settings!$B$3),MONTH($A689)=MONTH(Settings!$B$3)),Settings!$B$6,0))</f>
        <v/>
      </c>
      <c r="U689" s="71">
        <f>IF($A689="","",SUMIFS($J$5:$J$800,$A$5:$A$800,"&gt;="&amp;DATE(YEAR($A689),MONTH($A689),1),$A$5:$A$800,"&lt;="&amp;$A689)+IF(AND(YEAR($A689)=YEAR(Settings!$B$3),MONTH($A689)=MONTH(Settings!$B$3)),Settings!$B$7,0))</f>
        <v/>
      </c>
      <c r="V689" s="70">
        <f>IF($A689="","",Settings!$B$8+SUM($B$5:B689))</f>
        <v/>
      </c>
      <c r="W689" s="71">
        <f>IF($A689="","",Settings!$B$9+SUM($J$5:J689))</f>
        <v/>
      </c>
      <c r="X689" s="71">
        <f>IF($A689="","",IF(AND(N689&gt;0,F689&gt;0),ROUND(F689/N689,0),X688))</f>
        <v/>
      </c>
      <c r="Y689" s="74">
        <f>IF($A689="","",IF(AND(M689&gt;0,L689&gt;0),ROUND(L689/M689,0),IF(AND(J689&gt;0,B689&gt;0),ROUND(B689/J689,0),Y688)))</f>
        <v/>
      </c>
    </row>
    <row r="690">
      <c r="A690" s="67" t="n"/>
      <c r="B690" s="68" t="n"/>
      <c r="C690" s="69" t="n"/>
      <c r="D690" s="68" t="n"/>
      <c r="E690" s="69" t="n"/>
      <c r="F690" s="68" t="n"/>
      <c r="G690" s="69" t="n"/>
      <c r="H690" s="68" t="n"/>
      <c r="I690" s="70">
        <f>IF($A690="","",R689)</f>
        <v/>
      </c>
      <c r="J690" s="71">
        <f>IF($A690="","",IF(C690="",0,C690))</f>
        <v/>
      </c>
      <c r="K690" s="71">
        <f>IF($A690="","",IF(E690="",0,E690))</f>
        <v/>
      </c>
      <c r="L690" s="70">
        <f>IF($A690="","",B690-D690)</f>
        <v/>
      </c>
      <c r="M690" s="71">
        <f>IF($A690="","",J690-K690)</f>
        <v/>
      </c>
      <c r="N690" s="71">
        <f>IF($A690="","",IF(G690="",0,G690))</f>
        <v/>
      </c>
      <c r="O690" s="70">
        <f>IF($A690="","",D690+F690)</f>
        <v/>
      </c>
      <c r="P690" s="71">
        <f>IF($A690="","",K690+N690)</f>
        <v/>
      </c>
      <c r="Q690" s="70">
        <f>IF($A690="","",I690+L690-F690)</f>
        <v/>
      </c>
      <c r="R690" s="72">
        <f>IF($A690="","",IF(H690="",Q690,H690))</f>
        <v/>
      </c>
      <c r="S690" s="73">
        <f>IF($A690="","",R690-Q690)</f>
        <v/>
      </c>
      <c r="T690" s="70">
        <f>IF($A690="","",SUMIFS($B$5:$B$800,$A$5:$A$800,"&gt;="&amp;DATE(YEAR($A690),MONTH($A690),1),$A$5:$A$800,"&lt;="&amp;$A690)+IF(AND(YEAR($A690)=YEAR(Settings!$B$3),MONTH($A690)=MONTH(Settings!$B$3)),Settings!$B$6,0))</f>
        <v/>
      </c>
      <c r="U690" s="71">
        <f>IF($A690="","",SUMIFS($J$5:$J$800,$A$5:$A$800,"&gt;="&amp;DATE(YEAR($A690),MONTH($A690),1),$A$5:$A$800,"&lt;="&amp;$A690)+IF(AND(YEAR($A690)=YEAR(Settings!$B$3),MONTH($A690)=MONTH(Settings!$B$3)),Settings!$B$7,0))</f>
        <v/>
      </c>
      <c r="V690" s="70">
        <f>IF($A690="","",Settings!$B$8+SUM($B$5:B690))</f>
        <v/>
      </c>
      <c r="W690" s="71">
        <f>IF($A690="","",Settings!$B$9+SUM($J$5:J690))</f>
        <v/>
      </c>
      <c r="X690" s="71">
        <f>IF($A690="","",IF(AND(N690&gt;0,F690&gt;0),ROUND(F690/N690,0),X689))</f>
        <v/>
      </c>
      <c r="Y690" s="74">
        <f>IF($A690="","",IF(AND(M690&gt;0,L690&gt;0),ROUND(L690/M690,0),IF(AND(J690&gt;0,B690&gt;0),ROUND(B690/J690,0),Y689)))</f>
        <v/>
      </c>
    </row>
    <row r="691">
      <c r="A691" s="67" t="n"/>
      <c r="B691" s="68" t="n"/>
      <c r="C691" s="69" t="n"/>
      <c r="D691" s="68" t="n"/>
      <c r="E691" s="69" t="n"/>
      <c r="F691" s="68" t="n"/>
      <c r="G691" s="69" t="n"/>
      <c r="H691" s="68" t="n"/>
      <c r="I691" s="70">
        <f>IF($A691="","",R690)</f>
        <v/>
      </c>
      <c r="J691" s="71">
        <f>IF($A691="","",IF(C691="",0,C691))</f>
        <v/>
      </c>
      <c r="K691" s="71">
        <f>IF($A691="","",IF(E691="",0,E691))</f>
        <v/>
      </c>
      <c r="L691" s="70">
        <f>IF($A691="","",B691-D691)</f>
        <v/>
      </c>
      <c r="M691" s="71">
        <f>IF($A691="","",J691-K691)</f>
        <v/>
      </c>
      <c r="N691" s="71">
        <f>IF($A691="","",IF(G691="",0,G691))</f>
        <v/>
      </c>
      <c r="O691" s="70">
        <f>IF($A691="","",D691+F691)</f>
        <v/>
      </c>
      <c r="P691" s="71">
        <f>IF($A691="","",K691+N691)</f>
        <v/>
      </c>
      <c r="Q691" s="70">
        <f>IF($A691="","",I691+L691-F691)</f>
        <v/>
      </c>
      <c r="R691" s="72">
        <f>IF($A691="","",IF(H691="",Q691,H691))</f>
        <v/>
      </c>
      <c r="S691" s="73">
        <f>IF($A691="","",R691-Q691)</f>
        <v/>
      </c>
      <c r="T691" s="70">
        <f>IF($A691="","",SUMIFS($B$5:$B$800,$A$5:$A$800,"&gt;="&amp;DATE(YEAR($A691),MONTH($A691),1),$A$5:$A$800,"&lt;="&amp;$A691)+IF(AND(YEAR($A691)=YEAR(Settings!$B$3),MONTH($A691)=MONTH(Settings!$B$3)),Settings!$B$6,0))</f>
        <v/>
      </c>
      <c r="U691" s="71">
        <f>IF($A691="","",SUMIFS($J$5:$J$800,$A$5:$A$800,"&gt;="&amp;DATE(YEAR($A691),MONTH($A691),1),$A$5:$A$800,"&lt;="&amp;$A691)+IF(AND(YEAR($A691)=YEAR(Settings!$B$3),MONTH($A691)=MONTH(Settings!$B$3)),Settings!$B$7,0))</f>
        <v/>
      </c>
      <c r="V691" s="70">
        <f>IF($A691="","",Settings!$B$8+SUM($B$5:B691))</f>
        <v/>
      </c>
      <c r="W691" s="71">
        <f>IF($A691="","",Settings!$B$9+SUM($J$5:J691))</f>
        <v/>
      </c>
      <c r="X691" s="71">
        <f>IF($A691="","",IF(AND(N691&gt;0,F691&gt;0),ROUND(F691/N691,0),X690))</f>
        <v/>
      </c>
      <c r="Y691" s="74">
        <f>IF($A691="","",IF(AND(M691&gt;0,L691&gt;0),ROUND(L691/M691,0),IF(AND(J691&gt;0,B691&gt;0),ROUND(B691/J691,0),Y690)))</f>
        <v/>
      </c>
    </row>
    <row r="692">
      <c r="A692" s="67" t="n"/>
      <c r="B692" s="68" t="n"/>
      <c r="C692" s="69" t="n"/>
      <c r="D692" s="68" t="n"/>
      <c r="E692" s="69" t="n"/>
      <c r="F692" s="68" t="n"/>
      <c r="G692" s="69" t="n"/>
      <c r="H692" s="68" t="n"/>
      <c r="I692" s="70">
        <f>IF($A692="","",R691)</f>
        <v/>
      </c>
      <c r="J692" s="71">
        <f>IF($A692="","",IF(C692="",0,C692))</f>
        <v/>
      </c>
      <c r="K692" s="71">
        <f>IF($A692="","",IF(E692="",0,E692))</f>
        <v/>
      </c>
      <c r="L692" s="70">
        <f>IF($A692="","",B692-D692)</f>
        <v/>
      </c>
      <c r="M692" s="71">
        <f>IF($A692="","",J692-K692)</f>
        <v/>
      </c>
      <c r="N692" s="71">
        <f>IF($A692="","",IF(G692="",0,G692))</f>
        <v/>
      </c>
      <c r="O692" s="70">
        <f>IF($A692="","",D692+F692)</f>
        <v/>
      </c>
      <c r="P692" s="71">
        <f>IF($A692="","",K692+N692)</f>
        <v/>
      </c>
      <c r="Q692" s="70">
        <f>IF($A692="","",I692+L692-F692)</f>
        <v/>
      </c>
      <c r="R692" s="72">
        <f>IF($A692="","",IF(H692="",Q692,H692))</f>
        <v/>
      </c>
      <c r="S692" s="73">
        <f>IF($A692="","",R692-Q692)</f>
        <v/>
      </c>
      <c r="T692" s="70">
        <f>IF($A692="","",SUMIFS($B$5:$B$800,$A$5:$A$800,"&gt;="&amp;DATE(YEAR($A692),MONTH($A692),1),$A$5:$A$800,"&lt;="&amp;$A692)+IF(AND(YEAR($A692)=YEAR(Settings!$B$3),MONTH($A692)=MONTH(Settings!$B$3)),Settings!$B$6,0))</f>
        <v/>
      </c>
      <c r="U692" s="71">
        <f>IF($A692="","",SUMIFS($J$5:$J$800,$A$5:$A$800,"&gt;="&amp;DATE(YEAR($A692),MONTH($A692),1),$A$5:$A$800,"&lt;="&amp;$A692)+IF(AND(YEAR($A692)=YEAR(Settings!$B$3),MONTH($A692)=MONTH(Settings!$B$3)),Settings!$B$7,0))</f>
        <v/>
      </c>
      <c r="V692" s="70">
        <f>IF($A692="","",Settings!$B$8+SUM($B$5:B692))</f>
        <v/>
      </c>
      <c r="W692" s="71">
        <f>IF($A692="","",Settings!$B$9+SUM($J$5:J692))</f>
        <v/>
      </c>
      <c r="X692" s="71">
        <f>IF($A692="","",IF(AND(N692&gt;0,F692&gt;0),ROUND(F692/N692,0),X691))</f>
        <v/>
      </c>
      <c r="Y692" s="74">
        <f>IF($A692="","",IF(AND(M692&gt;0,L692&gt;0),ROUND(L692/M692,0),IF(AND(J692&gt;0,B692&gt;0),ROUND(B692/J692,0),Y691)))</f>
        <v/>
      </c>
    </row>
    <row r="693">
      <c r="A693" s="67" t="n"/>
      <c r="B693" s="68" t="n"/>
      <c r="C693" s="69" t="n"/>
      <c r="D693" s="68" t="n"/>
      <c r="E693" s="69" t="n"/>
      <c r="F693" s="68" t="n"/>
      <c r="G693" s="69" t="n"/>
      <c r="H693" s="68" t="n"/>
      <c r="I693" s="70">
        <f>IF($A693="","",R692)</f>
        <v/>
      </c>
      <c r="J693" s="71">
        <f>IF($A693="","",IF(C693="",0,C693))</f>
        <v/>
      </c>
      <c r="K693" s="71">
        <f>IF($A693="","",IF(E693="",0,E693))</f>
        <v/>
      </c>
      <c r="L693" s="70">
        <f>IF($A693="","",B693-D693)</f>
        <v/>
      </c>
      <c r="M693" s="71">
        <f>IF($A693="","",J693-K693)</f>
        <v/>
      </c>
      <c r="N693" s="71">
        <f>IF($A693="","",IF(G693="",0,G693))</f>
        <v/>
      </c>
      <c r="O693" s="70">
        <f>IF($A693="","",D693+F693)</f>
        <v/>
      </c>
      <c r="P693" s="71">
        <f>IF($A693="","",K693+N693)</f>
        <v/>
      </c>
      <c r="Q693" s="70">
        <f>IF($A693="","",I693+L693-F693)</f>
        <v/>
      </c>
      <c r="R693" s="72">
        <f>IF($A693="","",IF(H693="",Q693,H693))</f>
        <v/>
      </c>
      <c r="S693" s="73">
        <f>IF($A693="","",R693-Q693)</f>
        <v/>
      </c>
      <c r="T693" s="70">
        <f>IF($A693="","",SUMIFS($B$5:$B$800,$A$5:$A$800,"&gt;="&amp;DATE(YEAR($A693),MONTH($A693),1),$A$5:$A$800,"&lt;="&amp;$A693)+IF(AND(YEAR($A693)=YEAR(Settings!$B$3),MONTH($A693)=MONTH(Settings!$B$3)),Settings!$B$6,0))</f>
        <v/>
      </c>
      <c r="U693" s="71">
        <f>IF($A693="","",SUMIFS($J$5:$J$800,$A$5:$A$800,"&gt;="&amp;DATE(YEAR($A693),MONTH($A693),1),$A$5:$A$800,"&lt;="&amp;$A693)+IF(AND(YEAR($A693)=YEAR(Settings!$B$3),MONTH($A693)=MONTH(Settings!$B$3)),Settings!$B$7,0))</f>
        <v/>
      </c>
      <c r="V693" s="70">
        <f>IF($A693="","",Settings!$B$8+SUM($B$5:B693))</f>
        <v/>
      </c>
      <c r="W693" s="71">
        <f>IF($A693="","",Settings!$B$9+SUM($J$5:J693))</f>
        <v/>
      </c>
      <c r="X693" s="71">
        <f>IF($A693="","",IF(AND(N693&gt;0,F693&gt;0),ROUND(F693/N693,0),X692))</f>
        <v/>
      </c>
      <c r="Y693" s="74">
        <f>IF($A693="","",IF(AND(M693&gt;0,L693&gt;0),ROUND(L693/M693,0),IF(AND(J693&gt;0,B693&gt;0),ROUND(B693/J693,0),Y692)))</f>
        <v/>
      </c>
    </row>
    <row r="694">
      <c r="A694" s="67" t="n"/>
      <c r="B694" s="68" t="n"/>
      <c r="C694" s="69" t="n"/>
      <c r="D694" s="68" t="n"/>
      <c r="E694" s="69" t="n"/>
      <c r="F694" s="68" t="n"/>
      <c r="G694" s="69" t="n"/>
      <c r="H694" s="68" t="n"/>
      <c r="I694" s="70">
        <f>IF($A694="","",R693)</f>
        <v/>
      </c>
      <c r="J694" s="71">
        <f>IF($A694="","",IF(C694="",0,C694))</f>
        <v/>
      </c>
      <c r="K694" s="71">
        <f>IF($A694="","",IF(E694="",0,E694))</f>
        <v/>
      </c>
      <c r="L694" s="70">
        <f>IF($A694="","",B694-D694)</f>
        <v/>
      </c>
      <c r="M694" s="71">
        <f>IF($A694="","",J694-K694)</f>
        <v/>
      </c>
      <c r="N694" s="71">
        <f>IF($A694="","",IF(G694="",0,G694))</f>
        <v/>
      </c>
      <c r="O694" s="70">
        <f>IF($A694="","",D694+F694)</f>
        <v/>
      </c>
      <c r="P694" s="71">
        <f>IF($A694="","",K694+N694)</f>
        <v/>
      </c>
      <c r="Q694" s="70">
        <f>IF($A694="","",I694+L694-F694)</f>
        <v/>
      </c>
      <c r="R694" s="72">
        <f>IF($A694="","",IF(H694="",Q694,H694))</f>
        <v/>
      </c>
      <c r="S694" s="73">
        <f>IF($A694="","",R694-Q694)</f>
        <v/>
      </c>
      <c r="T694" s="70">
        <f>IF($A694="","",SUMIFS($B$5:$B$800,$A$5:$A$800,"&gt;="&amp;DATE(YEAR($A694),MONTH($A694),1),$A$5:$A$800,"&lt;="&amp;$A694)+IF(AND(YEAR($A694)=YEAR(Settings!$B$3),MONTH($A694)=MONTH(Settings!$B$3)),Settings!$B$6,0))</f>
        <v/>
      </c>
      <c r="U694" s="71">
        <f>IF($A694="","",SUMIFS($J$5:$J$800,$A$5:$A$800,"&gt;="&amp;DATE(YEAR($A694),MONTH($A694),1),$A$5:$A$800,"&lt;="&amp;$A694)+IF(AND(YEAR($A694)=YEAR(Settings!$B$3),MONTH($A694)=MONTH(Settings!$B$3)),Settings!$B$7,0))</f>
        <v/>
      </c>
      <c r="V694" s="70">
        <f>IF($A694="","",Settings!$B$8+SUM($B$5:B694))</f>
        <v/>
      </c>
      <c r="W694" s="71">
        <f>IF($A694="","",Settings!$B$9+SUM($J$5:J694))</f>
        <v/>
      </c>
      <c r="X694" s="71">
        <f>IF($A694="","",IF(AND(N694&gt;0,F694&gt;0),ROUND(F694/N694,0),X693))</f>
        <v/>
      </c>
      <c r="Y694" s="74">
        <f>IF($A694="","",IF(AND(M694&gt;0,L694&gt;0),ROUND(L694/M694,0),IF(AND(J694&gt;0,B694&gt;0),ROUND(B694/J694,0),Y693)))</f>
        <v/>
      </c>
    </row>
    <row r="695">
      <c r="A695" s="67" t="n"/>
      <c r="B695" s="68" t="n"/>
      <c r="C695" s="69" t="n"/>
      <c r="D695" s="68" t="n"/>
      <c r="E695" s="69" t="n"/>
      <c r="F695" s="68" t="n"/>
      <c r="G695" s="69" t="n"/>
      <c r="H695" s="68" t="n"/>
      <c r="I695" s="70">
        <f>IF($A695="","",R694)</f>
        <v/>
      </c>
      <c r="J695" s="71">
        <f>IF($A695="","",IF(C695="",0,C695))</f>
        <v/>
      </c>
      <c r="K695" s="71">
        <f>IF($A695="","",IF(E695="",0,E695))</f>
        <v/>
      </c>
      <c r="L695" s="70">
        <f>IF($A695="","",B695-D695)</f>
        <v/>
      </c>
      <c r="M695" s="71">
        <f>IF($A695="","",J695-K695)</f>
        <v/>
      </c>
      <c r="N695" s="71">
        <f>IF($A695="","",IF(G695="",0,G695))</f>
        <v/>
      </c>
      <c r="O695" s="70">
        <f>IF($A695="","",D695+F695)</f>
        <v/>
      </c>
      <c r="P695" s="71">
        <f>IF($A695="","",K695+N695)</f>
        <v/>
      </c>
      <c r="Q695" s="70">
        <f>IF($A695="","",I695+L695-F695)</f>
        <v/>
      </c>
      <c r="R695" s="72">
        <f>IF($A695="","",IF(H695="",Q695,H695))</f>
        <v/>
      </c>
      <c r="S695" s="73">
        <f>IF($A695="","",R695-Q695)</f>
        <v/>
      </c>
      <c r="T695" s="70">
        <f>IF($A695="","",SUMIFS($B$5:$B$800,$A$5:$A$800,"&gt;="&amp;DATE(YEAR($A695),MONTH($A695),1),$A$5:$A$800,"&lt;="&amp;$A695)+IF(AND(YEAR($A695)=YEAR(Settings!$B$3),MONTH($A695)=MONTH(Settings!$B$3)),Settings!$B$6,0))</f>
        <v/>
      </c>
      <c r="U695" s="71">
        <f>IF($A695="","",SUMIFS($J$5:$J$800,$A$5:$A$800,"&gt;="&amp;DATE(YEAR($A695),MONTH($A695),1),$A$5:$A$800,"&lt;="&amp;$A695)+IF(AND(YEAR($A695)=YEAR(Settings!$B$3),MONTH($A695)=MONTH(Settings!$B$3)),Settings!$B$7,0))</f>
        <v/>
      </c>
      <c r="V695" s="70">
        <f>IF($A695="","",Settings!$B$8+SUM($B$5:B695))</f>
        <v/>
      </c>
      <c r="W695" s="71">
        <f>IF($A695="","",Settings!$B$9+SUM($J$5:J695))</f>
        <v/>
      </c>
      <c r="X695" s="71">
        <f>IF($A695="","",IF(AND(N695&gt;0,F695&gt;0),ROUND(F695/N695,0),X694))</f>
        <v/>
      </c>
      <c r="Y695" s="74">
        <f>IF($A695="","",IF(AND(M695&gt;0,L695&gt;0),ROUND(L695/M695,0),IF(AND(J695&gt;0,B695&gt;0),ROUND(B695/J695,0),Y694)))</f>
        <v/>
      </c>
    </row>
    <row r="696">
      <c r="A696" s="67" t="n"/>
      <c r="B696" s="68" t="n"/>
      <c r="C696" s="69" t="n"/>
      <c r="D696" s="68" t="n"/>
      <c r="E696" s="69" t="n"/>
      <c r="F696" s="68" t="n"/>
      <c r="G696" s="69" t="n"/>
      <c r="H696" s="68" t="n"/>
      <c r="I696" s="70">
        <f>IF($A696="","",R695)</f>
        <v/>
      </c>
      <c r="J696" s="71">
        <f>IF($A696="","",IF(C696="",0,C696))</f>
        <v/>
      </c>
      <c r="K696" s="71">
        <f>IF($A696="","",IF(E696="",0,E696))</f>
        <v/>
      </c>
      <c r="L696" s="70">
        <f>IF($A696="","",B696-D696)</f>
        <v/>
      </c>
      <c r="M696" s="71">
        <f>IF($A696="","",J696-K696)</f>
        <v/>
      </c>
      <c r="N696" s="71">
        <f>IF($A696="","",IF(G696="",0,G696))</f>
        <v/>
      </c>
      <c r="O696" s="70">
        <f>IF($A696="","",D696+F696)</f>
        <v/>
      </c>
      <c r="P696" s="71">
        <f>IF($A696="","",K696+N696)</f>
        <v/>
      </c>
      <c r="Q696" s="70">
        <f>IF($A696="","",I696+L696-F696)</f>
        <v/>
      </c>
      <c r="R696" s="72">
        <f>IF($A696="","",IF(H696="",Q696,H696))</f>
        <v/>
      </c>
      <c r="S696" s="73">
        <f>IF($A696="","",R696-Q696)</f>
        <v/>
      </c>
      <c r="T696" s="70">
        <f>IF($A696="","",SUMIFS($B$5:$B$800,$A$5:$A$800,"&gt;="&amp;DATE(YEAR($A696),MONTH($A696),1),$A$5:$A$800,"&lt;="&amp;$A696)+IF(AND(YEAR($A696)=YEAR(Settings!$B$3),MONTH($A696)=MONTH(Settings!$B$3)),Settings!$B$6,0))</f>
        <v/>
      </c>
      <c r="U696" s="71">
        <f>IF($A696="","",SUMIFS($J$5:$J$800,$A$5:$A$800,"&gt;="&amp;DATE(YEAR($A696),MONTH($A696),1),$A$5:$A$800,"&lt;="&amp;$A696)+IF(AND(YEAR($A696)=YEAR(Settings!$B$3),MONTH($A696)=MONTH(Settings!$B$3)),Settings!$B$7,0))</f>
        <v/>
      </c>
      <c r="V696" s="70">
        <f>IF($A696="","",Settings!$B$8+SUM($B$5:B696))</f>
        <v/>
      </c>
      <c r="W696" s="71">
        <f>IF($A696="","",Settings!$B$9+SUM($J$5:J696))</f>
        <v/>
      </c>
      <c r="X696" s="71">
        <f>IF($A696="","",IF(AND(N696&gt;0,F696&gt;0),ROUND(F696/N696,0),X695))</f>
        <v/>
      </c>
      <c r="Y696" s="74">
        <f>IF($A696="","",IF(AND(M696&gt;0,L696&gt;0),ROUND(L696/M696,0),IF(AND(J696&gt;0,B696&gt;0),ROUND(B696/J696,0),Y695)))</f>
        <v/>
      </c>
    </row>
    <row r="697">
      <c r="A697" s="67" t="n"/>
      <c r="B697" s="68" t="n"/>
      <c r="C697" s="69" t="n"/>
      <c r="D697" s="68" t="n"/>
      <c r="E697" s="69" t="n"/>
      <c r="F697" s="68" t="n"/>
      <c r="G697" s="69" t="n"/>
      <c r="H697" s="68" t="n"/>
      <c r="I697" s="70">
        <f>IF($A697="","",R696)</f>
        <v/>
      </c>
      <c r="J697" s="71">
        <f>IF($A697="","",IF(C697="",0,C697))</f>
        <v/>
      </c>
      <c r="K697" s="71">
        <f>IF($A697="","",IF(E697="",0,E697))</f>
        <v/>
      </c>
      <c r="L697" s="70">
        <f>IF($A697="","",B697-D697)</f>
        <v/>
      </c>
      <c r="M697" s="71">
        <f>IF($A697="","",J697-K697)</f>
        <v/>
      </c>
      <c r="N697" s="71">
        <f>IF($A697="","",IF(G697="",0,G697))</f>
        <v/>
      </c>
      <c r="O697" s="70">
        <f>IF($A697="","",D697+F697)</f>
        <v/>
      </c>
      <c r="P697" s="71">
        <f>IF($A697="","",K697+N697)</f>
        <v/>
      </c>
      <c r="Q697" s="70">
        <f>IF($A697="","",I697+L697-F697)</f>
        <v/>
      </c>
      <c r="R697" s="72">
        <f>IF($A697="","",IF(H697="",Q697,H697))</f>
        <v/>
      </c>
      <c r="S697" s="73">
        <f>IF($A697="","",R697-Q697)</f>
        <v/>
      </c>
      <c r="T697" s="70">
        <f>IF($A697="","",SUMIFS($B$5:$B$800,$A$5:$A$800,"&gt;="&amp;DATE(YEAR($A697),MONTH($A697),1),$A$5:$A$800,"&lt;="&amp;$A697)+IF(AND(YEAR($A697)=YEAR(Settings!$B$3),MONTH($A697)=MONTH(Settings!$B$3)),Settings!$B$6,0))</f>
        <v/>
      </c>
      <c r="U697" s="71">
        <f>IF($A697="","",SUMIFS($J$5:$J$800,$A$5:$A$800,"&gt;="&amp;DATE(YEAR($A697),MONTH($A697),1),$A$5:$A$800,"&lt;="&amp;$A697)+IF(AND(YEAR($A697)=YEAR(Settings!$B$3),MONTH($A697)=MONTH(Settings!$B$3)),Settings!$B$7,0))</f>
        <v/>
      </c>
      <c r="V697" s="70">
        <f>IF($A697="","",Settings!$B$8+SUM($B$5:B697))</f>
        <v/>
      </c>
      <c r="W697" s="71">
        <f>IF($A697="","",Settings!$B$9+SUM($J$5:J697))</f>
        <v/>
      </c>
      <c r="X697" s="71">
        <f>IF($A697="","",IF(AND(N697&gt;0,F697&gt;0),ROUND(F697/N697,0),X696))</f>
        <v/>
      </c>
      <c r="Y697" s="74">
        <f>IF($A697="","",IF(AND(M697&gt;0,L697&gt;0),ROUND(L697/M697,0),IF(AND(J697&gt;0,B697&gt;0),ROUND(B697/J697,0),Y696)))</f>
        <v/>
      </c>
    </row>
    <row r="698">
      <c r="A698" s="67" t="n"/>
      <c r="B698" s="68" t="n"/>
      <c r="C698" s="69" t="n"/>
      <c r="D698" s="68" t="n"/>
      <c r="E698" s="69" t="n"/>
      <c r="F698" s="68" t="n"/>
      <c r="G698" s="69" t="n"/>
      <c r="H698" s="68" t="n"/>
      <c r="I698" s="70">
        <f>IF($A698="","",R697)</f>
        <v/>
      </c>
      <c r="J698" s="71">
        <f>IF($A698="","",IF(C698="",0,C698))</f>
        <v/>
      </c>
      <c r="K698" s="71">
        <f>IF($A698="","",IF(E698="",0,E698))</f>
        <v/>
      </c>
      <c r="L698" s="70">
        <f>IF($A698="","",B698-D698)</f>
        <v/>
      </c>
      <c r="M698" s="71">
        <f>IF($A698="","",J698-K698)</f>
        <v/>
      </c>
      <c r="N698" s="71">
        <f>IF($A698="","",IF(G698="",0,G698))</f>
        <v/>
      </c>
      <c r="O698" s="70">
        <f>IF($A698="","",D698+F698)</f>
        <v/>
      </c>
      <c r="P698" s="71">
        <f>IF($A698="","",K698+N698)</f>
        <v/>
      </c>
      <c r="Q698" s="70">
        <f>IF($A698="","",I698+L698-F698)</f>
        <v/>
      </c>
      <c r="R698" s="72">
        <f>IF($A698="","",IF(H698="",Q698,H698))</f>
        <v/>
      </c>
      <c r="S698" s="73">
        <f>IF($A698="","",R698-Q698)</f>
        <v/>
      </c>
      <c r="T698" s="70">
        <f>IF($A698="","",SUMIFS($B$5:$B$800,$A$5:$A$800,"&gt;="&amp;DATE(YEAR($A698),MONTH($A698),1),$A$5:$A$800,"&lt;="&amp;$A698)+IF(AND(YEAR($A698)=YEAR(Settings!$B$3),MONTH($A698)=MONTH(Settings!$B$3)),Settings!$B$6,0))</f>
        <v/>
      </c>
      <c r="U698" s="71">
        <f>IF($A698="","",SUMIFS($J$5:$J$800,$A$5:$A$800,"&gt;="&amp;DATE(YEAR($A698),MONTH($A698),1),$A$5:$A$800,"&lt;="&amp;$A698)+IF(AND(YEAR($A698)=YEAR(Settings!$B$3),MONTH($A698)=MONTH(Settings!$B$3)),Settings!$B$7,0))</f>
        <v/>
      </c>
      <c r="V698" s="70">
        <f>IF($A698="","",Settings!$B$8+SUM($B$5:B698))</f>
        <v/>
      </c>
      <c r="W698" s="71">
        <f>IF($A698="","",Settings!$B$9+SUM($J$5:J698))</f>
        <v/>
      </c>
      <c r="X698" s="71">
        <f>IF($A698="","",IF(AND(N698&gt;0,F698&gt;0),ROUND(F698/N698,0),X697))</f>
        <v/>
      </c>
      <c r="Y698" s="74">
        <f>IF($A698="","",IF(AND(M698&gt;0,L698&gt;0),ROUND(L698/M698,0),IF(AND(J698&gt;0,B698&gt;0),ROUND(B698/J698,0),Y697)))</f>
        <v/>
      </c>
    </row>
    <row r="699">
      <c r="A699" s="67" t="n"/>
      <c r="B699" s="68" t="n"/>
      <c r="C699" s="69" t="n"/>
      <c r="D699" s="68" t="n"/>
      <c r="E699" s="69" t="n"/>
      <c r="F699" s="68" t="n"/>
      <c r="G699" s="69" t="n"/>
      <c r="H699" s="68" t="n"/>
      <c r="I699" s="70">
        <f>IF($A699="","",R698)</f>
        <v/>
      </c>
      <c r="J699" s="71">
        <f>IF($A699="","",IF(C699="",0,C699))</f>
        <v/>
      </c>
      <c r="K699" s="71">
        <f>IF($A699="","",IF(E699="",0,E699))</f>
        <v/>
      </c>
      <c r="L699" s="70">
        <f>IF($A699="","",B699-D699)</f>
        <v/>
      </c>
      <c r="M699" s="71">
        <f>IF($A699="","",J699-K699)</f>
        <v/>
      </c>
      <c r="N699" s="71">
        <f>IF($A699="","",IF(G699="",0,G699))</f>
        <v/>
      </c>
      <c r="O699" s="70">
        <f>IF($A699="","",D699+F699)</f>
        <v/>
      </c>
      <c r="P699" s="71">
        <f>IF($A699="","",K699+N699)</f>
        <v/>
      </c>
      <c r="Q699" s="70">
        <f>IF($A699="","",I699+L699-F699)</f>
        <v/>
      </c>
      <c r="R699" s="72">
        <f>IF($A699="","",IF(H699="",Q699,H699))</f>
        <v/>
      </c>
      <c r="S699" s="73">
        <f>IF($A699="","",R699-Q699)</f>
        <v/>
      </c>
      <c r="T699" s="70">
        <f>IF($A699="","",SUMIFS($B$5:$B$800,$A$5:$A$800,"&gt;="&amp;DATE(YEAR($A699),MONTH($A699),1),$A$5:$A$800,"&lt;="&amp;$A699)+IF(AND(YEAR($A699)=YEAR(Settings!$B$3),MONTH($A699)=MONTH(Settings!$B$3)),Settings!$B$6,0))</f>
        <v/>
      </c>
      <c r="U699" s="71">
        <f>IF($A699="","",SUMIFS($J$5:$J$800,$A$5:$A$800,"&gt;="&amp;DATE(YEAR($A699),MONTH($A699),1),$A$5:$A$800,"&lt;="&amp;$A699)+IF(AND(YEAR($A699)=YEAR(Settings!$B$3),MONTH($A699)=MONTH(Settings!$B$3)),Settings!$B$7,0))</f>
        <v/>
      </c>
      <c r="V699" s="70">
        <f>IF($A699="","",Settings!$B$8+SUM($B$5:B699))</f>
        <v/>
      </c>
      <c r="W699" s="71">
        <f>IF($A699="","",Settings!$B$9+SUM($J$5:J699))</f>
        <v/>
      </c>
      <c r="X699" s="71">
        <f>IF($A699="","",IF(AND(N699&gt;0,F699&gt;0),ROUND(F699/N699,0),X698))</f>
        <v/>
      </c>
      <c r="Y699" s="74">
        <f>IF($A699="","",IF(AND(M699&gt;0,L699&gt;0),ROUND(L699/M699,0),IF(AND(J699&gt;0,B699&gt;0),ROUND(B699/J699,0),Y698)))</f>
        <v/>
      </c>
    </row>
    <row r="700">
      <c r="A700" s="67" t="n"/>
      <c r="B700" s="68" t="n"/>
      <c r="C700" s="69" t="n"/>
      <c r="D700" s="68" t="n"/>
      <c r="E700" s="69" t="n"/>
      <c r="F700" s="68" t="n"/>
      <c r="G700" s="69" t="n"/>
      <c r="H700" s="68" t="n"/>
      <c r="I700" s="70">
        <f>IF($A700="","",R699)</f>
        <v/>
      </c>
      <c r="J700" s="71">
        <f>IF($A700="","",IF(C700="",0,C700))</f>
        <v/>
      </c>
      <c r="K700" s="71">
        <f>IF($A700="","",IF(E700="",0,E700))</f>
        <v/>
      </c>
      <c r="L700" s="70">
        <f>IF($A700="","",B700-D700)</f>
        <v/>
      </c>
      <c r="M700" s="71">
        <f>IF($A700="","",J700-K700)</f>
        <v/>
      </c>
      <c r="N700" s="71">
        <f>IF($A700="","",IF(G700="",0,G700))</f>
        <v/>
      </c>
      <c r="O700" s="70">
        <f>IF($A700="","",D700+F700)</f>
        <v/>
      </c>
      <c r="P700" s="71">
        <f>IF($A700="","",K700+N700)</f>
        <v/>
      </c>
      <c r="Q700" s="70">
        <f>IF($A700="","",I700+L700-F700)</f>
        <v/>
      </c>
      <c r="R700" s="72">
        <f>IF($A700="","",IF(H700="",Q700,H700))</f>
        <v/>
      </c>
      <c r="S700" s="73">
        <f>IF($A700="","",R700-Q700)</f>
        <v/>
      </c>
      <c r="T700" s="70">
        <f>IF($A700="","",SUMIFS($B$5:$B$800,$A$5:$A$800,"&gt;="&amp;DATE(YEAR($A700),MONTH($A700),1),$A$5:$A$800,"&lt;="&amp;$A700)+IF(AND(YEAR($A700)=YEAR(Settings!$B$3),MONTH($A700)=MONTH(Settings!$B$3)),Settings!$B$6,0))</f>
        <v/>
      </c>
      <c r="U700" s="71">
        <f>IF($A700="","",SUMIFS($J$5:$J$800,$A$5:$A$800,"&gt;="&amp;DATE(YEAR($A700),MONTH($A700),1),$A$5:$A$800,"&lt;="&amp;$A700)+IF(AND(YEAR($A700)=YEAR(Settings!$B$3),MONTH($A700)=MONTH(Settings!$B$3)),Settings!$B$7,0))</f>
        <v/>
      </c>
      <c r="V700" s="70">
        <f>IF($A700="","",Settings!$B$8+SUM($B$5:B700))</f>
        <v/>
      </c>
      <c r="W700" s="71">
        <f>IF($A700="","",Settings!$B$9+SUM($J$5:J700))</f>
        <v/>
      </c>
      <c r="X700" s="71">
        <f>IF($A700="","",IF(AND(N700&gt;0,F700&gt;0),ROUND(F700/N700,0),X699))</f>
        <v/>
      </c>
      <c r="Y700" s="74">
        <f>IF($A700="","",IF(AND(M700&gt;0,L700&gt;0),ROUND(L700/M700,0),IF(AND(J700&gt;0,B700&gt;0),ROUND(B700/J700,0),Y699)))</f>
        <v/>
      </c>
    </row>
    <row r="701">
      <c r="A701" s="67" t="n"/>
      <c r="B701" s="68" t="n"/>
      <c r="C701" s="69" t="n"/>
      <c r="D701" s="68" t="n"/>
      <c r="E701" s="69" t="n"/>
      <c r="F701" s="68" t="n"/>
      <c r="G701" s="69" t="n"/>
      <c r="H701" s="68" t="n"/>
      <c r="I701" s="70">
        <f>IF($A701="","",R700)</f>
        <v/>
      </c>
      <c r="J701" s="71">
        <f>IF($A701="","",IF(C701="",0,C701))</f>
        <v/>
      </c>
      <c r="K701" s="71">
        <f>IF($A701="","",IF(E701="",0,E701))</f>
        <v/>
      </c>
      <c r="L701" s="70">
        <f>IF($A701="","",B701-D701)</f>
        <v/>
      </c>
      <c r="M701" s="71">
        <f>IF($A701="","",J701-K701)</f>
        <v/>
      </c>
      <c r="N701" s="71">
        <f>IF($A701="","",IF(G701="",0,G701))</f>
        <v/>
      </c>
      <c r="O701" s="70">
        <f>IF($A701="","",D701+F701)</f>
        <v/>
      </c>
      <c r="P701" s="71">
        <f>IF($A701="","",K701+N701)</f>
        <v/>
      </c>
      <c r="Q701" s="70">
        <f>IF($A701="","",I701+L701-F701)</f>
        <v/>
      </c>
      <c r="R701" s="72">
        <f>IF($A701="","",IF(H701="",Q701,H701))</f>
        <v/>
      </c>
      <c r="S701" s="73">
        <f>IF($A701="","",R701-Q701)</f>
        <v/>
      </c>
      <c r="T701" s="70">
        <f>IF($A701="","",SUMIFS($B$5:$B$800,$A$5:$A$800,"&gt;="&amp;DATE(YEAR($A701),MONTH($A701),1),$A$5:$A$800,"&lt;="&amp;$A701)+IF(AND(YEAR($A701)=YEAR(Settings!$B$3),MONTH($A701)=MONTH(Settings!$B$3)),Settings!$B$6,0))</f>
        <v/>
      </c>
      <c r="U701" s="71">
        <f>IF($A701="","",SUMIFS($J$5:$J$800,$A$5:$A$800,"&gt;="&amp;DATE(YEAR($A701),MONTH($A701),1),$A$5:$A$800,"&lt;="&amp;$A701)+IF(AND(YEAR($A701)=YEAR(Settings!$B$3),MONTH($A701)=MONTH(Settings!$B$3)),Settings!$B$7,0))</f>
        <v/>
      </c>
      <c r="V701" s="70">
        <f>IF($A701="","",Settings!$B$8+SUM($B$5:B701))</f>
        <v/>
      </c>
      <c r="W701" s="71">
        <f>IF($A701="","",Settings!$B$9+SUM($J$5:J701))</f>
        <v/>
      </c>
      <c r="X701" s="71">
        <f>IF($A701="","",IF(AND(N701&gt;0,F701&gt;0),ROUND(F701/N701,0),X700))</f>
        <v/>
      </c>
      <c r="Y701" s="74">
        <f>IF($A701="","",IF(AND(M701&gt;0,L701&gt;0),ROUND(L701/M701,0),IF(AND(J701&gt;0,B701&gt;0),ROUND(B701/J701,0),Y700)))</f>
        <v/>
      </c>
    </row>
    <row r="702">
      <c r="A702" s="67" t="n"/>
      <c r="B702" s="68" t="n"/>
      <c r="C702" s="69" t="n"/>
      <c r="D702" s="68" t="n"/>
      <c r="E702" s="69" t="n"/>
      <c r="F702" s="68" t="n"/>
      <c r="G702" s="69" t="n"/>
      <c r="H702" s="68" t="n"/>
      <c r="I702" s="70">
        <f>IF($A702="","",R701)</f>
        <v/>
      </c>
      <c r="J702" s="71">
        <f>IF($A702="","",IF(C702="",0,C702))</f>
        <v/>
      </c>
      <c r="K702" s="71">
        <f>IF($A702="","",IF(E702="",0,E702))</f>
        <v/>
      </c>
      <c r="L702" s="70">
        <f>IF($A702="","",B702-D702)</f>
        <v/>
      </c>
      <c r="M702" s="71">
        <f>IF($A702="","",J702-K702)</f>
        <v/>
      </c>
      <c r="N702" s="71">
        <f>IF($A702="","",IF(G702="",0,G702))</f>
        <v/>
      </c>
      <c r="O702" s="70">
        <f>IF($A702="","",D702+F702)</f>
        <v/>
      </c>
      <c r="P702" s="71">
        <f>IF($A702="","",K702+N702)</f>
        <v/>
      </c>
      <c r="Q702" s="70">
        <f>IF($A702="","",I702+L702-F702)</f>
        <v/>
      </c>
      <c r="R702" s="72">
        <f>IF($A702="","",IF(H702="",Q702,H702))</f>
        <v/>
      </c>
      <c r="S702" s="73">
        <f>IF($A702="","",R702-Q702)</f>
        <v/>
      </c>
      <c r="T702" s="70">
        <f>IF($A702="","",SUMIFS($B$5:$B$800,$A$5:$A$800,"&gt;="&amp;DATE(YEAR($A702),MONTH($A702),1),$A$5:$A$800,"&lt;="&amp;$A702)+IF(AND(YEAR($A702)=YEAR(Settings!$B$3),MONTH($A702)=MONTH(Settings!$B$3)),Settings!$B$6,0))</f>
        <v/>
      </c>
      <c r="U702" s="71">
        <f>IF($A702="","",SUMIFS($J$5:$J$800,$A$5:$A$800,"&gt;="&amp;DATE(YEAR($A702),MONTH($A702),1),$A$5:$A$800,"&lt;="&amp;$A702)+IF(AND(YEAR($A702)=YEAR(Settings!$B$3),MONTH($A702)=MONTH(Settings!$B$3)),Settings!$B$7,0))</f>
        <v/>
      </c>
      <c r="V702" s="70">
        <f>IF($A702="","",Settings!$B$8+SUM($B$5:B702))</f>
        <v/>
      </c>
      <c r="W702" s="71">
        <f>IF($A702="","",Settings!$B$9+SUM($J$5:J702))</f>
        <v/>
      </c>
      <c r="X702" s="71">
        <f>IF($A702="","",IF(AND(N702&gt;0,F702&gt;0),ROUND(F702/N702,0),X701))</f>
        <v/>
      </c>
      <c r="Y702" s="74">
        <f>IF($A702="","",IF(AND(M702&gt;0,L702&gt;0),ROUND(L702/M702,0),IF(AND(J702&gt;0,B702&gt;0),ROUND(B702/J702,0),Y701)))</f>
        <v/>
      </c>
    </row>
    <row r="703">
      <c r="A703" s="67" t="n"/>
      <c r="B703" s="68" t="n"/>
      <c r="C703" s="69" t="n"/>
      <c r="D703" s="68" t="n"/>
      <c r="E703" s="69" t="n"/>
      <c r="F703" s="68" t="n"/>
      <c r="G703" s="69" t="n"/>
      <c r="H703" s="68" t="n"/>
      <c r="I703" s="70">
        <f>IF($A703="","",R702)</f>
        <v/>
      </c>
      <c r="J703" s="71">
        <f>IF($A703="","",IF(C703="",0,C703))</f>
        <v/>
      </c>
      <c r="K703" s="71">
        <f>IF($A703="","",IF(E703="",0,E703))</f>
        <v/>
      </c>
      <c r="L703" s="70">
        <f>IF($A703="","",B703-D703)</f>
        <v/>
      </c>
      <c r="M703" s="71">
        <f>IF($A703="","",J703-K703)</f>
        <v/>
      </c>
      <c r="N703" s="71">
        <f>IF($A703="","",IF(G703="",0,G703))</f>
        <v/>
      </c>
      <c r="O703" s="70">
        <f>IF($A703="","",D703+F703)</f>
        <v/>
      </c>
      <c r="P703" s="71">
        <f>IF($A703="","",K703+N703)</f>
        <v/>
      </c>
      <c r="Q703" s="70">
        <f>IF($A703="","",I703+L703-F703)</f>
        <v/>
      </c>
      <c r="R703" s="72">
        <f>IF($A703="","",IF(H703="",Q703,H703))</f>
        <v/>
      </c>
      <c r="S703" s="73">
        <f>IF($A703="","",R703-Q703)</f>
        <v/>
      </c>
      <c r="T703" s="70">
        <f>IF($A703="","",SUMIFS($B$5:$B$800,$A$5:$A$800,"&gt;="&amp;DATE(YEAR($A703),MONTH($A703),1),$A$5:$A$800,"&lt;="&amp;$A703)+IF(AND(YEAR($A703)=YEAR(Settings!$B$3),MONTH($A703)=MONTH(Settings!$B$3)),Settings!$B$6,0))</f>
        <v/>
      </c>
      <c r="U703" s="71">
        <f>IF($A703="","",SUMIFS($J$5:$J$800,$A$5:$A$800,"&gt;="&amp;DATE(YEAR($A703),MONTH($A703),1),$A$5:$A$800,"&lt;="&amp;$A703)+IF(AND(YEAR($A703)=YEAR(Settings!$B$3),MONTH($A703)=MONTH(Settings!$B$3)),Settings!$B$7,0))</f>
        <v/>
      </c>
      <c r="V703" s="70">
        <f>IF($A703="","",Settings!$B$8+SUM($B$5:B703))</f>
        <v/>
      </c>
      <c r="W703" s="71">
        <f>IF($A703="","",Settings!$B$9+SUM($J$5:J703))</f>
        <v/>
      </c>
      <c r="X703" s="71">
        <f>IF($A703="","",IF(AND(N703&gt;0,F703&gt;0),ROUND(F703/N703,0),X702))</f>
        <v/>
      </c>
      <c r="Y703" s="74">
        <f>IF($A703="","",IF(AND(M703&gt;0,L703&gt;0),ROUND(L703/M703,0),IF(AND(J703&gt;0,B703&gt;0),ROUND(B703/J703,0),Y702)))</f>
        <v/>
      </c>
    </row>
    <row r="704">
      <c r="A704" s="67" t="n"/>
      <c r="B704" s="68" t="n"/>
      <c r="C704" s="69" t="n"/>
      <c r="D704" s="68" t="n"/>
      <c r="E704" s="69" t="n"/>
      <c r="F704" s="68" t="n"/>
      <c r="G704" s="69" t="n"/>
      <c r="H704" s="68" t="n"/>
      <c r="I704" s="70">
        <f>IF($A704="","",R703)</f>
        <v/>
      </c>
      <c r="J704" s="71">
        <f>IF($A704="","",IF(C704="",0,C704))</f>
        <v/>
      </c>
      <c r="K704" s="71">
        <f>IF($A704="","",IF(E704="",0,E704))</f>
        <v/>
      </c>
      <c r="L704" s="70">
        <f>IF($A704="","",B704-D704)</f>
        <v/>
      </c>
      <c r="M704" s="71">
        <f>IF($A704="","",J704-K704)</f>
        <v/>
      </c>
      <c r="N704" s="71">
        <f>IF($A704="","",IF(G704="",0,G704))</f>
        <v/>
      </c>
      <c r="O704" s="70">
        <f>IF($A704="","",D704+F704)</f>
        <v/>
      </c>
      <c r="P704" s="71">
        <f>IF($A704="","",K704+N704)</f>
        <v/>
      </c>
      <c r="Q704" s="70">
        <f>IF($A704="","",I704+L704-F704)</f>
        <v/>
      </c>
      <c r="R704" s="72">
        <f>IF($A704="","",IF(H704="",Q704,H704))</f>
        <v/>
      </c>
      <c r="S704" s="73">
        <f>IF($A704="","",R704-Q704)</f>
        <v/>
      </c>
      <c r="T704" s="70">
        <f>IF($A704="","",SUMIFS($B$5:$B$800,$A$5:$A$800,"&gt;="&amp;DATE(YEAR($A704),MONTH($A704),1),$A$5:$A$800,"&lt;="&amp;$A704)+IF(AND(YEAR($A704)=YEAR(Settings!$B$3),MONTH($A704)=MONTH(Settings!$B$3)),Settings!$B$6,0))</f>
        <v/>
      </c>
      <c r="U704" s="71">
        <f>IF($A704="","",SUMIFS($J$5:$J$800,$A$5:$A$800,"&gt;="&amp;DATE(YEAR($A704),MONTH($A704),1),$A$5:$A$800,"&lt;="&amp;$A704)+IF(AND(YEAR($A704)=YEAR(Settings!$B$3),MONTH($A704)=MONTH(Settings!$B$3)),Settings!$B$7,0))</f>
        <v/>
      </c>
      <c r="V704" s="70">
        <f>IF($A704="","",Settings!$B$8+SUM($B$5:B704))</f>
        <v/>
      </c>
      <c r="W704" s="71">
        <f>IF($A704="","",Settings!$B$9+SUM($J$5:J704))</f>
        <v/>
      </c>
      <c r="X704" s="71">
        <f>IF($A704="","",IF(AND(N704&gt;0,F704&gt;0),ROUND(F704/N704,0),X703))</f>
        <v/>
      </c>
      <c r="Y704" s="74">
        <f>IF($A704="","",IF(AND(M704&gt;0,L704&gt;0),ROUND(L704/M704,0),IF(AND(J704&gt;0,B704&gt;0),ROUND(B704/J704,0),Y703)))</f>
        <v/>
      </c>
    </row>
    <row r="705">
      <c r="A705" s="67" t="n"/>
      <c r="B705" s="68" t="n"/>
      <c r="C705" s="69" t="n"/>
      <c r="D705" s="68" t="n"/>
      <c r="E705" s="69" t="n"/>
      <c r="F705" s="68" t="n"/>
      <c r="G705" s="69" t="n"/>
      <c r="H705" s="68" t="n"/>
      <c r="I705" s="70">
        <f>IF($A705="","",R704)</f>
        <v/>
      </c>
      <c r="J705" s="71">
        <f>IF($A705="","",IF(C705="",0,C705))</f>
        <v/>
      </c>
      <c r="K705" s="71">
        <f>IF($A705="","",IF(E705="",0,E705))</f>
        <v/>
      </c>
      <c r="L705" s="70">
        <f>IF($A705="","",B705-D705)</f>
        <v/>
      </c>
      <c r="M705" s="71">
        <f>IF($A705="","",J705-K705)</f>
        <v/>
      </c>
      <c r="N705" s="71">
        <f>IF($A705="","",IF(G705="",0,G705))</f>
        <v/>
      </c>
      <c r="O705" s="70">
        <f>IF($A705="","",D705+F705)</f>
        <v/>
      </c>
      <c r="P705" s="71">
        <f>IF($A705="","",K705+N705)</f>
        <v/>
      </c>
      <c r="Q705" s="70">
        <f>IF($A705="","",I705+L705-F705)</f>
        <v/>
      </c>
      <c r="R705" s="72">
        <f>IF($A705="","",IF(H705="",Q705,H705))</f>
        <v/>
      </c>
      <c r="S705" s="73">
        <f>IF($A705="","",R705-Q705)</f>
        <v/>
      </c>
      <c r="T705" s="70">
        <f>IF($A705="","",SUMIFS($B$5:$B$800,$A$5:$A$800,"&gt;="&amp;DATE(YEAR($A705),MONTH($A705),1),$A$5:$A$800,"&lt;="&amp;$A705)+IF(AND(YEAR($A705)=YEAR(Settings!$B$3),MONTH($A705)=MONTH(Settings!$B$3)),Settings!$B$6,0))</f>
        <v/>
      </c>
      <c r="U705" s="71">
        <f>IF($A705="","",SUMIFS($J$5:$J$800,$A$5:$A$800,"&gt;="&amp;DATE(YEAR($A705),MONTH($A705),1),$A$5:$A$800,"&lt;="&amp;$A705)+IF(AND(YEAR($A705)=YEAR(Settings!$B$3),MONTH($A705)=MONTH(Settings!$B$3)),Settings!$B$7,0))</f>
        <v/>
      </c>
      <c r="V705" s="70">
        <f>IF($A705="","",Settings!$B$8+SUM($B$5:B705))</f>
        <v/>
      </c>
      <c r="W705" s="71">
        <f>IF($A705="","",Settings!$B$9+SUM($J$5:J705))</f>
        <v/>
      </c>
      <c r="X705" s="71">
        <f>IF($A705="","",IF(AND(N705&gt;0,F705&gt;0),ROUND(F705/N705,0),X704))</f>
        <v/>
      </c>
      <c r="Y705" s="74">
        <f>IF($A705="","",IF(AND(M705&gt;0,L705&gt;0),ROUND(L705/M705,0),IF(AND(J705&gt;0,B705&gt;0),ROUND(B705/J705,0),Y704)))</f>
        <v/>
      </c>
    </row>
    <row r="706">
      <c r="A706" s="67" t="n"/>
      <c r="B706" s="68" t="n"/>
      <c r="C706" s="69" t="n"/>
      <c r="D706" s="68" t="n"/>
      <c r="E706" s="69" t="n"/>
      <c r="F706" s="68" t="n"/>
      <c r="G706" s="69" t="n"/>
      <c r="H706" s="68" t="n"/>
      <c r="I706" s="70">
        <f>IF($A706="","",R705)</f>
        <v/>
      </c>
      <c r="J706" s="71">
        <f>IF($A706="","",IF(C706="",0,C706))</f>
        <v/>
      </c>
      <c r="K706" s="71">
        <f>IF($A706="","",IF(E706="",0,E706))</f>
        <v/>
      </c>
      <c r="L706" s="70">
        <f>IF($A706="","",B706-D706)</f>
        <v/>
      </c>
      <c r="M706" s="71">
        <f>IF($A706="","",J706-K706)</f>
        <v/>
      </c>
      <c r="N706" s="71">
        <f>IF($A706="","",IF(G706="",0,G706))</f>
        <v/>
      </c>
      <c r="O706" s="70">
        <f>IF($A706="","",D706+F706)</f>
        <v/>
      </c>
      <c r="P706" s="71">
        <f>IF($A706="","",K706+N706)</f>
        <v/>
      </c>
      <c r="Q706" s="70">
        <f>IF($A706="","",I706+L706-F706)</f>
        <v/>
      </c>
      <c r="R706" s="72">
        <f>IF($A706="","",IF(H706="",Q706,H706))</f>
        <v/>
      </c>
      <c r="S706" s="73">
        <f>IF($A706="","",R706-Q706)</f>
        <v/>
      </c>
      <c r="T706" s="70">
        <f>IF($A706="","",SUMIFS($B$5:$B$800,$A$5:$A$800,"&gt;="&amp;DATE(YEAR($A706),MONTH($A706),1),$A$5:$A$800,"&lt;="&amp;$A706)+IF(AND(YEAR($A706)=YEAR(Settings!$B$3),MONTH($A706)=MONTH(Settings!$B$3)),Settings!$B$6,0))</f>
        <v/>
      </c>
      <c r="U706" s="71">
        <f>IF($A706="","",SUMIFS($J$5:$J$800,$A$5:$A$800,"&gt;="&amp;DATE(YEAR($A706),MONTH($A706),1),$A$5:$A$800,"&lt;="&amp;$A706)+IF(AND(YEAR($A706)=YEAR(Settings!$B$3),MONTH($A706)=MONTH(Settings!$B$3)),Settings!$B$7,0))</f>
        <v/>
      </c>
      <c r="V706" s="70">
        <f>IF($A706="","",Settings!$B$8+SUM($B$5:B706))</f>
        <v/>
      </c>
      <c r="W706" s="71">
        <f>IF($A706="","",Settings!$B$9+SUM($J$5:J706))</f>
        <v/>
      </c>
      <c r="X706" s="71">
        <f>IF($A706="","",IF(AND(N706&gt;0,F706&gt;0),ROUND(F706/N706,0),X705))</f>
        <v/>
      </c>
      <c r="Y706" s="74">
        <f>IF($A706="","",IF(AND(M706&gt;0,L706&gt;0),ROUND(L706/M706,0),IF(AND(J706&gt;0,B706&gt;0),ROUND(B706/J706,0),Y705)))</f>
        <v/>
      </c>
    </row>
    <row r="707">
      <c r="A707" s="67" t="n"/>
      <c r="B707" s="68" t="n"/>
      <c r="C707" s="69" t="n"/>
      <c r="D707" s="68" t="n"/>
      <c r="E707" s="69" t="n"/>
      <c r="F707" s="68" t="n"/>
      <c r="G707" s="69" t="n"/>
      <c r="H707" s="68" t="n"/>
      <c r="I707" s="70">
        <f>IF($A707="","",R706)</f>
        <v/>
      </c>
      <c r="J707" s="71">
        <f>IF($A707="","",IF(C707="",0,C707))</f>
        <v/>
      </c>
      <c r="K707" s="71">
        <f>IF($A707="","",IF(E707="",0,E707))</f>
        <v/>
      </c>
      <c r="L707" s="70">
        <f>IF($A707="","",B707-D707)</f>
        <v/>
      </c>
      <c r="M707" s="71">
        <f>IF($A707="","",J707-K707)</f>
        <v/>
      </c>
      <c r="N707" s="71">
        <f>IF($A707="","",IF(G707="",0,G707))</f>
        <v/>
      </c>
      <c r="O707" s="70">
        <f>IF($A707="","",D707+F707)</f>
        <v/>
      </c>
      <c r="P707" s="71">
        <f>IF($A707="","",K707+N707)</f>
        <v/>
      </c>
      <c r="Q707" s="70">
        <f>IF($A707="","",I707+L707-F707)</f>
        <v/>
      </c>
      <c r="R707" s="72">
        <f>IF($A707="","",IF(H707="",Q707,H707))</f>
        <v/>
      </c>
      <c r="S707" s="73">
        <f>IF($A707="","",R707-Q707)</f>
        <v/>
      </c>
      <c r="T707" s="70">
        <f>IF($A707="","",SUMIFS($B$5:$B$800,$A$5:$A$800,"&gt;="&amp;DATE(YEAR($A707),MONTH($A707),1),$A$5:$A$800,"&lt;="&amp;$A707)+IF(AND(YEAR($A707)=YEAR(Settings!$B$3),MONTH($A707)=MONTH(Settings!$B$3)),Settings!$B$6,0))</f>
        <v/>
      </c>
      <c r="U707" s="71">
        <f>IF($A707="","",SUMIFS($J$5:$J$800,$A$5:$A$800,"&gt;="&amp;DATE(YEAR($A707),MONTH($A707),1),$A$5:$A$800,"&lt;="&amp;$A707)+IF(AND(YEAR($A707)=YEAR(Settings!$B$3),MONTH($A707)=MONTH(Settings!$B$3)),Settings!$B$7,0))</f>
        <v/>
      </c>
      <c r="V707" s="70">
        <f>IF($A707="","",Settings!$B$8+SUM($B$5:B707))</f>
        <v/>
      </c>
      <c r="W707" s="71">
        <f>IF($A707="","",Settings!$B$9+SUM($J$5:J707))</f>
        <v/>
      </c>
      <c r="X707" s="71">
        <f>IF($A707="","",IF(AND(N707&gt;0,F707&gt;0),ROUND(F707/N707,0),X706))</f>
        <v/>
      </c>
      <c r="Y707" s="74">
        <f>IF($A707="","",IF(AND(M707&gt;0,L707&gt;0),ROUND(L707/M707,0),IF(AND(J707&gt;0,B707&gt;0),ROUND(B707/J707,0),Y706)))</f>
        <v/>
      </c>
    </row>
    <row r="708">
      <c r="A708" s="67" t="n"/>
      <c r="B708" s="68" t="n"/>
      <c r="C708" s="69" t="n"/>
      <c r="D708" s="68" t="n"/>
      <c r="E708" s="69" t="n"/>
      <c r="F708" s="68" t="n"/>
      <c r="G708" s="69" t="n"/>
      <c r="H708" s="68" t="n"/>
      <c r="I708" s="70">
        <f>IF($A708="","",R707)</f>
        <v/>
      </c>
      <c r="J708" s="71">
        <f>IF($A708="","",IF(C708="",0,C708))</f>
        <v/>
      </c>
      <c r="K708" s="71">
        <f>IF($A708="","",IF(E708="",0,E708))</f>
        <v/>
      </c>
      <c r="L708" s="70">
        <f>IF($A708="","",B708-D708)</f>
        <v/>
      </c>
      <c r="M708" s="71">
        <f>IF($A708="","",J708-K708)</f>
        <v/>
      </c>
      <c r="N708" s="71">
        <f>IF($A708="","",IF(G708="",0,G708))</f>
        <v/>
      </c>
      <c r="O708" s="70">
        <f>IF($A708="","",D708+F708)</f>
        <v/>
      </c>
      <c r="P708" s="71">
        <f>IF($A708="","",K708+N708)</f>
        <v/>
      </c>
      <c r="Q708" s="70">
        <f>IF($A708="","",I708+L708-F708)</f>
        <v/>
      </c>
      <c r="R708" s="72">
        <f>IF($A708="","",IF(H708="",Q708,H708))</f>
        <v/>
      </c>
      <c r="S708" s="73">
        <f>IF($A708="","",R708-Q708)</f>
        <v/>
      </c>
      <c r="T708" s="70">
        <f>IF($A708="","",SUMIFS($B$5:$B$800,$A$5:$A$800,"&gt;="&amp;DATE(YEAR($A708),MONTH($A708),1),$A$5:$A$800,"&lt;="&amp;$A708)+IF(AND(YEAR($A708)=YEAR(Settings!$B$3),MONTH($A708)=MONTH(Settings!$B$3)),Settings!$B$6,0))</f>
        <v/>
      </c>
      <c r="U708" s="71">
        <f>IF($A708="","",SUMIFS($J$5:$J$800,$A$5:$A$800,"&gt;="&amp;DATE(YEAR($A708),MONTH($A708),1),$A$5:$A$800,"&lt;="&amp;$A708)+IF(AND(YEAR($A708)=YEAR(Settings!$B$3),MONTH($A708)=MONTH(Settings!$B$3)),Settings!$B$7,0))</f>
        <v/>
      </c>
      <c r="V708" s="70">
        <f>IF($A708="","",Settings!$B$8+SUM($B$5:B708))</f>
        <v/>
      </c>
      <c r="W708" s="71">
        <f>IF($A708="","",Settings!$B$9+SUM($J$5:J708))</f>
        <v/>
      </c>
      <c r="X708" s="71">
        <f>IF($A708="","",IF(AND(N708&gt;0,F708&gt;0),ROUND(F708/N708,0),X707))</f>
        <v/>
      </c>
      <c r="Y708" s="74">
        <f>IF($A708="","",IF(AND(M708&gt;0,L708&gt;0),ROUND(L708/M708,0),IF(AND(J708&gt;0,B708&gt;0),ROUND(B708/J708,0),Y707)))</f>
        <v/>
      </c>
    </row>
    <row r="709">
      <c r="A709" s="67" t="n"/>
      <c r="B709" s="68" t="n"/>
      <c r="C709" s="69" t="n"/>
      <c r="D709" s="68" t="n"/>
      <c r="E709" s="69" t="n"/>
      <c r="F709" s="68" t="n"/>
      <c r="G709" s="69" t="n"/>
      <c r="H709" s="68" t="n"/>
      <c r="I709" s="70">
        <f>IF($A709="","",R708)</f>
        <v/>
      </c>
      <c r="J709" s="71">
        <f>IF($A709="","",IF(C709="",0,C709))</f>
        <v/>
      </c>
      <c r="K709" s="71">
        <f>IF($A709="","",IF(E709="",0,E709))</f>
        <v/>
      </c>
      <c r="L709" s="70">
        <f>IF($A709="","",B709-D709)</f>
        <v/>
      </c>
      <c r="M709" s="71">
        <f>IF($A709="","",J709-K709)</f>
        <v/>
      </c>
      <c r="N709" s="71">
        <f>IF($A709="","",IF(G709="",0,G709))</f>
        <v/>
      </c>
      <c r="O709" s="70">
        <f>IF($A709="","",D709+F709)</f>
        <v/>
      </c>
      <c r="P709" s="71">
        <f>IF($A709="","",K709+N709)</f>
        <v/>
      </c>
      <c r="Q709" s="70">
        <f>IF($A709="","",I709+L709-F709)</f>
        <v/>
      </c>
      <c r="R709" s="72">
        <f>IF($A709="","",IF(H709="",Q709,H709))</f>
        <v/>
      </c>
      <c r="S709" s="73">
        <f>IF($A709="","",R709-Q709)</f>
        <v/>
      </c>
      <c r="T709" s="70">
        <f>IF($A709="","",SUMIFS($B$5:$B$800,$A$5:$A$800,"&gt;="&amp;DATE(YEAR($A709),MONTH($A709),1),$A$5:$A$800,"&lt;="&amp;$A709)+IF(AND(YEAR($A709)=YEAR(Settings!$B$3),MONTH($A709)=MONTH(Settings!$B$3)),Settings!$B$6,0))</f>
        <v/>
      </c>
      <c r="U709" s="71">
        <f>IF($A709="","",SUMIFS($J$5:$J$800,$A$5:$A$800,"&gt;="&amp;DATE(YEAR($A709),MONTH($A709),1),$A$5:$A$800,"&lt;="&amp;$A709)+IF(AND(YEAR($A709)=YEAR(Settings!$B$3),MONTH($A709)=MONTH(Settings!$B$3)),Settings!$B$7,0))</f>
        <v/>
      </c>
      <c r="V709" s="70">
        <f>IF($A709="","",Settings!$B$8+SUM($B$5:B709))</f>
        <v/>
      </c>
      <c r="W709" s="71">
        <f>IF($A709="","",Settings!$B$9+SUM($J$5:J709))</f>
        <v/>
      </c>
      <c r="X709" s="71">
        <f>IF($A709="","",IF(AND(N709&gt;0,F709&gt;0),ROUND(F709/N709,0),X708))</f>
        <v/>
      </c>
      <c r="Y709" s="74">
        <f>IF($A709="","",IF(AND(M709&gt;0,L709&gt;0),ROUND(L709/M709,0),IF(AND(J709&gt;0,B709&gt;0),ROUND(B709/J709,0),Y708)))</f>
        <v/>
      </c>
    </row>
    <row r="710">
      <c r="A710" s="67" t="n"/>
      <c r="B710" s="68" t="n"/>
      <c r="C710" s="69" t="n"/>
      <c r="D710" s="68" t="n"/>
      <c r="E710" s="69" t="n"/>
      <c r="F710" s="68" t="n"/>
      <c r="G710" s="69" t="n"/>
      <c r="H710" s="68" t="n"/>
      <c r="I710" s="70">
        <f>IF($A710="","",R709)</f>
        <v/>
      </c>
      <c r="J710" s="71">
        <f>IF($A710="","",IF(C710="",0,C710))</f>
        <v/>
      </c>
      <c r="K710" s="71">
        <f>IF($A710="","",IF(E710="",0,E710))</f>
        <v/>
      </c>
      <c r="L710" s="70">
        <f>IF($A710="","",B710-D710)</f>
        <v/>
      </c>
      <c r="M710" s="71">
        <f>IF($A710="","",J710-K710)</f>
        <v/>
      </c>
      <c r="N710" s="71">
        <f>IF($A710="","",IF(G710="",0,G710))</f>
        <v/>
      </c>
      <c r="O710" s="70">
        <f>IF($A710="","",D710+F710)</f>
        <v/>
      </c>
      <c r="P710" s="71">
        <f>IF($A710="","",K710+N710)</f>
        <v/>
      </c>
      <c r="Q710" s="70">
        <f>IF($A710="","",I710+L710-F710)</f>
        <v/>
      </c>
      <c r="R710" s="72">
        <f>IF($A710="","",IF(H710="",Q710,H710))</f>
        <v/>
      </c>
      <c r="S710" s="73">
        <f>IF($A710="","",R710-Q710)</f>
        <v/>
      </c>
      <c r="T710" s="70">
        <f>IF($A710="","",SUMIFS($B$5:$B$800,$A$5:$A$800,"&gt;="&amp;DATE(YEAR($A710),MONTH($A710),1),$A$5:$A$800,"&lt;="&amp;$A710)+IF(AND(YEAR($A710)=YEAR(Settings!$B$3),MONTH($A710)=MONTH(Settings!$B$3)),Settings!$B$6,0))</f>
        <v/>
      </c>
      <c r="U710" s="71">
        <f>IF($A710="","",SUMIFS($J$5:$J$800,$A$5:$A$800,"&gt;="&amp;DATE(YEAR($A710),MONTH($A710),1),$A$5:$A$800,"&lt;="&amp;$A710)+IF(AND(YEAR($A710)=YEAR(Settings!$B$3),MONTH($A710)=MONTH(Settings!$B$3)),Settings!$B$7,0))</f>
        <v/>
      </c>
      <c r="V710" s="70">
        <f>IF($A710="","",Settings!$B$8+SUM($B$5:B710))</f>
        <v/>
      </c>
      <c r="W710" s="71">
        <f>IF($A710="","",Settings!$B$9+SUM($J$5:J710))</f>
        <v/>
      </c>
      <c r="X710" s="71">
        <f>IF($A710="","",IF(AND(N710&gt;0,F710&gt;0),ROUND(F710/N710,0),X709))</f>
        <v/>
      </c>
      <c r="Y710" s="74">
        <f>IF($A710="","",IF(AND(M710&gt;0,L710&gt;0),ROUND(L710/M710,0),IF(AND(J710&gt;0,B710&gt;0),ROUND(B710/J710,0),Y709)))</f>
        <v/>
      </c>
    </row>
    <row r="711">
      <c r="A711" s="67" t="n"/>
      <c r="B711" s="68" t="n"/>
      <c r="C711" s="69" t="n"/>
      <c r="D711" s="68" t="n"/>
      <c r="E711" s="69" t="n"/>
      <c r="F711" s="68" t="n"/>
      <c r="G711" s="69" t="n"/>
      <c r="H711" s="68" t="n"/>
      <c r="I711" s="70">
        <f>IF($A711="","",R710)</f>
        <v/>
      </c>
      <c r="J711" s="71">
        <f>IF($A711="","",IF(C711="",0,C711))</f>
        <v/>
      </c>
      <c r="K711" s="71">
        <f>IF($A711="","",IF(E711="",0,E711))</f>
        <v/>
      </c>
      <c r="L711" s="70">
        <f>IF($A711="","",B711-D711)</f>
        <v/>
      </c>
      <c r="M711" s="71">
        <f>IF($A711="","",J711-K711)</f>
        <v/>
      </c>
      <c r="N711" s="71">
        <f>IF($A711="","",IF(G711="",0,G711))</f>
        <v/>
      </c>
      <c r="O711" s="70">
        <f>IF($A711="","",D711+F711)</f>
        <v/>
      </c>
      <c r="P711" s="71">
        <f>IF($A711="","",K711+N711)</f>
        <v/>
      </c>
      <c r="Q711" s="70">
        <f>IF($A711="","",I711+L711-F711)</f>
        <v/>
      </c>
      <c r="R711" s="72">
        <f>IF($A711="","",IF(H711="",Q711,H711))</f>
        <v/>
      </c>
      <c r="S711" s="73">
        <f>IF($A711="","",R711-Q711)</f>
        <v/>
      </c>
      <c r="T711" s="70">
        <f>IF($A711="","",SUMIFS($B$5:$B$800,$A$5:$A$800,"&gt;="&amp;DATE(YEAR($A711),MONTH($A711),1),$A$5:$A$800,"&lt;="&amp;$A711)+IF(AND(YEAR($A711)=YEAR(Settings!$B$3),MONTH($A711)=MONTH(Settings!$B$3)),Settings!$B$6,0))</f>
        <v/>
      </c>
      <c r="U711" s="71">
        <f>IF($A711="","",SUMIFS($J$5:$J$800,$A$5:$A$800,"&gt;="&amp;DATE(YEAR($A711),MONTH($A711),1),$A$5:$A$800,"&lt;="&amp;$A711)+IF(AND(YEAR($A711)=YEAR(Settings!$B$3),MONTH($A711)=MONTH(Settings!$B$3)),Settings!$B$7,0))</f>
        <v/>
      </c>
      <c r="V711" s="70">
        <f>IF($A711="","",Settings!$B$8+SUM($B$5:B711))</f>
        <v/>
      </c>
      <c r="W711" s="71">
        <f>IF($A711="","",Settings!$B$9+SUM($J$5:J711))</f>
        <v/>
      </c>
      <c r="X711" s="71">
        <f>IF($A711="","",IF(AND(N711&gt;0,F711&gt;0),ROUND(F711/N711,0),X710))</f>
        <v/>
      </c>
      <c r="Y711" s="74">
        <f>IF($A711="","",IF(AND(M711&gt;0,L711&gt;0),ROUND(L711/M711,0),IF(AND(J711&gt;0,B711&gt;0),ROUND(B711/J711,0),Y710)))</f>
        <v/>
      </c>
    </row>
    <row r="712">
      <c r="A712" s="67" t="n"/>
      <c r="B712" s="68" t="n"/>
      <c r="C712" s="69" t="n"/>
      <c r="D712" s="68" t="n"/>
      <c r="E712" s="69" t="n"/>
      <c r="F712" s="68" t="n"/>
      <c r="G712" s="69" t="n"/>
      <c r="H712" s="68" t="n"/>
      <c r="I712" s="70">
        <f>IF($A712="","",R711)</f>
        <v/>
      </c>
      <c r="J712" s="71">
        <f>IF($A712="","",IF(C712="",0,C712))</f>
        <v/>
      </c>
      <c r="K712" s="71">
        <f>IF($A712="","",IF(E712="",0,E712))</f>
        <v/>
      </c>
      <c r="L712" s="70">
        <f>IF($A712="","",B712-D712)</f>
        <v/>
      </c>
      <c r="M712" s="71">
        <f>IF($A712="","",J712-K712)</f>
        <v/>
      </c>
      <c r="N712" s="71">
        <f>IF($A712="","",IF(G712="",0,G712))</f>
        <v/>
      </c>
      <c r="O712" s="70">
        <f>IF($A712="","",D712+F712)</f>
        <v/>
      </c>
      <c r="P712" s="71">
        <f>IF($A712="","",K712+N712)</f>
        <v/>
      </c>
      <c r="Q712" s="70">
        <f>IF($A712="","",I712+L712-F712)</f>
        <v/>
      </c>
      <c r="R712" s="72">
        <f>IF($A712="","",IF(H712="",Q712,H712))</f>
        <v/>
      </c>
      <c r="S712" s="73">
        <f>IF($A712="","",R712-Q712)</f>
        <v/>
      </c>
      <c r="T712" s="70">
        <f>IF($A712="","",SUMIFS($B$5:$B$800,$A$5:$A$800,"&gt;="&amp;DATE(YEAR($A712),MONTH($A712),1),$A$5:$A$800,"&lt;="&amp;$A712)+IF(AND(YEAR($A712)=YEAR(Settings!$B$3),MONTH($A712)=MONTH(Settings!$B$3)),Settings!$B$6,0))</f>
        <v/>
      </c>
      <c r="U712" s="71">
        <f>IF($A712="","",SUMIFS($J$5:$J$800,$A$5:$A$800,"&gt;="&amp;DATE(YEAR($A712),MONTH($A712),1),$A$5:$A$800,"&lt;="&amp;$A712)+IF(AND(YEAR($A712)=YEAR(Settings!$B$3),MONTH($A712)=MONTH(Settings!$B$3)),Settings!$B$7,0))</f>
        <v/>
      </c>
      <c r="V712" s="70">
        <f>IF($A712="","",Settings!$B$8+SUM($B$5:B712))</f>
        <v/>
      </c>
      <c r="W712" s="71">
        <f>IF($A712="","",Settings!$B$9+SUM($J$5:J712))</f>
        <v/>
      </c>
      <c r="X712" s="71">
        <f>IF($A712="","",IF(AND(N712&gt;0,F712&gt;0),ROUND(F712/N712,0),X711))</f>
        <v/>
      </c>
      <c r="Y712" s="74">
        <f>IF($A712="","",IF(AND(M712&gt;0,L712&gt;0),ROUND(L712/M712,0),IF(AND(J712&gt;0,B712&gt;0),ROUND(B712/J712,0),Y711)))</f>
        <v/>
      </c>
    </row>
    <row r="713">
      <c r="A713" s="67" t="n"/>
      <c r="B713" s="68" t="n"/>
      <c r="C713" s="69" t="n"/>
      <c r="D713" s="68" t="n"/>
      <c r="E713" s="69" t="n"/>
      <c r="F713" s="68" t="n"/>
      <c r="G713" s="69" t="n"/>
      <c r="H713" s="68" t="n"/>
      <c r="I713" s="70">
        <f>IF($A713="","",R712)</f>
        <v/>
      </c>
      <c r="J713" s="71">
        <f>IF($A713="","",IF(C713="",0,C713))</f>
        <v/>
      </c>
      <c r="K713" s="71">
        <f>IF($A713="","",IF(E713="",0,E713))</f>
        <v/>
      </c>
      <c r="L713" s="70">
        <f>IF($A713="","",B713-D713)</f>
        <v/>
      </c>
      <c r="M713" s="71">
        <f>IF($A713="","",J713-K713)</f>
        <v/>
      </c>
      <c r="N713" s="71">
        <f>IF($A713="","",IF(G713="",0,G713))</f>
        <v/>
      </c>
      <c r="O713" s="70">
        <f>IF($A713="","",D713+F713)</f>
        <v/>
      </c>
      <c r="P713" s="71">
        <f>IF($A713="","",K713+N713)</f>
        <v/>
      </c>
      <c r="Q713" s="70">
        <f>IF($A713="","",I713+L713-F713)</f>
        <v/>
      </c>
      <c r="R713" s="72">
        <f>IF($A713="","",IF(H713="",Q713,H713))</f>
        <v/>
      </c>
      <c r="S713" s="73">
        <f>IF($A713="","",R713-Q713)</f>
        <v/>
      </c>
      <c r="T713" s="70">
        <f>IF($A713="","",SUMIFS($B$5:$B$800,$A$5:$A$800,"&gt;="&amp;DATE(YEAR($A713),MONTH($A713),1),$A$5:$A$800,"&lt;="&amp;$A713)+IF(AND(YEAR($A713)=YEAR(Settings!$B$3),MONTH($A713)=MONTH(Settings!$B$3)),Settings!$B$6,0))</f>
        <v/>
      </c>
      <c r="U713" s="71">
        <f>IF($A713="","",SUMIFS($J$5:$J$800,$A$5:$A$800,"&gt;="&amp;DATE(YEAR($A713),MONTH($A713),1),$A$5:$A$800,"&lt;="&amp;$A713)+IF(AND(YEAR($A713)=YEAR(Settings!$B$3),MONTH($A713)=MONTH(Settings!$B$3)),Settings!$B$7,0))</f>
        <v/>
      </c>
      <c r="V713" s="70">
        <f>IF($A713="","",Settings!$B$8+SUM($B$5:B713))</f>
        <v/>
      </c>
      <c r="W713" s="71">
        <f>IF($A713="","",Settings!$B$9+SUM($J$5:J713))</f>
        <v/>
      </c>
      <c r="X713" s="71">
        <f>IF($A713="","",IF(AND(N713&gt;0,F713&gt;0),ROUND(F713/N713,0),X712))</f>
        <v/>
      </c>
      <c r="Y713" s="74">
        <f>IF($A713="","",IF(AND(M713&gt;0,L713&gt;0),ROUND(L713/M713,0),IF(AND(J713&gt;0,B713&gt;0),ROUND(B713/J713,0),Y712)))</f>
        <v/>
      </c>
    </row>
    <row r="714">
      <c r="A714" s="67" t="n"/>
      <c r="B714" s="68" t="n"/>
      <c r="C714" s="69" t="n"/>
      <c r="D714" s="68" t="n"/>
      <c r="E714" s="69" t="n"/>
      <c r="F714" s="68" t="n"/>
      <c r="G714" s="69" t="n"/>
      <c r="H714" s="68" t="n"/>
      <c r="I714" s="70">
        <f>IF($A714="","",R713)</f>
        <v/>
      </c>
      <c r="J714" s="71">
        <f>IF($A714="","",IF(C714="",0,C714))</f>
        <v/>
      </c>
      <c r="K714" s="71">
        <f>IF($A714="","",IF(E714="",0,E714))</f>
        <v/>
      </c>
      <c r="L714" s="70">
        <f>IF($A714="","",B714-D714)</f>
        <v/>
      </c>
      <c r="M714" s="71">
        <f>IF($A714="","",J714-K714)</f>
        <v/>
      </c>
      <c r="N714" s="71">
        <f>IF($A714="","",IF(G714="",0,G714))</f>
        <v/>
      </c>
      <c r="O714" s="70">
        <f>IF($A714="","",D714+F714)</f>
        <v/>
      </c>
      <c r="P714" s="71">
        <f>IF($A714="","",K714+N714)</f>
        <v/>
      </c>
      <c r="Q714" s="70">
        <f>IF($A714="","",I714+L714-F714)</f>
        <v/>
      </c>
      <c r="R714" s="72">
        <f>IF($A714="","",IF(H714="",Q714,H714))</f>
        <v/>
      </c>
      <c r="S714" s="73">
        <f>IF($A714="","",R714-Q714)</f>
        <v/>
      </c>
      <c r="T714" s="70">
        <f>IF($A714="","",SUMIFS($B$5:$B$800,$A$5:$A$800,"&gt;="&amp;DATE(YEAR($A714),MONTH($A714),1),$A$5:$A$800,"&lt;="&amp;$A714)+IF(AND(YEAR($A714)=YEAR(Settings!$B$3),MONTH($A714)=MONTH(Settings!$B$3)),Settings!$B$6,0))</f>
        <v/>
      </c>
      <c r="U714" s="71">
        <f>IF($A714="","",SUMIFS($J$5:$J$800,$A$5:$A$800,"&gt;="&amp;DATE(YEAR($A714),MONTH($A714),1),$A$5:$A$800,"&lt;="&amp;$A714)+IF(AND(YEAR($A714)=YEAR(Settings!$B$3),MONTH($A714)=MONTH(Settings!$B$3)),Settings!$B$7,0))</f>
        <v/>
      </c>
      <c r="V714" s="70">
        <f>IF($A714="","",Settings!$B$8+SUM($B$5:B714))</f>
        <v/>
      </c>
      <c r="W714" s="71">
        <f>IF($A714="","",Settings!$B$9+SUM($J$5:J714))</f>
        <v/>
      </c>
      <c r="X714" s="71">
        <f>IF($A714="","",IF(AND(N714&gt;0,F714&gt;0),ROUND(F714/N714,0),X713))</f>
        <v/>
      </c>
      <c r="Y714" s="74">
        <f>IF($A714="","",IF(AND(M714&gt;0,L714&gt;0),ROUND(L714/M714,0),IF(AND(J714&gt;0,B714&gt;0),ROUND(B714/J714,0),Y713)))</f>
        <v/>
      </c>
    </row>
    <row r="715">
      <c r="A715" s="67" t="n"/>
      <c r="B715" s="68" t="n"/>
      <c r="C715" s="69" t="n"/>
      <c r="D715" s="68" t="n"/>
      <c r="E715" s="69" t="n"/>
      <c r="F715" s="68" t="n"/>
      <c r="G715" s="69" t="n"/>
      <c r="H715" s="68" t="n"/>
      <c r="I715" s="70">
        <f>IF($A715="","",R714)</f>
        <v/>
      </c>
      <c r="J715" s="71">
        <f>IF($A715="","",IF(C715="",0,C715))</f>
        <v/>
      </c>
      <c r="K715" s="71">
        <f>IF($A715="","",IF(E715="",0,E715))</f>
        <v/>
      </c>
      <c r="L715" s="70">
        <f>IF($A715="","",B715-D715)</f>
        <v/>
      </c>
      <c r="M715" s="71">
        <f>IF($A715="","",J715-K715)</f>
        <v/>
      </c>
      <c r="N715" s="71">
        <f>IF($A715="","",IF(G715="",0,G715))</f>
        <v/>
      </c>
      <c r="O715" s="70">
        <f>IF($A715="","",D715+F715)</f>
        <v/>
      </c>
      <c r="P715" s="71">
        <f>IF($A715="","",K715+N715)</f>
        <v/>
      </c>
      <c r="Q715" s="70">
        <f>IF($A715="","",I715+L715-F715)</f>
        <v/>
      </c>
      <c r="R715" s="72">
        <f>IF($A715="","",IF(H715="",Q715,H715))</f>
        <v/>
      </c>
      <c r="S715" s="73">
        <f>IF($A715="","",R715-Q715)</f>
        <v/>
      </c>
      <c r="T715" s="70">
        <f>IF($A715="","",SUMIFS($B$5:$B$800,$A$5:$A$800,"&gt;="&amp;DATE(YEAR($A715),MONTH($A715),1),$A$5:$A$800,"&lt;="&amp;$A715)+IF(AND(YEAR($A715)=YEAR(Settings!$B$3),MONTH($A715)=MONTH(Settings!$B$3)),Settings!$B$6,0))</f>
        <v/>
      </c>
      <c r="U715" s="71">
        <f>IF($A715="","",SUMIFS($J$5:$J$800,$A$5:$A$800,"&gt;="&amp;DATE(YEAR($A715),MONTH($A715),1),$A$5:$A$800,"&lt;="&amp;$A715)+IF(AND(YEAR($A715)=YEAR(Settings!$B$3),MONTH($A715)=MONTH(Settings!$B$3)),Settings!$B$7,0))</f>
        <v/>
      </c>
      <c r="V715" s="70">
        <f>IF($A715="","",Settings!$B$8+SUM($B$5:B715))</f>
        <v/>
      </c>
      <c r="W715" s="71">
        <f>IF($A715="","",Settings!$B$9+SUM($J$5:J715))</f>
        <v/>
      </c>
      <c r="X715" s="71">
        <f>IF($A715="","",IF(AND(N715&gt;0,F715&gt;0),ROUND(F715/N715,0),X714))</f>
        <v/>
      </c>
      <c r="Y715" s="74">
        <f>IF($A715="","",IF(AND(M715&gt;0,L715&gt;0),ROUND(L715/M715,0),IF(AND(J715&gt;0,B715&gt;0),ROUND(B715/J715,0),Y714)))</f>
        <v/>
      </c>
    </row>
    <row r="716">
      <c r="A716" s="67" t="n"/>
      <c r="B716" s="68" t="n"/>
      <c r="C716" s="69" t="n"/>
      <c r="D716" s="68" t="n"/>
      <c r="E716" s="69" t="n"/>
      <c r="F716" s="68" t="n"/>
      <c r="G716" s="69" t="n"/>
      <c r="H716" s="68" t="n"/>
      <c r="I716" s="70">
        <f>IF($A716="","",R715)</f>
        <v/>
      </c>
      <c r="J716" s="71">
        <f>IF($A716="","",IF(C716="",0,C716))</f>
        <v/>
      </c>
      <c r="K716" s="71">
        <f>IF($A716="","",IF(E716="",0,E716))</f>
        <v/>
      </c>
      <c r="L716" s="70">
        <f>IF($A716="","",B716-D716)</f>
        <v/>
      </c>
      <c r="M716" s="71">
        <f>IF($A716="","",J716-K716)</f>
        <v/>
      </c>
      <c r="N716" s="71">
        <f>IF($A716="","",IF(G716="",0,G716))</f>
        <v/>
      </c>
      <c r="O716" s="70">
        <f>IF($A716="","",D716+F716)</f>
        <v/>
      </c>
      <c r="P716" s="71">
        <f>IF($A716="","",K716+N716)</f>
        <v/>
      </c>
      <c r="Q716" s="70">
        <f>IF($A716="","",I716+L716-F716)</f>
        <v/>
      </c>
      <c r="R716" s="72">
        <f>IF($A716="","",IF(H716="",Q716,H716))</f>
        <v/>
      </c>
      <c r="S716" s="73">
        <f>IF($A716="","",R716-Q716)</f>
        <v/>
      </c>
      <c r="T716" s="70">
        <f>IF($A716="","",SUMIFS($B$5:$B$800,$A$5:$A$800,"&gt;="&amp;DATE(YEAR($A716),MONTH($A716),1),$A$5:$A$800,"&lt;="&amp;$A716)+IF(AND(YEAR($A716)=YEAR(Settings!$B$3),MONTH($A716)=MONTH(Settings!$B$3)),Settings!$B$6,0))</f>
        <v/>
      </c>
      <c r="U716" s="71">
        <f>IF($A716="","",SUMIFS($J$5:$J$800,$A$5:$A$800,"&gt;="&amp;DATE(YEAR($A716),MONTH($A716),1),$A$5:$A$800,"&lt;="&amp;$A716)+IF(AND(YEAR($A716)=YEAR(Settings!$B$3),MONTH($A716)=MONTH(Settings!$B$3)),Settings!$B$7,0))</f>
        <v/>
      </c>
      <c r="V716" s="70">
        <f>IF($A716="","",Settings!$B$8+SUM($B$5:B716))</f>
        <v/>
      </c>
      <c r="W716" s="71">
        <f>IF($A716="","",Settings!$B$9+SUM($J$5:J716))</f>
        <v/>
      </c>
      <c r="X716" s="71">
        <f>IF($A716="","",IF(AND(N716&gt;0,F716&gt;0),ROUND(F716/N716,0),X715))</f>
        <v/>
      </c>
      <c r="Y716" s="74">
        <f>IF($A716="","",IF(AND(M716&gt;0,L716&gt;0),ROUND(L716/M716,0),IF(AND(J716&gt;0,B716&gt;0),ROUND(B716/J716,0),Y715)))</f>
        <v/>
      </c>
    </row>
    <row r="717">
      <c r="A717" s="67" t="n"/>
      <c r="B717" s="68" t="n"/>
      <c r="C717" s="69" t="n"/>
      <c r="D717" s="68" t="n"/>
      <c r="E717" s="69" t="n"/>
      <c r="F717" s="68" t="n"/>
      <c r="G717" s="69" t="n"/>
      <c r="H717" s="68" t="n"/>
      <c r="I717" s="70">
        <f>IF($A717="","",R716)</f>
        <v/>
      </c>
      <c r="J717" s="71">
        <f>IF($A717="","",IF(C717="",0,C717))</f>
        <v/>
      </c>
      <c r="K717" s="71">
        <f>IF($A717="","",IF(E717="",0,E717))</f>
        <v/>
      </c>
      <c r="L717" s="70">
        <f>IF($A717="","",B717-D717)</f>
        <v/>
      </c>
      <c r="M717" s="71">
        <f>IF($A717="","",J717-K717)</f>
        <v/>
      </c>
      <c r="N717" s="71">
        <f>IF($A717="","",IF(G717="",0,G717))</f>
        <v/>
      </c>
      <c r="O717" s="70">
        <f>IF($A717="","",D717+F717)</f>
        <v/>
      </c>
      <c r="P717" s="71">
        <f>IF($A717="","",K717+N717)</f>
        <v/>
      </c>
      <c r="Q717" s="70">
        <f>IF($A717="","",I717+L717-F717)</f>
        <v/>
      </c>
      <c r="R717" s="72">
        <f>IF($A717="","",IF(H717="",Q717,H717))</f>
        <v/>
      </c>
      <c r="S717" s="73">
        <f>IF($A717="","",R717-Q717)</f>
        <v/>
      </c>
      <c r="T717" s="70">
        <f>IF($A717="","",SUMIFS($B$5:$B$800,$A$5:$A$800,"&gt;="&amp;DATE(YEAR($A717),MONTH($A717),1),$A$5:$A$800,"&lt;="&amp;$A717)+IF(AND(YEAR($A717)=YEAR(Settings!$B$3),MONTH($A717)=MONTH(Settings!$B$3)),Settings!$B$6,0))</f>
        <v/>
      </c>
      <c r="U717" s="71">
        <f>IF($A717="","",SUMIFS($J$5:$J$800,$A$5:$A$800,"&gt;="&amp;DATE(YEAR($A717),MONTH($A717),1),$A$5:$A$800,"&lt;="&amp;$A717)+IF(AND(YEAR($A717)=YEAR(Settings!$B$3),MONTH($A717)=MONTH(Settings!$B$3)),Settings!$B$7,0))</f>
        <v/>
      </c>
      <c r="V717" s="70">
        <f>IF($A717="","",Settings!$B$8+SUM($B$5:B717))</f>
        <v/>
      </c>
      <c r="W717" s="71">
        <f>IF($A717="","",Settings!$B$9+SUM($J$5:J717))</f>
        <v/>
      </c>
      <c r="X717" s="71">
        <f>IF($A717="","",IF(AND(N717&gt;0,F717&gt;0),ROUND(F717/N717,0),X716))</f>
        <v/>
      </c>
      <c r="Y717" s="74">
        <f>IF($A717="","",IF(AND(M717&gt;0,L717&gt;0),ROUND(L717/M717,0),IF(AND(J717&gt;0,B717&gt;0),ROUND(B717/J717,0),Y716)))</f>
        <v/>
      </c>
    </row>
    <row r="718">
      <c r="A718" s="67" t="n"/>
      <c r="B718" s="68" t="n"/>
      <c r="C718" s="69" t="n"/>
      <c r="D718" s="68" t="n"/>
      <c r="E718" s="69" t="n"/>
      <c r="F718" s="68" t="n"/>
      <c r="G718" s="69" t="n"/>
      <c r="H718" s="68" t="n"/>
      <c r="I718" s="70">
        <f>IF($A718="","",R717)</f>
        <v/>
      </c>
      <c r="J718" s="71">
        <f>IF($A718="","",IF(C718="",0,C718))</f>
        <v/>
      </c>
      <c r="K718" s="71">
        <f>IF($A718="","",IF(E718="",0,E718))</f>
        <v/>
      </c>
      <c r="L718" s="70">
        <f>IF($A718="","",B718-D718)</f>
        <v/>
      </c>
      <c r="M718" s="71">
        <f>IF($A718="","",J718-K718)</f>
        <v/>
      </c>
      <c r="N718" s="71">
        <f>IF($A718="","",IF(G718="",0,G718))</f>
        <v/>
      </c>
      <c r="O718" s="70">
        <f>IF($A718="","",D718+F718)</f>
        <v/>
      </c>
      <c r="P718" s="71">
        <f>IF($A718="","",K718+N718)</f>
        <v/>
      </c>
      <c r="Q718" s="70">
        <f>IF($A718="","",I718+L718-F718)</f>
        <v/>
      </c>
      <c r="R718" s="72">
        <f>IF($A718="","",IF(H718="",Q718,H718))</f>
        <v/>
      </c>
      <c r="S718" s="73">
        <f>IF($A718="","",R718-Q718)</f>
        <v/>
      </c>
      <c r="T718" s="70">
        <f>IF($A718="","",SUMIFS($B$5:$B$800,$A$5:$A$800,"&gt;="&amp;DATE(YEAR($A718),MONTH($A718),1),$A$5:$A$800,"&lt;="&amp;$A718)+IF(AND(YEAR($A718)=YEAR(Settings!$B$3),MONTH($A718)=MONTH(Settings!$B$3)),Settings!$B$6,0))</f>
        <v/>
      </c>
      <c r="U718" s="71">
        <f>IF($A718="","",SUMIFS($J$5:$J$800,$A$5:$A$800,"&gt;="&amp;DATE(YEAR($A718),MONTH($A718),1),$A$5:$A$800,"&lt;="&amp;$A718)+IF(AND(YEAR($A718)=YEAR(Settings!$B$3),MONTH($A718)=MONTH(Settings!$B$3)),Settings!$B$7,0))</f>
        <v/>
      </c>
      <c r="V718" s="70">
        <f>IF($A718="","",Settings!$B$8+SUM($B$5:B718))</f>
        <v/>
      </c>
      <c r="W718" s="71">
        <f>IF($A718="","",Settings!$B$9+SUM($J$5:J718))</f>
        <v/>
      </c>
      <c r="X718" s="71">
        <f>IF($A718="","",IF(AND(N718&gt;0,F718&gt;0),ROUND(F718/N718,0),X717))</f>
        <v/>
      </c>
      <c r="Y718" s="74">
        <f>IF($A718="","",IF(AND(M718&gt;0,L718&gt;0),ROUND(L718/M718,0),IF(AND(J718&gt;0,B718&gt;0),ROUND(B718/J718,0),Y717)))</f>
        <v/>
      </c>
    </row>
    <row r="719">
      <c r="A719" s="67" t="n"/>
      <c r="B719" s="68" t="n"/>
      <c r="C719" s="69" t="n"/>
      <c r="D719" s="68" t="n"/>
      <c r="E719" s="69" t="n"/>
      <c r="F719" s="68" t="n"/>
      <c r="G719" s="69" t="n"/>
      <c r="H719" s="68" t="n"/>
      <c r="I719" s="70">
        <f>IF($A719="","",R718)</f>
        <v/>
      </c>
      <c r="J719" s="71">
        <f>IF($A719="","",IF(C719="",0,C719))</f>
        <v/>
      </c>
      <c r="K719" s="71">
        <f>IF($A719="","",IF(E719="",0,E719))</f>
        <v/>
      </c>
      <c r="L719" s="70">
        <f>IF($A719="","",B719-D719)</f>
        <v/>
      </c>
      <c r="M719" s="71">
        <f>IF($A719="","",J719-K719)</f>
        <v/>
      </c>
      <c r="N719" s="71">
        <f>IF($A719="","",IF(G719="",0,G719))</f>
        <v/>
      </c>
      <c r="O719" s="70">
        <f>IF($A719="","",D719+F719)</f>
        <v/>
      </c>
      <c r="P719" s="71">
        <f>IF($A719="","",K719+N719)</f>
        <v/>
      </c>
      <c r="Q719" s="70">
        <f>IF($A719="","",I719+L719-F719)</f>
        <v/>
      </c>
      <c r="R719" s="72">
        <f>IF($A719="","",IF(H719="",Q719,H719))</f>
        <v/>
      </c>
      <c r="S719" s="73">
        <f>IF($A719="","",R719-Q719)</f>
        <v/>
      </c>
      <c r="T719" s="70">
        <f>IF($A719="","",SUMIFS($B$5:$B$800,$A$5:$A$800,"&gt;="&amp;DATE(YEAR($A719),MONTH($A719),1),$A$5:$A$800,"&lt;="&amp;$A719)+IF(AND(YEAR($A719)=YEAR(Settings!$B$3),MONTH($A719)=MONTH(Settings!$B$3)),Settings!$B$6,0))</f>
        <v/>
      </c>
      <c r="U719" s="71">
        <f>IF($A719="","",SUMIFS($J$5:$J$800,$A$5:$A$800,"&gt;="&amp;DATE(YEAR($A719),MONTH($A719),1),$A$5:$A$800,"&lt;="&amp;$A719)+IF(AND(YEAR($A719)=YEAR(Settings!$B$3),MONTH($A719)=MONTH(Settings!$B$3)),Settings!$B$7,0))</f>
        <v/>
      </c>
      <c r="V719" s="70">
        <f>IF($A719="","",Settings!$B$8+SUM($B$5:B719))</f>
        <v/>
      </c>
      <c r="W719" s="71">
        <f>IF($A719="","",Settings!$B$9+SUM($J$5:J719))</f>
        <v/>
      </c>
      <c r="X719" s="71">
        <f>IF($A719="","",IF(AND(N719&gt;0,F719&gt;0),ROUND(F719/N719,0),X718))</f>
        <v/>
      </c>
      <c r="Y719" s="74">
        <f>IF($A719="","",IF(AND(M719&gt;0,L719&gt;0),ROUND(L719/M719,0),IF(AND(J719&gt;0,B719&gt;0),ROUND(B719/J719,0),Y718)))</f>
        <v/>
      </c>
    </row>
    <row r="720">
      <c r="A720" s="67" t="n"/>
      <c r="B720" s="68" t="n"/>
      <c r="C720" s="69" t="n"/>
      <c r="D720" s="68" t="n"/>
      <c r="E720" s="69" t="n"/>
      <c r="F720" s="68" t="n"/>
      <c r="G720" s="69" t="n"/>
      <c r="H720" s="68" t="n"/>
      <c r="I720" s="70">
        <f>IF($A720="","",R719)</f>
        <v/>
      </c>
      <c r="J720" s="71">
        <f>IF($A720="","",IF(C720="",0,C720))</f>
        <v/>
      </c>
      <c r="K720" s="71">
        <f>IF($A720="","",IF(E720="",0,E720))</f>
        <v/>
      </c>
      <c r="L720" s="70">
        <f>IF($A720="","",B720-D720)</f>
        <v/>
      </c>
      <c r="M720" s="71">
        <f>IF($A720="","",J720-K720)</f>
        <v/>
      </c>
      <c r="N720" s="71">
        <f>IF($A720="","",IF(G720="",0,G720))</f>
        <v/>
      </c>
      <c r="O720" s="70">
        <f>IF($A720="","",D720+F720)</f>
        <v/>
      </c>
      <c r="P720" s="71">
        <f>IF($A720="","",K720+N720)</f>
        <v/>
      </c>
      <c r="Q720" s="70">
        <f>IF($A720="","",I720+L720-F720)</f>
        <v/>
      </c>
      <c r="R720" s="72">
        <f>IF($A720="","",IF(H720="",Q720,H720))</f>
        <v/>
      </c>
      <c r="S720" s="73">
        <f>IF($A720="","",R720-Q720)</f>
        <v/>
      </c>
      <c r="T720" s="70">
        <f>IF($A720="","",SUMIFS($B$5:$B$800,$A$5:$A$800,"&gt;="&amp;DATE(YEAR($A720),MONTH($A720),1),$A$5:$A$800,"&lt;="&amp;$A720)+IF(AND(YEAR($A720)=YEAR(Settings!$B$3),MONTH($A720)=MONTH(Settings!$B$3)),Settings!$B$6,0))</f>
        <v/>
      </c>
      <c r="U720" s="71">
        <f>IF($A720="","",SUMIFS($J$5:$J$800,$A$5:$A$800,"&gt;="&amp;DATE(YEAR($A720),MONTH($A720),1),$A$5:$A$800,"&lt;="&amp;$A720)+IF(AND(YEAR($A720)=YEAR(Settings!$B$3),MONTH($A720)=MONTH(Settings!$B$3)),Settings!$B$7,0))</f>
        <v/>
      </c>
      <c r="V720" s="70">
        <f>IF($A720="","",Settings!$B$8+SUM($B$5:B720))</f>
        <v/>
      </c>
      <c r="W720" s="71">
        <f>IF($A720="","",Settings!$B$9+SUM($J$5:J720))</f>
        <v/>
      </c>
      <c r="X720" s="71">
        <f>IF($A720="","",IF(AND(N720&gt;0,F720&gt;0),ROUND(F720/N720,0),X719))</f>
        <v/>
      </c>
      <c r="Y720" s="74">
        <f>IF($A720="","",IF(AND(M720&gt;0,L720&gt;0),ROUND(L720/M720,0),IF(AND(J720&gt;0,B720&gt;0),ROUND(B720/J720,0),Y719)))</f>
        <v/>
      </c>
    </row>
    <row r="721">
      <c r="A721" s="67" t="n"/>
      <c r="B721" s="68" t="n"/>
      <c r="C721" s="69" t="n"/>
      <c r="D721" s="68" t="n"/>
      <c r="E721" s="69" t="n"/>
      <c r="F721" s="68" t="n"/>
      <c r="G721" s="69" t="n"/>
      <c r="H721" s="68" t="n"/>
      <c r="I721" s="70">
        <f>IF($A721="","",R720)</f>
        <v/>
      </c>
      <c r="J721" s="71">
        <f>IF($A721="","",IF(C721="",0,C721))</f>
        <v/>
      </c>
      <c r="K721" s="71">
        <f>IF($A721="","",IF(E721="",0,E721))</f>
        <v/>
      </c>
      <c r="L721" s="70">
        <f>IF($A721="","",B721-D721)</f>
        <v/>
      </c>
      <c r="M721" s="71">
        <f>IF($A721="","",J721-K721)</f>
        <v/>
      </c>
      <c r="N721" s="71">
        <f>IF($A721="","",IF(G721="",0,G721))</f>
        <v/>
      </c>
      <c r="O721" s="70">
        <f>IF($A721="","",D721+F721)</f>
        <v/>
      </c>
      <c r="P721" s="71">
        <f>IF($A721="","",K721+N721)</f>
        <v/>
      </c>
      <c r="Q721" s="70">
        <f>IF($A721="","",I721+L721-F721)</f>
        <v/>
      </c>
      <c r="R721" s="72">
        <f>IF($A721="","",IF(H721="",Q721,H721))</f>
        <v/>
      </c>
      <c r="S721" s="73">
        <f>IF($A721="","",R721-Q721)</f>
        <v/>
      </c>
      <c r="T721" s="70">
        <f>IF($A721="","",SUMIFS($B$5:$B$800,$A$5:$A$800,"&gt;="&amp;DATE(YEAR($A721),MONTH($A721),1),$A$5:$A$800,"&lt;="&amp;$A721)+IF(AND(YEAR($A721)=YEAR(Settings!$B$3),MONTH($A721)=MONTH(Settings!$B$3)),Settings!$B$6,0))</f>
        <v/>
      </c>
      <c r="U721" s="71">
        <f>IF($A721="","",SUMIFS($J$5:$J$800,$A$5:$A$800,"&gt;="&amp;DATE(YEAR($A721),MONTH($A721),1),$A$5:$A$800,"&lt;="&amp;$A721)+IF(AND(YEAR($A721)=YEAR(Settings!$B$3),MONTH($A721)=MONTH(Settings!$B$3)),Settings!$B$7,0))</f>
        <v/>
      </c>
      <c r="V721" s="70">
        <f>IF($A721="","",Settings!$B$8+SUM($B$5:B721))</f>
        <v/>
      </c>
      <c r="W721" s="71">
        <f>IF($A721="","",Settings!$B$9+SUM($J$5:J721))</f>
        <v/>
      </c>
      <c r="X721" s="71">
        <f>IF($A721="","",IF(AND(N721&gt;0,F721&gt;0),ROUND(F721/N721,0),X720))</f>
        <v/>
      </c>
      <c r="Y721" s="74">
        <f>IF($A721="","",IF(AND(M721&gt;0,L721&gt;0),ROUND(L721/M721,0),IF(AND(J721&gt;0,B721&gt;0),ROUND(B721/J721,0),Y720)))</f>
        <v/>
      </c>
    </row>
    <row r="722">
      <c r="A722" s="67" t="n"/>
      <c r="B722" s="68" t="n"/>
      <c r="C722" s="69" t="n"/>
      <c r="D722" s="68" t="n"/>
      <c r="E722" s="69" t="n"/>
      <c r="F722" s="68" t="n"/>
      <c r="G722" s="69" t="n"/>
      <c r="H722" s="68" t="n"/>
      <c r="I722" s="70">
        <f>IF($A722="","",R721)</f>
        <v/>
      </c>
      <c r="J722" s="71">
        <f>IF($A722="","",IF(C722="",0,C722))</f>
        <v/>
      </c>
      <c r="K722" s="71">
        <f>IF($A722="","",IF(E722="",0,E722))</f>
        <v/>
      </c>
      <c r="L722" s="70">
        <f>IF($A722="","",B722-D722)</f>
        <v/>
      </c>
      <c r="M722" s="71">
        <f>IF($A722="","",J722-K722)</f>
        <v/>
      </c>
      <c r="N722" s="71">
        <f>IF($A722="","",IF(G722="",0,G722))</f>
        <v/>
      </c>
      <c r="O722" s="70">
        <f>IF($A722="","",D722+F722)</f>
        <v/>
      </c>
      <c r="P722" s="71">
        <f>IF($A722="","",K722+N722)</f>
        <v/>
      </c>
      <c r="Q722" s="70">
        <f>IF($A722="","",I722+L722-F722)</f>
        <v/>
      </c>
      <c r="R722" s="72">
        <f>IF($A722="","",IF(H722="",Q722,H722))</f>
        <v/>
      </c>
      <c r="S722" s="73">
        <f>IF($A722="","",R722-Q722)</f>
        <v/>
      </c>
      <c r="T722" s="70">
        <f>IF($A722="","",SUMIFS($B$5:$B$800,$A$5:$A$800,"&gt;="&amp;DATE(YEAR($A722),MONTH($A722),1),$A$5:$A$800,"&lt;="&amp;$A722)+IF(AND(YEAR($A722)=YEAR(Settings!$B$3),MONTH($A722)=MONTH(Settings!$B$3)),Settings!$B$6,0))</f>
        <v/>
      </c>
      <c r="U722" s="71">
        <f>IF($A722="","",SUMIFS($J$5:$J$800,$A$5:$A$800,"&gt;="&amp;DATE(YEAR($A722),MONTH($A722),1),$A$5:$A$800,"&lt;="&amp;$A722)+IF(AND(YEAR($A722)=YEAR(Settings!$B$3),MONTH($A722)=MONTH(Settings!$B$3)),Settings!$B$7,0))</f>
        <v/>
      </c>
      <c r="V722" s="70">
        <f>IF($A722="","",Settings!$B$8+SUM($B$5:B722))</f>
        <v/>
      </c>
      <c r="W722" s="71">
        <f>IF($A722="","",Settings!$B$9+SUM($J$5:J722))</f>
        <v/>
      </c>
      <c r="X722" s="71">
        <f>IF($A722="","",IF(AND(N722&gt;0,F722&gt;0),ROUND(F722/N722,0),X721))</f>
        <v/>
      </c>
      <c r="Y722" s="74">
        <f>IF($A722="","",IF(AND(M722&gt;0,L722&gt;0),ROUND(L722/M722,0),IF(AND(J722&gt;0,B722&gt;0),ROUND(B722/J722,0),Y721)))</f>
        <v/>
      </c>
    </row>
    <row r="723">
      <c r="A723" s="67" t="n"/>
      <c r="B723" s="68" t="n"/>
      <c r="C723" s="69" t="n"/>
      <c r="D723" s="68" t="n"/>
      <c r="E723" s="69" t="n"/>
      <c r="F723" s="68" t="n"/>
      <c r="G723" s="69" t="n"/>
      <c r="H723" s="68" t="n"/>
      <c r="I723" s="70">
        <f>IF($A723="","",R722)</f>
        <v/>
      </c>
      <c r="J723" s="71">
        <f>IF($A723="","",IF(C723="",0,C723))</f>
        <v/>
      </c>
      <c r="K723" s="71">
        <f>IF($A723="","",IF(E723="",0,E723))</f>
        <v/>
      </c>
      <c r="L723" s="70">
        <f>IF($A723="","",B723-D723)</f>
        <v/>
      </c>
      <c r="M723" s="71">
        <f>IF($A723="","",J723-K723)</f>
        <v/>
      </c>
      <c r="N723" s="71">
        <f>IF($A723="","",IF(G723="",0,G723))</f>
        <v/>
      </c>
      <c r="O723" s="70">
        <f>IF($A723="","",D723+F723)</f>
        <v/>
      </c>
      <c r="P723" s="71">
        <f>IF($A723="","",K723+N723)</f>
        <v/>
      </c>
      <c r="Q723" s="70">
        <f>IF($A723="","",I723+L723-F723)</f>
        <v/>
      </c>
      <c r="R723" s="72">
        <f>IF($A723="","",IF(H723="",Q723,H723))</f>
        <v/>
      </c>
      <c r="S723" s="73">
        <f>IF($A723="","",R723-Q723)</f>
        <v/>
      </c>
      <c r="T723" s="70">
        <f>IF($A723="","",SUMIFS($B$5:$B$800,$A$5:$A$800,"&gt;="&amp;DATE(YEAR($A723),MONTH($A723),1),$A$5:$A$800,"&lt;="&amp;$A723)+IF(AND(YEAR($A723)=YEAR(Settings!$B$3),MONTH($A723)=MONTH(Settings!$B$3)),Settings!$B$6,0))</f>
        <v/>
      </c>
      <c r="U723" s="71">
        <f>IF($A723="","",SUMIFS($J$5:$J$800,$A$5:$A$800,"&gt;="&amp;DATE(YEAR($A723),MONTH($A723),1),$A$5:$A$800,"&lt;="&amp;$A723)+IF(AND(YEAR($A723)=YEAR(Settings!$B$3),MONTH($A723)=MONTH(Settings!$B$3)),Settings!$B$7,0))</f>
        <v/>
      </c>
      <c r="V723" s="70">
        <f>IF($A723="","",Settings!$B$8+SUM($B$5:B723))</f>
        <v/>
      </c>
      <c r="W723" s="71">
        <f>IF($A723="","",Settings!$B$9+SUM($J$5:J723))</f>
        <v/>
      </c>
      <c r="X723" s="71">
        <f>IF($A723="","",IF(AND(N723&gt;0,F723&gt;0),ROUND(F723/N723,0),X722))</f>
        <v/>
      </c>
      <c r="Y723" s="74">
        <f>IF($A723="","",IF(AND(M723&gt;0,L723&gt;0),ROUND(L723/M723,0),IF(AND(J723&gt;0,B723&gt;0),ROUND(B723/J723,0),Y722)))</f>
        <v/>
      </c>
    </row>
    <row r="724">
      <c r="A724" s="67" t="n"/>
      <c r="B724" s="68" t="n"/>
      <c r="C724" s="69" t="n"/>
      <c r="D724" s="68" t="n"/>
      <c r="E724" s="69" t="n"/>
      <c r="F724" s="68" t="n"/>
      <c r="G724" s="69" t="n"/>
      <c r="H724" s="68" t="n"/>
      <c r="I724" s="70">
        <f>IF($A724="","",R723)</f>
        <v/>
      </c>
      <c r="J724" s="71">
        <f>IF($A724="","",IF(C724="",0,C724))</f>
        <v/>
      </c>
      <c r="K724" s="71">
        <f>IF($A724="","",IF(E724="",0,E724))</f>
        <v/>
      </c>
      <c r="L724" s="70">
        <f>IF($A724="","",B724-D724)</f>
        <v/>
      </c>
      <c r="M724" s="71">
        <f>IF($A724="","",J724-K724)</f>
        <v/>
      </c>
      <c r="N724" s="71">
        <f>IF($A724="","",IF(G724="",0,G724))</f>
        <v/>
      </c>
      <c r="O724" s="70">
        <f>IF($A724="","",D724+F724)</f>
        <v/>
      </c>
      <c r="P724" s="71">
        <f>IF($A724="","",K724+N724)</f>
        <v/>
      </c>
      <c r="Q724" s="70">
        <f>IF($A724="","",I724+L724-F724)</f>
        <v/>
      </c>
      <c r="R724" s="72">
        <f>IF($A724="","",IF(H724="",Q724,H724))</f>
        <v/>
      </c>
      <c r="S724" s="73">
        <f>IF($A724="","",R724-Q724)</f>
        <v/>
      </c>
      <c r="T724" s="70">
        <f>IF($A724="","",SUMIFS($B$5:$B$800,$A$5:$A$800,"&gt;="&amp;DATE(YEAR($A724),MONTH($A724),1),$A$5:$A$800,"&lt;="&amp;$A724)+IF(AND(YEAR($A724)=YEAR(Settings!$B$3),MONTH($A724)=MONTH(Settings!$B$3)),Settings!$B$6,0))</f>
        <v/>
      </c>
      <c r="U724" s="71">
        <f>IF($A724="","",SUMIFS($J$5:$J$800,$A$5:$A$800,"&gt;="&amp;DATE(YEAR($A724),MONTH($A724),1),$A$5:$A$800,"&lt;="&amp;$A724)+IF(AND(YEAR($A724)=YEAR(Settings!$B$3),MONTH($A724)=MONTH(Settings!$B$3)),Settings!$B$7,0))</f>
        <v/>
      </c>
      <c r="V724" s="70">
        <f>IF($A724="","",Settings!$B$8+SUM($B$5:B724))</f>
        <v/>
      </c>
      <c r="W724" s="71">
        <f>IF($A724="","",Settings!$B$9+SUM($J$5:J724))</f>
        <v/>
      </c>
      <c r="X724" s="71">
        <f>IF($A724="","",IF(AND(N724&gt;0,F724&gt;0),ROUND(F724/N724,0),X723))</f>
        <v/>
      </c>
      <c r="Y724" s="74">
        <f>IF($A724="","",IF(AND(M724&gt;0,L724&gt;0),ROUND(L724/M724,0),IF(AND(J724&gt;0,B724&gt;0),ROUND(B724/J724,0),Y723)))</f>
        <v/>
      </c>
    </row>
    <row r="725">
      <c r="A725" s="67" t="n"/>
      <c r="B725" s="68" t="n"/>
      <c r="C725" s="69" t="n"/>
      <c r="D725" s="68" t="n"/>
      <c r="E725" s="69" t="n"/>
      <c r="F725" s="68" t="n"/>
      <c r="G725" s="69" t="n"/>
      <c r="H725" s="68" t="n"/>
      <c r="I725" s="70">
        <f>IF($A725="","",R724)</f>
        <v/>
      </c>
      <c r="J725" s="71">
        <f>IF($A725="","",IF(C725="",0,C725))</f>
        <v/>
      </c>
      <c r="K725" s="71">
        <f>IF($A725="","",IF(E725="",0,E725))</f>
        <v/>
      </c>
      <c r="L725" s="70">
        <f>IF($A725="","",B725-D725)</f>
        <v/>
      </c>
      <c r="M725" s="71">
        <f>IF($A725="","",J725-K725)</f>
        <v/>
      </c>
      <c r="N725" s="71">
        <f>IF($A725="","",IF(G725="",0,G725))</f>
        <v/>
      </c>
      <c r="O725" s="70">
        <f>IF($A725="","",D725+F725)</f>
        <v/>
      </c>
      <c r="P725" s="71">
        <f>IF($A725="","",K725+N725)</f>
        <v/>
      </c>
      <c r="Q725" s="70">
        <f>IF($A725="","",I725+L725-F725)</f>
        <v/>
      </c>
      <c r="R725" s="72">
        <f>IF($A725="","",IF(H725="",Q725,H725))</f>
        <v/>
      </c>
      <c r="S725" s="73">
        <f>IF($A725="","",R725-Q725)</f>
        <v/>
      </c>
      <c r="T725" s="70">
        <f>IF($A725="","",SUMIFS($B$5:$B$800,$A$5:$A$800,"&gt;="&amp;DATE(YEAR($A725),MONTH($A725),1),$A$5:$A$800,"&lt;="&amp;$A725)+IF(AND(YEAR($A725)=YEAR(Settings!$B$3),MONTH($A725)=MONTH(Settings!$B$3)),Settings!$B$6,0))</f>
        <v/>
      </c>
      <c r="U725" s="71">
        <f>IF($A725="","",SUMIFS($J$5:$J$800,$A$5:$A$800,"&gt;="&amp;DATE(YEAR($A725),MONTH($A725),1),$A$5:$A$800,"&lt;="&amp;$A725)+IF(AND(YEAR($A725)=YEAR(Settings!$B$3),MONTH($A725)=MONTH(Settings!$B$3)),Settings!$B$7,0))</f>
        <v/>
      </c>
      <c r="V725" s="70">
        <f>IF($A725="","",Settings!$B$8+SUM($B$5:B725))</f>
        <v/>
      </c>
      <c r="W725" s="71">
        <f>IF($A725="","",Settings!$B$9+SUM($J$5:J725))</f>
        <v/>
      </c>
      <c r="X725" s="71">
        <f>IF($A725="","",IF(AND(N725&gt;0,F725&gt;0),ROUND(F725/N725,0),X724))</f>
        <v/>
      </c>
      <c r="Y725" s="74">
        <f>IF($A725="","",IF(AND(M725&gt;0,L725&gt;0),ROUND(L725/M725,0),IF(AND(J725&gt;0,B725&gt;0),ROUND(B725/J725,0),Y724)))</f>
        <v/>
      </c>
    </row>
    <row r="726">
      <c r="A726" s="67" t="n"/>
      <c r="B726" s="68" t="n"/>
      <c r="C726" s="69" t="n"/>
      <c r="D726" s="68" t="n"/>
      <c r="E726" s="69" t="n"/>
      <c r="F726" s="68" t="n"/>
      <c r="G726" s="69" t="n"/>
      <c r="H726" s="68" t="n"/>
      <c r="I726" s="70">
        <f>IF($A726="","",R725)</f>
        <v/>
      </c>
      <c r="J726" s="71">
        <f>IF($A726="","",IF(C726="",0,C726))</f>
        <v/>
      </c>
      <c r="K726" s="71">
        <f>IF($A726="","",IF(E726="",0,E726))</f>
        <v/>
      </c>
      <c r="L726" s="70">
        <f>IF($A726="","",B726-D726)</f>
        <v/>
      </c>
      <c r="M726" s="71">
        <f>IF($A726="","",J726-K726)</f>
        <v/>
      </c>
      <c r="N726" s="71">
        <f>IF($A726="","",IF(G726="",0,G726))</f>
        <v/>
      </c>
      <c r="O726" s="70">
        <f>IF($A726="","",D726+F726)</f>
        <v/>
      </c>
      <c r="P726" s="71">
        <f>IF($A726="","",K726+N726)</f>
        <v/>
      </c>
      <c r="Q726" s="70">
        <f>IF($A726="","",I726+L726-F726)</f>
        <v/>
      </c>
      <c r="R726" s="72">
        <f>IF($A726="","",IF(H726="",Q726,H726))</f>
        <v/>
      </c>
      <c r="S726" s="73">
        <f>IF($A726="","",R726-Q726)</f>
        <v/>
      </c>
      <c r="T726" s="70">
        <f>IF($A726="","",SUMIFS($B$5:$B$800,$A$5:$A$800,"&gt;="&amp;DATE(YEAR($A726),MONTH($A726),1),$A$5:$A$800,"&lt;="&amp;$A726)+IF(AND(YEAR($A726)=YEAR(Settings!$B$3),MONTH($A726)=MONTH(Settings!$B$3)),Settings!$B$6,0))</f>
        <v/>
      </c>
      <c r="U726" s="71">
        <f>IF($A726="","",SUMIFS($J$5:$J$800,$A$5:$A$800,"&gt;="&amp;DATE(YEAR($A726),MONTH($A726),1),$A$5:$A$800,"&lt;="&amp;$A726)+IF(AND(YEAR($A726)=YEAR(Settings!$B$3),MONTH($A726)=MONTH(Settings!$B$3)),Settings!$B$7,0))</f>
        <v/>
      </c>
      <c r="V726" s="70">
        <f>IF($A726="","",Settings!$B$8+SUM($B$5:B726))</f>
        <v/>
      </c>
      <c r="W726" s="71">
        <f>IF($A726="","",Settings!$B$9+SUM($J$5:J726))</f>
        <v/>
      </c>
      <c r="X726" s="71">
        <f>IF($A726="","",IF(AND(N726&gt;0,F726&gt;0),ROUND(F726/N726,0),X725))</f>
        <v/>
      </c>
      <c r="Y726" s="74">
        <f>IF($A726="","",IF(AND(M726&gt;0,L726&gt;0),ROUND(L726/M726,0),IF(AND(J726&gt;0,B726&gt;0),ROUND(B726/J726,0),Y725)))</f>
        <v/>
      </c>
    </row>
    <row r="727">
      <c r="A727" s="67" t="n"/>
      <c r="B727" s="68" t="n"/>
      <c r="C727" s="69" t="n"/>
      <c r="D727" s="68" t="n"/>
      <c r="E727" s="69" t="n"/>
      <c r="F727" s="68" t="n"/>
      <c r="G727" s="69" t="n"/>
      <c r="H727" s="68" t="n"/>
      <c r="I727" s="70">
        <f>IF($A727="","",R726)</f>
        <v/>
      </c>
      <c r="J727" s="71">
        <f>IF($A727="","",IF(C727="",0,C727))</f>
        <v/>
      </c>
      <c r="K727" s="71">
        <f>IF($A727="","",IF(E727="",0,E727))</f>
        <v/>
      </c>
      <c r="L727" s="70">
        <f>IF($A727="","",B727-D727)</f>
        <v/>
      </c>
      <c r="M727" s="71">
        <f>IF($A727="","",J727-K727)</f>
        <v/>
      </c>
      <c r="N727" s="71">
        <f>IF($A727="","",IF(G727="",0,G727))</f>
        <v/>
      </c>
      <c r="O727" s="70">
        <f>IF($A727="","",D727+F727)</f>
        <v/>
      </c>
      <c r="P727" s="71">
        <f>IF($A727="","",K727+N727)</f>
        <v/>
      </c>
      <c r="Q727" s="70">
        <f>IF($A727="","",I727+L727-F727)</f>
        <v/>
      </c>
      <c r="R727" s="72">
        <f>IF($A727="","",IF(H727="",Q727,H727))</f>
        <v/>
      </c>
      <c r="S727" s="73">
        <f>IF($A727="","",R727-Q727)</f>
        <v/>
      </c>
      <c r="T727" s="70">
        <f>IF($A727="","",SUMIFS($B$5:$B$800,$A$5:$A$800,"&gt;="&amp;DATE(YEAR($A727),MONTH($A727),1),$A$5:$A$800,"&lt;="&amp;$A727)+IF(AND(YEAR($A727)=YEAR(Settings!$B$3),MONTH($A727)=MONTH(Settings!$B$3)),Settings!$B$6,0))</f>
        <v/>
      </c>
      <c r="U727" s="71">
        <f>IF($A727="","",SUMIFS($J$5:$J$800,$A$5:$A$800,"&gt;="&amp;DATE(YEAR($A727),MONTH($A727),1),$A$5:$A$800,"&lt;="&amp;$A727)+IF(AND(YEAR($A727)=YEAR(Settings!$B$3),MONTH($A727)=MONTH(Settings!$B$3)),Settings!$B$7,0))</f>
        <v/>
      </c>
      <c r="V727" s="70">
        <f>IF($A727="","",Settings!$B$8+SUM($B$5:B727))</f>
        <v/>
      </c>
      <c r="W727" s="71">
        <f>IF($A727="","",Settings!$B$9+SUM($J$5:J727))</f>
        <v/>
      </c>
      <c r="X727" s="71">
        <f>IF($A727="","",IF(AND(N727&gt;0,F727&gt;0),ROUND(F727/N727,0),X726))</f>
        <v/>
      </c>
      <c r="Y727" s="74">
        <f>IF($A727="","",IF(AND(M727&gt;0,L727&gt;0),ROUND(L727/M727,0),IF(AND(J727&gt;0,B727&gt;0),ROUND(B727/J727,0),Y726)))</f>
        <v/>
      </c>
    </row>
    <row r="728">
      <c r="A728" s="67" t="n"/>
      <c r="B728" s="68" t="n"/>
      <c r="C728" s="69" t="n"/>
      <c r="D728" s="68" t="n"/>
      <c r="E728" s="69" t="n"/>
      <c r="F728" s="68" t="n"/>
      <c r="G728" s="69" t="n"/>
      <c r="H728" s="68" t="n"/>
      <c r="I728" s="70">
        <f>IF($A728="","",R727)</f>
        <v/>
      </c>
      <c r="J728" s="71">
        <f>IF($A728="","",IF(C728="",0,C728))</f>
        <v/>
      </c>
      <c r="K728" s="71">
        <f>IF($A728="","",IF(E728="",0,E728))</f>
        <v/>
      </c>
      <c r="L728" s="70">
        <f>IF($A728="","",B728-D728)</f>
        <v/>
      </c>
      <c r="M728" s="71">
        <f>IF($A728="","",J728-K728)</f>
        <v/>
      </c>
      <c r="N728" s="71">
        <f>IF($A728="","",IF(G728="",0,G728))</f>
        <v/>
      </c>
      <c r="O728" s="70">
        <f>IF($A728="","",D728+F728)</f>
        <v/>
      </c>
      <c r="P728" s="71">
        <f>IF($A728="","",K728+N728)</f>
        <v/>
      </c>
      <c r="Q728" s="70">
        <f>IF($A728="","",I728+L728-F728)</f>
        <v/>
      </c>
      <c r="R728" s="72">
        <f>IF($A728="","",IF(H728="",Q728,H728))</f>
        <v/>
      </c>
      <c r="S728" s="73">
        <f>IF($A728="","",R728-Q728)</f>
        <v/>
      </c>
      <c r="T728" s="70">
        <f>IF($A728="","",SUMIFS($B$5:$B$800,$A$5:$A$800,"&gt;="&amp;DATE(YEAR($A728),MONTH($A728),1),$A$5:$A$800,"&lt;="&amp;$A728)+IF(AND(YEAR($A728)=YEAR(Settings!$B$3),MONTH($A728)=MONTH(Settings!$B$3)),Settings!$B$6,0))</f>
        <v/>
      </c>
      <c r="U728" s="71">
        <f>IF($A728="","",SUMIFS($J$5:$J$800,$A$5:$A$800,"&gt;="&amp;DATE(YEAR($A728),MONTH($A728),1),$A$5:$A$800,"&lt;="&amp;$A728)+IF(AND(YEAR($A728)=YEAR(Settings!$B$3),MONTH($A728)=MONTH(Settings!$B$3)),Settings!$B$7,0))</f>
        <v/>
      </c>
      <c r="V728" s="70">
        <f>IF($A728="","",Settings!$B$8+SUM($B$5:B728))</f>
        <v/>
      </c>
      <c r="W728" s="71">
        <f>IF($A728="","",Settings!$B$9+SUM($J$5:J728))</f>
        <v/>
      </c>
      <c r="X728" s="71">
        <f>IF($A728="","",IF(AND(N728&gt;0,F728&gt;0),ROUND(F728/N728,0),X727))</f>
        <v/>
      </c>
      <c r="Y728" s="74">
        <f>IF($A728="","",IF(AND(M728&gt;0,L728&gt;0),ROUND(L728/M728,0),IF(AND(J728&gt;0,B728&gt;0),ROUND(B728/J728,0),Y727)))</f>
        <v/>
      </c>
    </row>
    <row r="729">
      <c r="A729" s="67" t="n"/>
      <c r="B729" s="68" t="n"/>
      <c r="C729" s="69" t="n"/>
      <c r="D729" s="68" t="n"/>
      <c r="E729" s="69" t="n"/>
      <c r="F729" s="68" t="n"/>
      <c r="G729" s="69" t="n"/>
      <c r="H729" s="68" t="n"/>
      <c r="I729" s="70">
        <f>IF($A729="","",R728)</f>
        <v/>
      </c>
      <c r="J729" s="71">
        <f>IF($A729="","",IF(C729="",0,C729))</f>
        <v/>
      </c>
      <c r="K729" s="71">
        <f>IF($A729="","",IF(E729="",0,E729))</f>
        <v/>
      </c>
      <c r="L729" s="70">
        <f>IF($A729="","",B729-D729)</f>
        <v/>
      </c>
      <c r="M729" s="71">
        <f>IF($A729="","",J729-K729)</f>
        <v/>
      </c>
      <c r="N729" s="71">
        <f>IF($A729="","",IF(G729="",0,G729))</f>
        <v/>
      </c>
      <c r="O729" s="70">
        <f>IF($A729="","",D729+F729)</f>
        <v/>
      </c>
      <c r="P729" s="71">
        <f>IF($A729="","",K729+N729)</f>
        <v/>
      </c>
      <c r="Q729" s="70">
        <f>IF($A729="","",I729+L729-F729)</f>
        <v/>
      </c>
      <c r="R729" s="72">
        <f>IF($A729="","",IF(H729="",Q729,H729))</f>
        <v/>
      </c>
      <c r="S729" s="73">
        <f>IF($A729="","",R729-Q729)</f>
        <v/>
      </c>
      <c r="T729" s="70">
        <f>IF($A729="","",SUMIFS($B$5:$B$800,$A$5:$A$800,"&gt;="&amp;DATE(YEAR($A729),MONTH($A729),1),$A$5:$A$800,"&lt;="&amp;$A729)+IF(AND(YEAR($A729)=YEAR(Settings!$B$3),MONTH($A729)=MONTH(Settings!$B$3)),Settings!$B$6,0))</f>
        <v/>
      </c>
      <c r="U729" s="71">
        <f>IF($A729="","",SUMIFS($J$5:$J$800,$A$5:$A$800,"&gt;="&amp;DATE(YEAR($A729),MONTH($A729),1),$A$5:$A$800,"&lt;="&amp;$A729)+IF(AND(YEAR($A729)=YEAR(Settings!$B$3),MONTH($A729)=MONTH(Settings!$B$3)),Settings!$B$7,0))</f>
        <v/>
      </c>
      <c r="V729" s="70">
        <f>IF($A729="","",Settings!$B$8+SUM($B$5:B729))</f>
        <v/>
      </c>
      <c r="W729" s="71">
        <f>IF($A729="","",Settings!$B$9+SUM($J$5:J729))</f>
        <v/>
      </c>
      <c r="X729" s="71">
        <f>IF($A729="","",IF(AND(N729&gt;0,F729&gt;0),ROUND(F729/N729,0),X728))</f>
        <v/>
      </c>
      <c r="Y729" s="74">
        <f>IF($A729="","",IF(AND(M729&gt;0,L729&gt;0),ROUND(L729/M729,0),IF(AND(J729&gt;0,B729&gt;0),ROUND(B729/J729,0),Y728)))</f>
        <v/>
      </c>
    </row>
    <row r="730">
      <c r="A730" s="67" t="n"/>
      <c r="B730" s="68" t="n"/>
      <c r="C730" s="69" t="n"/>
      <c r="D730" s="68" t="n"/>
      <c r="E730" s="69" t="n"/>
      <c r="F730" s="68" t="n"/>
      <c r="G730" s="69" t="n"/>
      <c r="H730" s="68" t="n"/>
      <c r="I730" s="70">
        <f>IF($A730="","",R729)</f>
        <v/>
      </c>
      <c r="J730" s="71">
        <f>IF($A730="","",IF(C730="",0,C730))</f>
        <v/>
      </c>
      <c r="K730" s="71">
        <f>IF($A730="","",IF(E730="",0,E730))</f>
        <v/>
      </c>
      <c r="L730" s="70">
        <f>IF($A730="","",B730-D730)</f>
        <v/>
      </c>
      <c r="M730" s="71">
        <f>IF($A730="","",J730-K730)</f>
        <v/>
      </c>
      <c r="N730" s="71">
        <f>IF($A730="","",IF(G730="",0,G730))</f>
        <v/>
      </c>
      <c r="O730" s="70">
        <f>IF($A730="","",D730+F730)</f>
        <v/>
      </c>
      <c r="P730" s="71">
        <f>IF($A730="","",K730+N730)</f>
        <v/>
      </c>
      <c r="Q730" s="70">
        <f>IF($A730="","",I730+L730-F730)</f>
        <v/>
      </c>
      <c r="R730" s="72">
        <f>IF($A730="","",IF(H730="",Q730,H730))</f>
        <v/>
      </c>
      <c r="S730" s="73">
        <f>IF($A730="","",R730-Q730)</f>
        <v/>
      </c>
      <c r="T730" s="70">
        <f>IF($A730="","",SUMIFS($B$5:$B$800,$A$5:$A$800,"&gt;="&amp;DATE(YEAR($A730),MONTH($A730),1),$A$5:$A$800,"&lt;="&amp;$A730)+IF(AND(YEAR($A730)=YEAR(Settings!$B$3),MONTH($A730)=MONTH(Settings!$B$3)),Settings!$B$6,0))</f>
        <v/>
      </c>
      <c r="U730" s="71">
        <f>IF($A730="","",SUMIFS($J$5:$J$800,$A$5:$A$800,"&gt;="&amp;DATE(YEAR($A730),MONTH($A730),1),$A$5:$A$800,"&lt;="&amp;$A730)+IF(AND(YEAR($A730)=YEAR(Settings!$B$3),MONTH($A730)=MONTH(Settings!$B$3)),Settings!$B$7,0))</f>
        <v/>
      </c>
      <c r="V730" s="70">
        <f>IF($A730="","",Settings!$B$8+SUM($B$5:B730))</f>
        <v/>
      </c>
      <c r="W730" s="71">
        <f>IF($A730="","",Settings!$B$9+SUM($J$5:J730))</f>
        <v/>
      </c>
      <c r="X730" s="71">
        <f>IF($A730="","",IF(AND(N730&gt;0,F730&gt;0),ROUND(F730/N730,0),X729))</f>
        <v/>
      </c>
      <c r="Y730" s="74">
        <f>IF($A730="","",IF(AND(M730&gt;0,L730&gt;0),ROUND(L730/M730,0),IF(AND(J730&gt;0,B730&gt;0),ROUND(B730/J730,0),Y729)))</f>
        <v/>
      </c>
    </row>
    <row r="731">
      <c r="A731" s="67" t="n"/>
      <c r="B731" s="68" t="n"/>
      <c r="C731" s="69" t="n"/>
      <c r="D731" s="68" t="n"/>
      <c r="E731" s="69" t="n"/>
      <c r="F731" s="68" t="n"/>
      <c r="G731" s="69" t="n"/>
      <c r="H731" s="68" t="n"/>
      <c r="I731" s="70">
        <f>IF($A731="","",R730)</f>
        <v/>
      </c>
      <c r="J731" s="71">
        <f>IF($A731="","",IF(C731="",0,C731))</f>
        <v/>
      </c>
      <c r="K731" s="71">
        <f>IF($A731="","",IF(E731="",0,E731))</f>
        <v/>
      </c>
      <c r="L731" s="70">
        <f>IF($A731="","",B731-D731)</f>
        <v/>
      </c>
      <c r="M731" s="71">
        <f>IF($A731="","",J731-K731)</f>
        <v/>
      </c>
      <c r="N731" s="71">
        <f>IF($A731="","",IF(G731="",0,G731))</f>
        <v/>
      </c>
      <c r="O731" s="70">
        <f>IF($A731="","",D731+F731)</f>
        <v/>
      </c>
      <c r="P731" s="71">
        <f>IF($A731="","",K731+N731)</f>
        <v/>
      </c>
      <c r="Q731" s="70">
        <f>IF($A731="","",I731+L731-F731)</f>
        <v/>
      </c>
      <c r="R731" s="72">
        <f>IF($A731="","",IF(H731="",Q731,H731))</f>
        <v/>
      </c>
      <c r="S731" s="73">
        <f>IF($A731="","",R731-Q731)</f>
        <v/>
      </c>
      <c r="T731" s="70">
        <f>IF($A731="","",SUMIFS($B$5:$B$800,$A$5:$A$800,"&gt;="&amp;DATE(YEAR($A731),MONTH($A731),1),$A$5:$A$800,"&lt;="&amp;$A731)+IF(AND(YEAR($A731)=YEAR(Settings!$B$3),MONTH($A731)=MONTH(Settings!$B$3)),Settings!$B$6,0))</f>
        <v/>
      </c>
      <c r="U731" s="71">
        <f>IF($A731="","",SUMIFS($J$5:$J$800,$A$5:$A$800,"&gt;="&amp;DATE(YEAR($A731),MONTH($A731),1),$A$5:$A$800,"&lt;="&amp;$A731)+IF(AND(YEAR($A731)=YEAR(Settings!$B$3),MONTH($A731)=MONTH(Settings!$B$3)),Settings!$B$7,0))</f>
        <v/>
      </c>
      <c r="V731" s="70">
        <f>IF($A731="","",Settings!$B$8+SUM($B$5:B731))</f>
        <v/>
      </c>
      <c r="W731" s="71">
        <f>IF($A731="","",Settings!$B$9+SUM($J$5:J731))</f>
        <v/>
      </c>
      <c r="X731" s="71">
        <f>IF($A731="","",IF(AND(N731&gt;0,F731&gt;0),ROUND(F731/N731,0),X730))</f>
        <v/>
      </c>
      <c r="Y731" s="74">
        <f>IF($A731="","",IF(AND(M731&gt;0,L731&gt;0),ROUND(L731/M731,0),IF(AND(J731&gt;0,B731&gt;0),ROUND(B731/J731,0),Y730)))</f>
        <v/>
      </c>
    </row>
    <row r="732">
      <c r="A732" s="67" t="n"/>
      <c r="B732" s="68" t="n"/>
      <c r="C732" s="69" t="n"/>
      <c r="D732" s="68" t="n"/>
      <c r="E732" s="69" t="n"/>
      <c r="F732" s="68" t="n"/>
      <c r="G732" s="69" t="n"/>
      <c r="H732" s="68" t="n"/>
      <c r="I732" s="70">
        <f>IF($A732="","",R731)</f>
        <v/>
      </c>
      <c r="J732" s="71">
        <f>IF($A732="","",IF(C732="",0,C732))</f>
        <v/>
      </c>
      <c r="K732" s="71">
        <f>IF($A732="","",IF(E732="",0,E732))</f>
        <v/>
      </c>
      <c r="L732" s="70">
        <f>IF($A732="","",B732-D732)</f>
        <v/>
      </c>
      <c r="M732" s="71">
        <f>IF($A732="","",J732-K732)</f>
        <v/>
      </c>
      <c r="N732" s="71">
        <f>IF($A732="","",IF(G732="",0,G732))</f>
        <v/>
      </c>
      <c r="O732" s="70">
        <f>IF($A732="","",D732+F732)</f>
        <v/>
      </c>
      <c r="P732" s="71">
        <f>IF($A732="","",K732+N732)</f>
        <v/>
      </c>
      <c r="Q732" s="70">
        <f>IF($A732="","",I732+L732-F732)</f>
        <v/>
      </c>
      <c r="R732" s="72">
        <f>IF($A732="","",IF(H732="",Q732,H732))</f>
        <v/>
      </c>
      <c r="S732" s="73">
        <f>IF($A732="","",R732-Q732)</f>
        <v/>
      </c>
      <c r="T732" s="70">
        <f>IF($A732="","",SUMIFS($B$5:$B$800,$A$5:$A$800,"&gt;="&amp;DATE(YEAR($A732),MONTH($A732),1),$A$5:$A$800,"&lt;="&amp;$A732)+IF(AND(YEAR($A732)=YEAR(Settings!$B$3),MONTH($A732)=MONTH(Settings!$B$3)),Settings!$B$6,0))</f>
        <v/>
      </c>
      <c r="U732" s="71">
        <f>IF($A732="","",SUMIFS($J$5:$J$800,$A$5:$A$800,"&gt;="&amp;DATE(YEAR($A732),MONTH($A732),1),$A$5:$A$800,"&lt;="&amp;$A732)+IF(AND(YEAR($A732)=YEAR(Settings!$B$3),MONTH($A732)=MONTH(Settings!$B$3)),Settings!$B$7,0))</f>
        <v/>
      </c>
      <c r="V732" s="70">
        <f>IF($A732="","",Settings!$B$8+SUM($B$5:B732))</f>
        <v/>
      </c>
      <c r="W732" s="71">
        <f>IF($A732="","",Settings!$B$9+SUM($J$5:J732))</f>
        <v/>
      </c>
      <c r="X732" s="71">
        <f>IF($A732="","",IF(AND(N732&gt;0,F732&gt;0),ROUND(F732/N732,0),X731))</f>
        <v/>
      </c>
      <c r="Y732" s="74">
        <f>IF($A732="","",IF(AND(M732&gt;0,L732&gt;0),ROUND(L732/M732,0),IF(AND(J732&gt;0,B732&gt;0),ROUND(B732/J732,0),Y731)))</f>
        <v/>
      </c>
    </row>
    <row r="733">
      <c r="A733" s="67" t="n"/>
      <c r="B733" s="68" t="n"/>
      <c r="C733" s="69" t="n"/>
      <c r="D733" s="68" t="n"/>
      <c r="E733" s="69" t="n"/>
      <c r="F733" s="68" t="n"/>
      <c r="G733" s="69" t="n"/>
      <c r="H733" s="68" t="n"/>
      <c r="I733" s="70">
        <f>IF($A733="","",R732)</f>
        <v/>
      </c>
      <c r="J733" s="71">
        <f>IF($A733="","",IF(C733="",0,C733))</f>
        <v/>
      </c>
      <c r="K733" s="71">
        <f>IF($A733="","",IF(E733="",0,E733))</f>
        <v/>
      </c>
      <c r="L733" s="70">
        <f>IF($A733="","",B733-D733)</f>
        <v/>
      </c>
      <c r="M733" s="71">
        <f>IF($A733="","",J733-K733)</f>
        <v/>
      </c>
      <c r="N733" s="71">
        <f>IF($A733="","",IF(G733="",0,G733))</f>
        <v/>
      </c>
      <c r="O733" s="70">
        <f>IF($A733="","",D733+F733)</f>
        <v/>
      </c>
      <c r="P733" s="71">
        <f>IF($A733="","",K733+N733)</f>
        <v/>
      </c>
      <c r="Q733" s="70">
        <f>IF($A733="","",I733+L733-F733)</f>
        <v/>
      </c>
      <c r="R733" s="72">
        <f>IF($A733="","",IF(H733="",Q733,H733))</f>
        <v/>
      </c>
      <c r="S733" s="73">
        <f>IF($A733="","",R733-Q733)</f>
        <v/>
      </c>
      <c r="T733" s="70">
        <f>IF($A733="","",SUMIFS($B$5:$B$800,$A$5:$A$800,"&gt;="&amp;DATE(YEAR($A733),MONTH($A733),1),$A$5:$A$800,"&lt;="&amp;$A733)+IF(AND(YEAR($A733)=YEAR(Settings!$B$3),MONTH($A733)=MONTH(Settings!$B$3)),Settings!$B$6,0))</f>
        <v/>
      </c>
      <c r="U733" s="71">
        <f>IF($A733="","",SUMIFS($J$5:$J$800,$A$5:$A$800,"&gt;="&amp;DATE(YEAR($A733),MONTH($A733),1),$A$5:$A$800,"&lt;="&amp;$A733)+IF(AND(YEAR($A733)=YEAR(Settings!$B$3),MONTH($A733)=MONTH(Settings!$B$3)),Settings!$B$7,0))</f>
        <v/>
      </c>
      <c r="V733" s="70">
        <f>IF($A733="","",Settings!$B$8+SUM($B$5:B733))</f>
        <v/>
      </c>
      <c r="W733" s="71">
        <f>IF($A733="","",Settings!$B$9+SUM($J$5:J733))</f>
        <v/>
      </c>
      <c r="X733" s="71">
        <f>IF($A733="","",IF(AND(N733&gt;0,F733&gt;0),ROUND(F733/N733,0),X732))</f>
        <v/>
      </c>
      <c r="Y733" s="74">
        <f>IF($A733="","",IF(AND(M733&gt;0,L733&gt;0),ROUND(L733/M733,0),IF(AND(J733&gt;0,B733&gt;0),ROUND(B733/J733,0),Y732)))</f>
        <v/>
      </c>
    </row>
    <row r="734">
      <c r="A734" s="67" t="n"/>
      <c r="B734" s="68" t="n"/>
      <c r="C734" s="69" t="n"/>
      <c r="D734" s="68" t="n"/>
      <c r="E734" s="69" t="n"/>
      <c r="F734" s="68" t="n"/>
      <c r="G734" s="69" t="n"/>
      <c r="H734" s="68" t="n"/>
      <c r="I734" s="70">
        <f>IF($A734="","",R733)</f>
        <v/>
      </c>
      <c r="J734" s="71">
        <f>IF($A734="","",IF(C734="",0,C734))</f>
        <v/>
      </c>
      <c r="K734" s="71">
        <f>IF($A734="","",IF(E734="",0,E734))</f>
        <v/>
      </c>
      <c r="L734" s="70">
        <f>IF($A734="","",B734-D734)</f>
        <v/>
      </c>
      <c r="M734" s="71">
        <f>IF($A734="","",J734-K734)</f>
        <v/>
      </c>
      <c r="N734" s="71">
        <f>IF($A734="","",IF(G734="",0,G734))</f>
        <v/>
      </c>
      <c r="O734" s="70">
        <f>IF($A734="","",D734+F734)</f>
        <v/>
      </c>
      <c r="P734" s="71">
        <f>IF($A734="","",K734+N734)</f>
        <v/>
      </c>
      <c r="Q734" s="70">
        <f>IF($A734="","",I734+L734-F734)</f>
        <v/>
      </c>
      <c r="R734" s="72">
        <f>IF($A734="","",IF(H734="",Q734,H734))</f>
        <v/>
      </c>
      <c r="S734" s="73">
        <f>IF($A734="","",R734-Q734)</f>
        <v/>
      </c>
      <c r="T734" s="70">
        <f>IF($A734="","",SUMIFS($B$5:$B$800,$A$5:$A$800,"&gt;="&amp;DATE(YEAR($A734),MONTH($A734),1),$A$5:$A$800,"&lt;="&amp;$A734)+IF(AND(YEAR($A734)=YEAR(Settings!$B$3),MONTH($A734)=MONTH(Settings!$B$3)),Settings!$B$6,0))</f>
        <v/>
      </c>
      <c r="U734" s="71">
        <f>IF($A734="","",SUMIFS($J$5:$J$800,$A$5:$A$800,"&gt;="&amp;DATE(YEAR($A734),MONTH($A734),1),$A$5:$A$800,"&lt;="&amp;$A734)+IF(AND(YEAR($A734)=YEAR(Settings!$B$3),MONTH($A734)=MONTH(Settings!$B$3)),Settings!$B$7,0))</f>
        <v/>
      </c>
      <c r="V734" s="70">
        <f>IF($A734="","",Settings!$B$8+SUM($B$5:B734))</f>
        <v/>
      </c>
      <c r="W734" s="71">
        <f>IF($A734="","",Settings!$B$9+SUM($J$5:J734))</f>
        <v/>
      </c>
      <c r="X734" s="71">
        <f>IF($A734="","",IF(AND(N734&gt;0,F734&gt;0),ROUND(F734/N734,0),X733))</f>
        <v/>
      </c>
      <c r="Y734" s="74">
        <f>IF($A734="","",IF(AND(M734&gt;0,L734&gt;0),ROUND(L734/M734,0),IF(AND(J734&gt;0,B734&gt;0),ROUND(B734/J734,0),Y733)))</f>
        <v/>
      </c>
    </row>
    <row r="735">
      <c r="A735" s="67" t="n"/>
      <c r="B735" s="68" t="n"/>
      <c r="C735" s="69" t="n"/>
      <c r="D735" s="68" t="n"/>
      <c r="E735" s="69" t="n"/>
      <c r="F735" s="68" t="n"/>
      <c r="G735" s="69" t="n"/>
      <c r="H735" s="68" t="n"/>
      <c r="I735" s="70">
        <f>IF($A735="","",R734)</f>
        <v/>
      </c>
      <c r="J735" s="71">
        <f>IF($A735="","",IF(C735="",0,C735))</f>
        <v/>
      </c>
      <c r="K735" s="71">
        <f>IF($A735="","",IF(E735="",0,E735))</f>
        <v/>
      </c>
      <c r="L735" s="70">
        <f>IF($A735="","",B735-D735)</f>
        <v/>
      </c>
      <c r="M735" s="71">
        <f>IF($A735="","",J735-K735)</f>
        <v/>
      </c>
      <c r="N735" s="71">
        <f>IF($A735="","",IF(G735="",0,G735))</f>
        <v/>
      </c>
      <c r="O735" s="70">
        <f>IF($A735="","",D735+F735)</f>
        <v/>
      </c>
      <c r="P735" s="71">
        <f>IF($A735="","",K735+N735)</f>
        <v/>
      </c>
      <c r="Q735" s="70">
        <f>IF($A735="","",I735+L735-F735)</f>
        <v/>
      </c>
      <c r="R735" s="72">
        <f>IF($A735="","",IF(H735="",Q735,H735))</f>
        <v/>
      </c>
      <c r="S735" s="73">
        <f>IF($A735="","",R735-Q735)</f>
        <v/>
      </c>
      <c r="T735" s="70">
        <f>IF($A735="","",SUMIFS($B$5:$B$800,$A$5:$A$800,"&gt;="&amp;DATE(YEAR($A735),MONTH($A735),1),$A$5:$A$800,"&lt;="&amp;$A735)+IF(AND(YEAR($A735)=YEAR(Settings!$B$3),MONTH($A735)=MONTH(Settings!$B$3)),Settings!$B$6,0))</f>
        <v/>
      </c>
      <c r="U735" s="71">
        <f>IF($A735="","",SUMIFS($J$5:$J$800,$A$5:$A$800,"&gt;="&amp;DATE(YEAR($A735),MONTH($A735),1),$A$5:$A$800,"&lt;="&amp;$A735)+IF(AND(YEAR($A735)=YEAR(Settings!$B$3),MONTH($A735)=MONTH(Settings!$B$3)),Settings!$B$7,0))</f>
        <v/>
      </c>
      <c r="V735" s="70">
        <f>IF($A735="","",Settings!$B$8+SUM($B$5:B735))</f>
        <v/>
      </c>
      <c r="W735" s="71">
        <f>IF($A735="","",Settings!$B$9+SUM($J$5:J735))</f>
        <v/>
      </c>
      <c r="X735" s="71">
        <f>IF($A735="","",IF(AND(N735&gt;0,F735&gt;0),ROUND(F735/N735,0),X734))</f>
        <v/>
      </c>
      <c r="Y735" s="74">
        <f>IF($A735="","",IF(AND(M735&gt;0,L735&gt;0),ROUND(L735/M735,0),IF(AND(J735&gt;0,B735&gt;0),ROUND(B735/J735,0),Y734)))</f>
        <v/>
      </c>
    </row>
    <row r="736">
      <c r="A736" s="67" t="n"/>
      <c r="B736" s="68" t="n"/>
      <c r="C736" s="69" t="n"/>
      <c r="D736" s="68" t="n"/>
      <c r="E736" s="69" t="n"/>
      <c r="F736" s="68" t="n"/>
      <c r="G736" s="69" t="n"/>
      <c r="H736" s="68" t="n"/>
      <c r="I736" s="70">
        <f>IF($A736="","",R735)</f>
        <v/>
      </c>
      <c r="J736" s="71">
        <f>IF($A736="","",IF(C736="",0,C736))</f>
        <v/>
      </c>
      <c r="K736" s="71">
        <f>IF($A736="","",IF(E736="",0,E736))</f>
        <v/>
      </c>
      <c r="L736" s="70">
        <f>IF($A736="","",B736-D736)</f>
        <v/>
      </c>
      <c r="M736" s="71">
        <f>IF($A736="","",J736-K736)</f>
        <v/>
      </c>
      <c r="N736" s="71">
        <f>IF($A736="","",IF(G736="",0,G736))</f>
        <v/>
      </c>
      <c r="O736" s="70">
        <f>IF($A736="","",D736+F736)</f>
        <v/>
      </c>
      <c r="P736" s="71">
        <f>IF($A736="","",K736+N736)</f>
        <v/>
      </c>
      <c r="Q736" s="70">
        <f>IF($A736="","",I736+L736-F736)</f>
        <v/>
      </c>
      <c r="R736" s="72">
        <f>IF($A736="","",IF(H736="",Q736,H736))</f>
        <v/>
      </c>
      <c r="S736" s="73">
        <f>IF($A736="","",R736-Q736)</f>
        <v/>
      </c>
      <c r="T736" s="70">
        <f>IF($A736="","",SUMIFS($B$5:$B$800,$A$5:$A$800,"&gt;="&amp;DATE(YEAR($A736),MONTH($A736),1),$A$5:$A$800,"&lt;="&amp;$A736)+IF(AND(YEAR($A736)=YEAR(Settings!$B$3),MONTH($A736)=MONTH(Settings!$B$3)),Settings!$B$6,0))</f>
        <v/>
      </c>
      <c r="U736" s="71">
        <f>IF($A736="","",SUMIFS($J$5:$J$800,$A$5:$A$800,"&gt;="&amp;DATE(YEAR($A736),MONTH($A736),1),$A$5:$A$800,"&lt;="&amp;$A736)+IF(AND(YEAR($A736)=YEAR(Settings!$B$3),MONTH($A736)=MONTH(Settings!$B$3)),Settings!$B$7,0))</f>
        <v/>
      </c>
      <c r="V736" s="70">
        <f>IF($A736="","",Settings!$B$8+SUM($B$5:B736))</f>
        <v/>
      </c>
      <c r="W736" s="71">
        <f>IF($A736="","",Settings!$B$9+SUM($J$5:J736))</f>
        <v/>
      </c>
      <c r="X736" s="71">
        <f>IF($A736="","",IF(AND(N736&gt;0,F736&gt;0),ROUND(F736/N736,0),X735))</f>
        <v/>
      </c>
      <c r="Y736" s="74">
        <f>IF($A736="","",IF(AND(M736&gt;0,L736&gt;0),ROUND(L736/M736,0),IF(AND(J736&gt;0,B736&gt;0),ROUND(B736/J736,0),Y735)))</f>
        <v/>
      </c>
    </row>
    <row r="737">
      <c r="A737" s="67" t="n"/>
      <c r="B737" s="68" t="n"/>
      <c r="C737" s="69" t="n"/>
      <c r="D737" s="68" t="n"/>
      <c r="E737" s="69" t="n"/>
      <c r="F737" s="68" t="n"/>
      <c r="G737" s="69" t="n"/>
      <c r="H737" s="68" t="n"/>
      <c r="I737" s="70">
        <f>IF($A737="","",R736)</f>
        <v/>
      </c>
      <c r="J737" s="71">
        <f>IF($A737="","",IF(C737="",0,C737))</f>
        <v/>
      </c>
      <c r="K737" s="71">
        <f>IF($A737="","",IF(E737="",0,E737))</f>
        <v/>
      </c>
      <c r="L737" s="70">
        <f>IF($A737="","",B737-D737)</f>
        <v/>
      </c>
      <c r="M737" s="71">
        <f>IF($A737="","",J737-K737)</f>
        <v/>
      </c>
      <c r="N737" s="71">
        <f>IF($A737="","",IF(G737="",0,G737))</f>
        <v/>
      </c>
      <c r="O737" s="70">
        <f>IF($A737="","",D737+F737)</f>
        <v/>
      </c>
      <c r="P737" s="71">
        <f>IF($A737="","",K737+N737)</f>
        <v/>
      </c>
      <c r="Q737" s="70">
        <f>IF($A737="","",I737+L737-F737)</f>
        <v/>
      </c>
      <c r="R737" s="72">
        <f>IF($A737="","",IF(H737="",Q737,H737))</f>
        <v/>
      </c>
      <c r="S737" s="73">
        <f>IF($A737="","",R737-Q737)</f>
        <v/>
      </c>
      <c r="T737" s="70">
        <f>IF($A737="","",SUMIFS($B$5:$B$800,$A$5:$A$800,"&gt;="&amp;DATE(YEAR($A737),MONTH($A737),1),$A$5:$A$800,"&lt;="&amp;$A737)+IF(AND(YEAR($A737)=YEAR(Settings!$B$3),MONTH($A737)=MONTH(Settings!$B$3)),Settings!$B$6,0))</f>
        <v/>
      </c>
      <c r="U737" s="71">
        <f>IF($A737="","",SUMIFS($J$5:$J$800,$A$5:$A$800,"&gt;="&amp;DATE(YEAR($A737),MONTH($A737),1),$A$5:$A$800,"&lt;="&amp;$A737)+IF(AND(YEAR($A737)=YEAR(Settings!$B$3),MONTH($A737)=MONTH(Settings!$B$3)),Settings!$B$7,0))</f>
        <v/>
      </c>
      <c r="V737" s="70">
        <f>IF($A737="","",Settings!$B$8+SUM($B$5:B737))</f>
        <v/>
      </c>
      <c r="W737" s="71">
        <f>IF($A737="","",Settings!$B$9+SUM($J$5:J737))</f>
        <v/>
      </c>
      <c r="X737" s="71">
        <f>IF($A737="","",IF(AND(N737&gt;0,F737&gt;0),ROUND(F737/N737,0),X736))</f>
        <v/>
      </c>
      <c r="Y737" s="74">
        <f>IF($A737="","",IF(AND(M737&gt;0,L737&gt;0),ROUND(L737/M737,0),IF(AND(J737&gt;0,B737&gt;0),ROUND(B737/J737,0),Y736)))</f>
        <v/>
      </c>
    </row>
    <row r="738">
      <c r="A738" s="67" t="n"/>
      <c r="B738" s="68" t="n"/>
      <c r="C738" s="69" t="n"/>
      <c r="D738" s="68" t="n"/>
      <c r="E738" s="69" t="n"/>
      <c r="F738" s="68" t="n"/>
      <c r="G738" s="69" t="n"/>
      <c r="H738" s="68" t="n"/>
      <c r="I738" s="70">
        <f>IF($A738="","",R737)</f>
        <v/>
      </c>
      <c r="J738" s="71">
        <f>IF($A738="","",IF(C738="",0,C738))</f>
        <v/>
      </c>
      <c r="K738" s="71">
        <f>IF($A738="","",IF(E738="",0,E738))</f>
        <v/>
      </c>
      <c r="L738" s="70">
        <f>IF($A738="","",B738-D738)</f>
        <v/>
      </c>
      <c r="M738" s="71">
        <f>IF($A738="","",J738-K738)</f>
        <v/>
      </c>
      <c r="N738" s="71">
        <f>IF($A738="","",IF(G738="",0,G738))</f>
        <v/>
      </c>
      <c r="O738" s="70">
        <f>IF($A738="","",D738+F738)</f>
        <v/>
      </c>
      <c r="P738" s="71">
        <f>IF($A738="","",K738+N738)</f>
        <v/>
      </c>
      <c r="Q738" s="70">
        <f>IF($A738="","",I738+L738-F738)</f>
        <v/>
      </c>
      <c r="R738" s="72">
        <f>IF($A738="","",IF(H738="",Q738,H738))</f>
        <v/>
      </c>
      <c r="S738" s="73">
        <f>IF($A738="","",R738-Q738)</f>
        <v/>
      </c>
      <c r="T738" s="70">
        <f>IF($A738="","",SUMIFS($B$5:$B$800,$A$5:$A$800,"&gt;="&amp;DATE(YEAR($A738),MONTH($A738),1),$A$5:$A$800,"&lt;="&amp;$A738)+IF(AND(YEAR($A738)=YEAR(Settings!$B$3),MONTH($A738)=MONTH(Settings!$B$3)),Settings!$B$6,0))</f>
        <v/>
      </c>
      <c r="U738" s="71">
        <f>IF($A738="","",SUMIFS($J$5:$J$800,$A$5:$A$800,"&gt;="&amp;DATE(YEAR($A738),MONTH($A738),1),$A$5:$A$800,"&lt;="&amp;$A738)+IF(AND(YEAR($A738)=YEAR(Settings!$B$3),MONTH($A738)=MONTH(Settings!$B$3)),Settings!$B$7,0))</f>
        <v/>
      </c>
      <c r="V738" s="70">
        <f>IF($A738="","",Settings!$B$8+SUM($B$5:B738))</f>
        <v/>
      </c>
      <c r="W738" s="71">
        <f>IF($A738="","",Settings!$B$9+SUM($J$5:J738))</f>
        <v/>
      </c>
      <c r="X738" s="71">
        <f>IF($A738="","",IF(AND(N738&gt;0,F738&gt;0),ROUND(F738/N738,0),X737))</f>
        <v/>
      </c>
      <c r="Y738" s="74">
        <f>IF($A738="","",IF(AND(M738&gt;0,L738&gt;0),ROUND(L738/M738,0),IF(AND(J738&gt;0,B738&gt;0),ROUND(B738/J738,0),Y737)))</f>
        <v/>
      </c>
    </row>
    <row r="739">
      <c r="A739" s="67" t="n"/>
      <c r="B739" s="68" t="n"/>
      <c r="C739" s="69" t="n"/>
      <c r="D739" s="68" t="n"/>
      <c r="E739" s="69" t="n"/>
      <c r="F739" s="68" t="n"/>
      <c r="G739" s="69" t="n"/>
      <c r="H739" s="68" t="n"/>
      <c r="I739" s="70">
        <f>IF($A739="","",R738)</f>
        <v/>
      </c>
      <c r="J739" s="71">
        <f>IF($A739="","",IF(C739="",0,C739))</f>
        <v/>
      </c>
      <c r="K739" s="71">
        <f>IF($A739="","",IF(E739="",0,E739))</f>
        <v/>
      </c>
      <c r="L739" s="70">
        <f>IF($A739="","",B739-D739)</f>
        <v/>
      </c>
      <c r="M739" s="71">
        <f>IF($A739="","",J739-K739)</f>
        <v/>
      </c>
      <c r="N739" s="71">
        <f>IF($A739="","",IF(G739="",0,G739))</f>
        <v/>
      </c>
      <c r="O739" s="70">
        <f>IF($A739="","",D739+F739)</f>
        <v/>
      </c>
      <c r="P739" s="71">
        <f>IF($A739="","",K739+N739)</f>
        <v/>
      </c>
      <c r="Q739" s="70">
        <f>IF($A739="","",I739+L739-F739)</f>
        <v/>
      </c>
      <c r="R739" s="72">
        <f>IF($A739="","",IF(H739="",Q739,H739))</f>
        <v/>
      </c>
      <c r="S739" s="73">
        <f>IF($A739="","",R739-Q739)</f>
        <v/>
      </c>
      <c r="T739" s="70">
        <f>IF($A739="","",SUMIFS($B$5:$B$800,$A$5:$A$800,"&gt;="&amp;DATE(YEAR($A739),MONTH($A739),1),$A$5:$A$800,"&lt;="&amp;$A739)+IF(AND(YEAR($A739)=YEAR(Settings!$B$3),MONTH($A739)=MONTH(Settings!$B$3)),Settings!$B$6,0))</f>
        <v/>
      </c>
      <c r="U739" s="71">
        <f>IF($A739="","",SUMIFS($J$5:$J$800,$A$5:$A$800,"&gt;="&amp;DATE(YEAR($A739),MONTH($A739),1),$A$5:$A$800,"&lt;="&amp;$A739)+IF(AND(YEAR($A739)=YEAR(Settings!$B$3),MONTH($A739)=MONTH(Settings!$B$3)),Settings!$B$7,0))</f>
        <v/>
      </c>
      <c r="V739" s="70">
        <f>IF($A739="","",Settings!$B$8+SUM($B$5:B739))</f>
        <v/>
      </c>
      <c r="W739" s="71">
        <f>IF($A739="","",Settings!$B$9+SUM($J$5:J739))</f>
        <v/>
      </c>
      <c r="X739" s="71">
        <f>IF($A739="","",IF(AND(N739&gt;0,F739&gt;0),ROUND(F739/N739,0),X738))</f>
        <v/>
      </c>
      <c r="Y739" s="74">
        <f>IF($A739="","",IF(AND(M739&gt;0,L739&gt;0),ROUND(L739/M739,0),IF(AND(J739&gt;0,B739&gt;0),ROUND(B739/J739,0),Y738)))</f>
        <v/>
      </c>
    </row>
    <row r="740">
      <c r="A740" s="67" t="n"/>
      <c r="B740" s="68" t="n"/>
      <c r="C740" s="69" t="n"/>
      <c r="D740" s="68" t="n"/>
      <c r="E740" s="69" t="n"/>
      <c r="F740" s="68" t="n"/>
      <c r="G740" s="69" t="n"/>
      <c r="H740" s="68" t="n"/>
      <c r="I740" s="70">
        <f>IF($A740="","",R739)</f>
        <v/>
      </c>
      <c r="J740" s="71">
        <f>IF($A740="","",IF(C740="",0,C740))</f>
        <v/>
      </c>
      <c r="K740" s="71">
        <f>IF($A740="","",IF(E740="",0,E740))</f>
        <v/>
      </c>
      <c r="L740" s="70">
        <f>IF($A740="","",B740-D740)</f>
        <v/>
      </c>
      <c r="M740" s="71">
        <f>IF($A740="","",J740-K740)</f>
        <v/>
      </c>
      <c r="N740" s="71">
        <f>IF($A740="","",IF(G740="",0,G740))</f>
        <v/>
      </c>
      <c r="O740" s="70">
        <f>IF($A740="","",D740+F740)</f>
        <v/>
      </c>
      <c r="P740" s="71">
        <f>IF($A740="","",K740+N740)</f>
        <v/>
      </c>
      <c r="Q740" s="70">
        <f>IF($A740="","",I740+L740-F740)</f>
        <v/>
      </c>
      <c r="R740" s="72">
        <f>IF($A740="","",IF(H740="",Q740,H740))</f>
        <v/>
      </c>
      <c r="S740" s="73">
        <f>IF($A740="","",R740-Q740)</f>
        <v/>
      </c>
      <c r="T740" s="70">
        <f>IF($A740="","",SUMIFS($B$5:$B$800,$A$5:$A$800,"&gt;="&amp;DATE(YEAR($A740),MONTH($A740),1),$A$5:$A$800,"&lt;="&amp;$A740)+IF(AND(YEAR($A740)=YEAR(Settings!$B$3),MONTH($A740)=MONTH(Settings!$B$3)),Settings!$B$6,0))</f>
        <v/>
      </c>
      <c r="U740" s="71">
        <f>IF($A740="","",SUMIFS($J$5:$J$800,$A$5:$A$800,"&gt;="&amp;DATE(YEAR($A740),MONTH($A740),1),$A$5:$A$800,"&lt;="&amp;$A740)+IF(AND(YEAR($A740)=YEAR(Settings!$B$3),MONTH($A740)=MONTH(Settings!$B$3)),Settings!$B$7,0))</f>
        <v/>
      </c>
      <c r="V740" s="70">
        <f>IF($A740="","",Settings!$B$8+SUM($B$5:B740))</f>
        <v/>
      </c>
      <c r="W740" s="71">
        <f>IF($A740="","",Settings!$B$9+SUM($J$5:J740))</f>
        <v/>
      </c>
      <c r="X740" s="71">
        <f>IF($A740="","",IF(AND(N740&gt;0,F740&gt;0),ROUND(F740/N740,0),X739))</f>
        <v/>
      </c>
      <c r="Y740" s="74">
        <f>IF($A740="","",IF(AND(M740&gt;0,L740&gt;0),ROUND(L740/M740,0),IF(AND(J740&gt;0,B740&gt;0),ROUND(B740/J740,0),Y739)))</f>
        <v/>
      </c>
    </row>
    <row r="741">
      <c r="A741" s="67" t="n"/>
      <c r="B741" s="68" t="n"/>
      <c r="C741" s="69" t="n"/>
      <c r="D741" s="68" t="n"/>
      <c r="E741" s="69" t="n"/>
      <c r="F741" s="68" t="n"/>
      <c r="G741" s="69" t="n"/>
      <c r="H741" s="68" t="n"/>
      <c r="I741" s="70">
        <f>IF($A741="","",R740)</f>
        <v/>
      </c>
      <c r="J741" s="71">
        <f>IF($A741="","",IF(C741="",0,C741))</f>
        <v/>
      </c>
      <c r="K741" s="71">
        <f>IF($A741="","",IF(E741="",0,E741))</f>
        <v/>
      </c>
      <c r="L741" s="70">
        <f>IF($A741="","",B741-D741)</f>
        <v/>
      </c>
      <c r="M741" s="71">
        <f>IF($A741="","",J741-K741)</f>
        <v/>
      </c>
      <c r="N741" s="71">
        <f>IF($A741="","",IF(G741="",0,G741))</f>
        <v/>
      </c>
      <c r="O741" s="70">
        <f>IF($A741="","",D741+F741)</f>
        <v/>
      </c>
      <c r="P741" s="71">
        <f>IF($A741="","",K741+N741)</f>
        <v/>
      </c>
      <c r="Q741" s="70">
        <f>IF($A741="","",I741+L741-F741)</f>
        <v/>
      </c>
      <c r="R741" s="72">
        <f>IF($A741="","",IF(H741="",Q741,H741))</f>
        <v/>
      </c>
      <c r="S741" s="73">
        <f>IF($A741="","",R741-Q741)</f>
        <v/>
      </c>
      <c r="T741" s="70">
        <f>IF($A741="","",SUMIFS($B$5:$B$800,$A$5:$A$800,"&gt;="&amp;DATE(YEAR($A741),MONTH($A741),1),$A$5:$A$800,"&lt;="&amp;$A741)+IF(AND(YEAR($A741)=YEAR(Settings!$B$3),MONTH($A741)=MONTH(Settings!$B$3)),Settings!$B$6,0))</f>
        <v/>
      </c>
      <c r="U741" s="71">
        <f>IF($A741="","",SUMIFS($J$5:$J$800,$A$5:$A$800,"&gt;="&amp;DATE(YEAR($A741),MONTH($A741),1),$A$5:$A$800,"&lt;="&amp;$A741)+IF(AND(YEAR($A741)=YEAR(Settings!$B$3),MONTH($A741)=MONTH(Settings!$B$3)),Settings!$B$7,0))</f>
        <v/>
      </c>
      <c r="V741" s="70">
        <f>IF($A741="","",Settings!$B$8+SUM($B$5:B741))</f>
        <v/>
      </c>
      <c r="W741" s="71">
        <f>IF($A741="","",Settings!$B$9+SUM($J$5:J741))</f>
        <v/>
      </c>
      <c r="X741" s="71">
        <f>IF($A741="","",IF(AND(N741&gt;0,F741&gt;0),ROUND(F741/N741,0),X740))</f>
        <v/>
      </c>
      <c r="Y741" s="74">
        <f>IF($A741="","",IF(AND(M741&gt;0,L741&gt;0),ROUND(L741/M741,0),IF(AND(J741&gt;0,B741&gt;0),ROUND(B741/J741,0),Y740)))</f>
        <v/>
      </c>
    </row>
    <row r="742">
      <c r="A742" s="67" t="n"/>
      <c r="B742" s="68" t="n"/>
      <c r="C742" s="69" t="n"/>
      <c r="D742" s="68" t="n"/>
      <c r="E742" s="69" t="n"/>
      <c r="F742" s="68" t="n"/>
      <c r="G742" s="69" t="n"/>
      <c r="H742" s="68" t="n"/>
      <c r="I742" s="70">
        <f>IF($A742="","",R741)</f>
        <v/>
      </c>
      <c r="J742" s="71">
        <f>IF($A742="","",IF(C742="",0,C742))</f>
        <v/>
      </c>
      <c r="K742" s="71">
        <f>IF($A742="","",IF(E742="",0,E742))</f>
        <v/>
      </c>
      <c r="L742" s="70">
        <f>IF($A742="","",B742-D742)</f>
        <v/>
      </c>
      <c r="M742" s="71">
        <f>IF($A742="","",J742-K742)</f>
        <v/>
      </c>
      <c r="N742" s="71">
        <f>IF($A742="","",IF(G742="",0,G742))</f>
        <v/>
      </c>
      <c r="O742" s="70">
        <f>IF($A742="","",D742+F742)</f>
        <v/>
      </c>
      <c r="P742" s="71">
        <f>IF($A742="","",K742+N742)</f>
        <v/>
      </c>
      <c r="Q742" s="70">
        <f>IF($A742="","",I742+L742-F742)</f>
        <v/>
      </c>
      <c r="R742" s="72">
        <f>IF($A742="","",IF(H742="",Q742,H742))</f>
        <v/>
      </c>
      <c r="S742" s="73">
        <f>IF($A742="","",R742-Q742)</f>
        <v/>
      </c>
      <c r="T742" s="70">
        <f>IF($A742="","",SUMIFS($B$5:$B$800,$A$5:$A$800,"&gt;="&amp;DATE(YEAR($A742),MONTH($A742),1),$A$5:$A$800,"&lt;="&amp;$A742)+IF(AND(YEAR($A742)=YEAR(Settings!$B$3),MONTH($A742)=MONTH(Settings!$B$3)),Settings!$B$6,0))</f>
        <v/>
      </c>
      <c r="U742" s="71">
        <f>IF($A742="","",SUMIFS($J$5:$J$800,$A$5:$A$800,"&gt;="&amp;DATE(YEAR($A742),MONTH($A742),1),$A$5:$A$800,"&lt;="&amp;$A742)+IF(AND(YEAR($A742)=YEAR(Settings!$B$3),MONTH($A742)=MONTH(Settings!$B$3)),Settings!$B$7,0))</f>
        <v/>
      </c>
      <c r="V742" s="70">
        <f>IF($A742="","",Settings!$B$8+SUM($B$5:B742))</f>
        <v/>
      </c>
      <c r="W742" s="71">
        <f>IF($A742="","",Settings!$B$9+SUM($J$5:J742))</f>
        <v/>
      </c>
      <c r="X742" s="71">
        <f>IF($A742="","",IF(AND(N742&gt;0,F742&gt;0),ROUND(F742/N742,0),X741))</f>
        <v/>
      </c>
      <c r="Y742" s="74">
        <f>IF($A742="","",IF(AND(M742&gt;0,L742&gt;0),ROUND(L742/M742,0),IF(AND(J742&gt;0,B742&gt;0),ROUND(B742/J742,0),Y741)))</f>
        <v/>
      </c>
    </row>
    <row r="743">
      <c r="A743" s="67" t="n"/>
      <c r="B743" s="68" t="n"/>
      <c r="C743" s="69" t="n"/>
      <c r="D743" s="68" t="n"/>
      <c r="E743" s="69" t="n"/>
      <c r="F743" s="68" t="n"/>
      <c r="G743" s="69" t="n"/>
      <c r="H743" s="68" t="n"/>
      <c r="I743" s="70">
        <f>IF($A743="","",R742)</f>
        <v/>
      </c>
      <c r="J743" s="71">
        <f>IF($A743="","",IF(C743="",0,C743))</f>
        <v/>
      </c>
      <c r="K743" s="71">
        <f>IF($A743="","",IF(E743="",0,E743))</f>
        <v/>
      </c>
      <c r="L743" s="70">
        <f>IF($A743="","",B743-D743)</f>
        <v/>
      </c>
      <c r="M743" s="71">
        <f>IF($A743="","",J743-K743)</f>
        <v/>
      </c>
      <c r="N743" s="71">
        <f>IF($A743="","",IF(G743="",0,G743))</f>
        <v/>
      </c>
      <c r="O743" s="70">
        <f>IF($A743="","",D743+F743)</f>
        <v/>
      </c>
      <c r="P743" s="71">
        <f>IF($A743="","",K743+N743)</f>
        <v/>
      </c>
      <c r="Q743" s="70">
        <f>IF($A743="","",I743+L743-F743)</f>
        <v/>
      </c>
      <c r="R743" s="72">
        <f>IF($A743="","",IF(H743="",Q743,H743))</f>
        <v/>
      </c>
      <c r="S743" s="73">
        <f>IF($A743="","",R743-Q743)</f>
        <v/>
      </c>
      <c r="T743" s="70">
        <f>IF($A743="","",SUMIFS($B$5:$B$800,$A$5:$A$800,"&gt;="&amp;DATE(YEAR($A743),MONTH($A743),1),$A$5:$A$800,"&lt;="&amp;$A743)+IF(AND(YEAR($A743)=YEAR(Settings!$B$3),MONTH($A743)=MONTH(Settings!$B$3)),Settings!$B$6,0))</f>
        <v/>
      </c>
      <c r="U743" s="71">
        <f>IF($A743="","",SUMIFS($J$5:$J$800,$A$5:$A$800,"&gt;="&amp;DATE(YEAR($A743),MONTH($A743),1),$A$5:$A$800,"&lt;="&amp;$A743)+IF(AND(YEAR($A743)=YEAR(Settings!$B$3),MONTH($A743)=MONTH(Settings!$B$3)),Settings!$B$7,0))</f>
        <v/>
      </c>
      <c r="V743" s="70">
        <f>IF($A743="","",Settings!$B$8+SUM($B$5:B743))</f>
        <v/>
      </c>
      <c r="W743" s="71">
        <f>IF($A743="","",Settings!$B$9+SUM($J$5:J743))</f>
        <v/>
      </c>
      <c r="X743" s="71">
        <f>IF($A743="","",IF(AND(N743&gt;0,F743&gt;0),ROUND(F743/N743,0),X742))</f>
        <v/>
      </c>
      <c r="Y743" s="74">
        <f>IF($A743="","",IF(AND(M743&gt;0,L743&gt;0),ROUND(L743/M743,0),IF(AND(J743&gt;0,B743&gt;0),ROUND(B743/J743,0),Y742)))</f>
        <v/>
      </c>
    </row>
    <row r="744">
      <c r="A744" s="67" t="n"/>
      <c r="B744" s="68" t="n"/>
      <c r="C744" s="69" t="n"/>
      <c r="D744" s="68" t="n"/>
      <c r="E744" s="69" t="n"/>
      <c r="F744" s="68" t="n"/>
      <c r="G744" s="69" t="n"/>
      <c r="H744" s="68" t="n"/>
      <c r="I744" s="70">
        <f>IF($A744="","",R743)</f>
        <v/>
      </c>
      <c r="J744" s="71">
        <f>IF($A744="","",IF(C744="",0,C744))</f>
        <v/>
      </c>
      <c r="K744" s="71">
        <f>IF($A744="","",IF(E744="",0,E744))</f>
        <v/>
      </c>
      <c r="L744" s="70">
        <f>IF($A744="","",B744-D744)</f>
        <v/>
      </c>
      <c r="M744" s="71">
        <f>IF($A744="","",J744-K744)</f>
        <v/>
      </c>
      <c r="N744" s="71">
        <f>IF($A744="","",IF(G744="",0,G744))</f>
        <v/>
      </c>
      <c r="O744" s="70">
        <f>IF($A744="","",D744+F744)</f>
        <v/>
      </c>
      <c r="P744" s="71">
        <f>IF($A744="","",K744+N744)</f>
        <v/>
      </c>
      <c r="Q744" s="70">
        <f>IF($A744="","",I744+L744-F744)</f>
        <v/>
      </c>
      <c r="R744" s="72">
        <f>IF($A744="","",IF(H744="",Q744,H744))</f>
        <v/>
      </c>
      <c r="S744" s="73">
        <f>IF($A744="","",R744-Q744)</f>
        <v/>
      </c>
      <c r="T744" s="70">
        <f>IF($A744="","",SUMIFS($B$5:$B$800,$A$5:$A$800,"&gt;="&amp;DATE(YEAR($A744),MONTH($A744),1),$A$5:$A$800,"&lt;="&amp;$A744)+IF(AND(YEAR($A744)=YEAR(Settings!$B$3),MONTH($A744)=MONTH(Settings!$B$3)),Settings!$B$6,0))</f>
        <v/>
      </c>
      <c r="U744" s="71">
        <f>IF($A744="","",SUMIFS($J$5:$J$800,$A$5:$A$800,"&gt;="&amp;DATE(YEAR($A744),MONTH($A744),1),$A$5:$A$800,"&lt;="&amp;$A744)+IF(AND(YEAR($A744)=YEAR(Settings!$B$3),MONTH($A744)=MONTH(Settings!$B$3)),Settings!$B$7,0))</f>
        <v/>
      </c>
      <c r="V744" s="70">
        <f>IF($A744="","",Settings!$B$8+SUM($B$5:B744))</f>
        <v/>
      </c>
      <c r="W744" s="71">
        <f>IF($A744="","",Settings!$B$9+SUM($J$5:J744))</f>
        <v/>
      </c>
      <c r="X744" s="71">
        <f>IF($A744="","",IF(AND(N744&gt;0,F744&gt;0),ROUND(F744/N744,0),X743))</f>
        <v/>
      </c>
      <c r="Y744" s="74">
        <f>IF($A744="","",IF(AND(M744&gt;0,L744&gt;0),ROUND(L744/M744,0),IF(AND(J744&gt;0,B744&gt;0),ROUND(B744/J744,0),Y743)))</f>
        <v/>
      </c>
    </row>
    <row r="745">
      <c r="A745" s="67" t="n"/>
      <c r="B745" s="68" t="n"/>
      <c r="C745" s="69" t="n"/>
      <c r="D745" s="68" t="n"/>
      <c r="E745" s="69" t="n"/>
      <c r="F745" s="68" t="n"/>
      <c r="G745" s="69" t="n"/>
      <c r="H745" s="68" t="n"/>
      <c r="I745" s="70">
        <f>IF($A745="","",R744)</f>
        <v/>
      </c>
      <c r="J745" s="71">
        <f>IF($A745="","",IF(C745="",0,C745))</f>
        <v/>
      </c>
      <c r="K745" s="71">
        <f>IF($A745="","",IF(E745="",0,E745))</f>
        <v/>
      </c>
      <c r="L745" s="70">
        <f>IF($A745="","",B745-D745)</f>
        <v/>
      </c>
      <c r="M745" s="71">
        <f>IF($A745="","",J745-K745)</f>
        <v/>
      </c>
      <c r="N745" s="71">
        <f>IF($A745="","",IF(G745="",0,G745))</f>
        <v/>
      </c>
      <c r="O745" s="70">
        <f>IF($A745="","",D745+F745)</f>
        <v/>
      </c>
      <c r="P745" s="71">
        <f>IF($A745="","",K745+N745)</f>
        <v/>
      </c>
      <c r="Q745" s="70">
        <f>IF($A745="","",I745+L745-F745)</f>
        <v/>
      </c>
      <c r="R745" s="72">
        <f>IF($A745="","",IF(H745="",Q745,H745))</f>
        <v/>
      </c>
      <c r="S745" s="73">
        <f>IF($A745="","",R745-Q745)</f>
        <v/>
      </c>
      <c r="T745" s="70">
        <f>IF($A745="","",SUMIFS($B$5:$B$800,$A$5:$A$800,"&gt;="&amp;DATE(YEAR($A745),MONTH($A745),1),$A$5:$A$800,"&lt;="&amp;$A745)+IF(AND(YEAR($A745)=YEAR(Settings!$B$3),MONTH($A745)=MONTH(Settings!$B$3)),Settings!$B$6,0))</f>
        <v/>
      </c>
      <c r="U745" s="71">
        <f>IF($A745="","",SUMIFS($J$5:$J$800,$A$5:$A$800,"&gt;="&amp;DATE(YEAR($A745),MONTH($A745),1),$A$5:$A$800,"&lt;="&amp;$A745)+IF(AND(YEAR($A745)=YEAR(Settings!$B$3),MONTH($A745)=MONTH(Settings!$B$3)),Settings!$B$7,0))</f>
        <v/>
      </c>
      <c r="V745" s="70">
        <f>IF($A745="","",Settings!$B$8+SUM($B$5:B745))</f>
        <v/>
      </c>
      <c r="W745" s="71">
        <f>IF($A745="","",Settings!$B$9+SUM($J$5:J745))</f>
        <v/>
      </c>
      <c r="X745" s="71">
        <f>IF($A745="","",IF(AND(N745&gt;0,F745&gt;0),ROUND(F745/N745,0),X744))</f>
        <v/>
      </c>
      <c r="Y745" s="74">
        <f>IF($A745="","",IF(AND(M745&gt;0,L745&gt;0),ROUND(L745/M745,0),IF(AND(J745&gt;0,B745&gt;0),ROUND(B745/J745,0),Y744)))</f>
        <v/>
      </c>
    </row>
    <row r="746">
      <c r="A746" s="67" t="n"/>
      <c r="B746" s="68" t="n"/>
      <c r="C746" s="69" t="n"/>
      <c r="D746" s="68" t="n"/>
      <c r="E746" s="69" t="n"/>
      <c r="F746" s="68" t="n"/>
      <c r="G746" s="69" t="n"/>
      <c r="H746" s="68" t="n"/>
      <c r="I746" s="70">
        <f>IF($A746="","",R745)</f>
        <v/>
      </c>
      <c r="J746" s="71">
        <f>IF($A746="","",IF(C746="",0,C746))</f>
        <v/>
      </c>
      <c r="K746" s="71">
        <f>IF($A746="","",IF(E746="",0,E746))</f>
        <v/>
      </c>
      <c r="L746" s="70">
        <f>IF($A746="","",B746-D746)</f>
        <v/>
      </c>
      <c r="M746" s="71">
        <f>IF($A746="","",J746-K746)</f>
        <v/>
      </c>
      <c r="N746" s="71">
        <f>IF($A746="","",IF(G746="",0,G746))</f>
        <v/>
      </c>
      <c r="O746" s="70">
        <f>IF($A746="","",D746+F746)</f>
        <v/>
      </c>
      <c r="P746" s="71">
        <f>IF($A746="","",K746+N746)</f>
        <v/>
      </c>
      <c r="Q746" s="70">
        <f>IF($A746="","",I746+L746-F746)</f>
        <v/>
      </c>
      <c r="R746" s="72">
        <f>IF($A746="","",IF(H746="",Q746,H746))</f>
        <v/>
      </c>
      <c r="S746" s="73">
        <f>IF($A746="","",R746-Q746)</f>
        <v/>
      </c>
      <c r="T746" s="70">
        <f>IF($A746="","",SUMIFS($B$5:$B$800,$A$5:$A$800,"&gt;="&amp;DATE(YEAR($A746),MONTH($A746),1),$A$5:$A$800,"&lt;="&amp;$A746)+IF(AND(YEAR($A746)=YEAR(Settings!$B$3),MONTH($A746)=MONTH(Settings!$B$3)),Settings!$B$6,0))</f>
        <v/>
      </c>
      <c r="U746" s="71">
        <f>IF($A746="","",SUMIFS($J$5:$J$800,$A$5:$A$800,"&gt;="&amp;DATE(YEAR($A746),MONTH($A746),1),$A$5:$A$800,"&lt;="&amp;$A746)+IF(AND(YEAR($A746)=YEAR(Settings!$B$3),MONTH($A746)=MONTH(Settings!$B$3)),Settings!$B$7,0))</f>
        <v/>
      </c>
      <c r="V746" s="70">
        <f>IF($A746="","",Settings!$B$8+SUM($B$5:B746))</f>
        <v/>
      </c>
      <c r="W746" s="71">
        <f>IF($A746="","",Settings!$B$9+SUM($J$5:J746))</f>
        <v/>
      </c>
      <c r="X746" s="71">
        <f>IF($A746="","",IF(AND(N746&gt;0,F746&gt;0),ROUND(F746/N746,0),X745))</f>
        <v/>
      </c>
      <c r="Y746" s="74">
        <f>IF($A746="","",IF(AND(M746&gt;0,L746&gt;0),ROUND(L746/M746,0),IF(AND(J746&gt;0,B746&gt;0),ROUND(B746/J746,0),Y745)))</f>
        <v/>
      </c>
    </row>
    <row r="747">
      <c r="A747" s="67" t="n"/>
      <c r="B747" s="68" t="n"/>
      <c r="C747" s="69" t="n"/>
      <c r="D747" s="68" t="n"/>
      <c r="E747" s="69" t="n"/>
      <c r="F747" s="68" t="n"/>
      <c r="G747" s="69" t="n"/>
      <c r="H747" s="68" t="n"/>
      <c r="I747" s="70">
        <f>IF($A747="","",R746)</f>
        <v/>
      </c>
      <c r="J747" s="71">
        <f>IF($A747="","",IF(C747="",0,C747))</f>
        <v/>
      </c>
      <c r="K747" s="71">
        <f>IF($A747="","",IF(E747="",0,E747))</f>
        <v/>
      </c>
      <c r="L747" s="70">
        <f>IF($A747="","",B747-D747)</f>
        <v/>
      </c>
      <c r="M747" s="71">
        <f>IF($A747="","",J747-K747)</f>
        <v/>
      </c>
      <c r="N747" s="71">
        <f>IF($A747="","",IF(G747="",0,G747))</f>
        <v/>
      </c>
      <c r="O747" s="70">
        <f>IF($A747="","",D747+F747)</f>
        <v/>
      </c>
      <c r="P747" s="71">
        <f>IF($A747="","",K747+N747)</f>
        <v/>
      </c>
      <c r="Q747" s="70">
        <f>IF($A747="","",I747+L747-F747)</f>
        <v/>
      </c>
      <c r="R747" s="72">
        <f>IF($A747="","",IF(H747="",Q747,H747))</f>
        <v/>
      </c>
      <c r="S747" s="73">
        <f>IF($A747="","",R747-Q747)</f>
        <v/>
      </c>
      <c r="T747" s="70">
        <f>IF($A747="","",SUMIFS($B$5:$B$800,$A$5:$A$800,"&gt;="&amp;DATE(YEAR($A747),MONTH($A747),1),$A$5:$A$800,"&lt;="&amp;$A747)+IF(AND(YEAR($A747)=YEAR(Settings!$B$3),MONTH($A747)=MONTH(Settings!$B$3)),Settings!$B$6,0))</f>
        <v/>
      </c>
      <c r="U747" s="71">
        <f>IF($A747="","",SUMIFS($J$5:$J$800,$A$5:$A$800,"&gt;="&amp;DATE(YEAR($A747),MONTH($A747),1),$A$5:$A$800,"&lt;="&amp;$A747)+IF(AND(YEAR($A747)=YEAR(Settings!$B$3),MONTH($A747)=MONTH(Settings!$B$3)),Settings!$B$7,0))</f>
        <v/>
      </c>
      <c r="V747" s="70">
        <f>IF($A747="","",Settings!$B$8+SUM($B$5:B747))</f>
        <v/>
      </c>
      <c r="W747" s="71">
        <f>IF($A747="","",Settings!$B$9+SUM($J$5:J747))</f>
        <v/>
      </c>
      <c r="X747" s="71">
        <f>IF($A747="","",IF(AND(N747&gt;0,F747&gt;0),ROUND(F747/N747,0),X746))</f>
        <v/>
      </c>
      <c r="Y747" s="74">
        <f>IF($A747="","",IF(AND(M747&gt;0,L747&gt;0),ROUND(L747/M747,0),IF(AND(J747&gt;0,B747&gt;0),ROUND(B747/J747,0),Y746)))</f>
        <v/>
      </c>
    </row>
    <row r="748">
      <c r="A748" s="67" t="n"/>
      <c r="B748" s="68" t="n"/>
      <c r="C748" s="69" t="n"/>
      <c r="D748" s="68" t="n"/>
      <c r="E748" s="69" t="n"/>
      <c r="F748" s="68" t="n"/>
      <c r="G748" s="69" t="n"/>
      <c r="H748" s="68" t="n"/>
      <c r="I748" s="70">
        <f>IF($A748="","",R747)</f>
        <v/>
      </c>
      <c r="J748" s="71">
        <f>IF($A748="","",IF(C748="",0,C748))</f>
        <v/>
      </c>
      <c r="K748" s="71">
        <f>IF($A748="","",IF(E748="",0,E748))</f>
        <v/>
      </c>
      <c r="L748" s="70">
        <f>IF($A748="","",B748-D748)</f>
        <v/>
      </c>
      <c r="M748" s="71">
        <f>IF($A748="","",J748-K748)</f>
        <v/>
      </c>
      <c r="N748" s="71">
        <f>IF($A748="","",IF(G748="",0,G748))</f>
        <v/>
      </c>
      <c r="O748" s="70">
        <f>IF($A748="","",D748+F748)</f>
        <v/>
      </c>
      <c r="P748" s="71">
        <f>IF($A748="","",K748+N748)</f>
        <v/>
      </c>
      <c r="Q748" s="70">
        <f>IF($A748="","",I748+L748-F748)</f>
        <v/>
      </c>
      <c r="R748" s="72">
        <f>IF($A748="","",IF(H748="",Q748,H748))</f>
        <v/>
      </c>
      <c r="S748" s="73">
        <f>IF($A748="","",R748-Q748)</f>
        <v/>
      </c>
      <c r="T748" s="70">
        <f>IF($A748="","",SUMIFS($B$5:$B$800,$A$5:$A$800,"&gt;="&amp;DATE(YEAR($A748),MONTH($A748),1),$A$5:$A$800,"&lt;="&amp;$A748)+IF(AND(YEAR($A748)=YEAR(Settings!$B$3),MONTH($A748)=MONTH(Settings!$B$3)),Settings!$B$6,0))</f>
        <v/>
      </c>
      <c r="U748" s="71">
        <f>IF($A748="","",SUMIFS($J$5:$J$800,$A$5:$A$800,"&gt;="&amp;DATE(YEAR($A748),MONTH($A748),1),$A$5:$A$800,"&lt;="&amp;$A748)+IF(AND(YEAR($A748)=YEAR(Settings!$B$3),MONTH($A748)=MONTH(Settings!$B$3)),Settings!$B$7,0))</f>
        <v/>
      </c>
      <c r="V748" s="70">
        <f>IF($A748="","",Settings!$B$8+SUM($B$5:B748))</f>
        <v/>
      </c>
      <c r="W748" s="71">
        <f>IF($A748="","",Settings!$B$9+SUM($J$5:J748))</f>
        <v/>
      </c>
      <c r="X748" s="71">
        <f>IF($A748="","",IF(AND(N748&gt;0,F748&gt;0),ROUND(F748/N748,0),X747))</f>
        <v/>
      </c>
      <c r="Y748" s="74">
        <f>IF($A748="","",IF(AND(M748&gt;0,L748&gt;0),ROUND(L748/M748,0),IF(AND(J748&gt;0,B748&gt;0),ROUND(B748/J748,0),Y747)))</f>
        <v/>
      </c>
    </row>
    <row r="749">
      <c r="A749" s="67" t="n"/>
      <c r="B749" s="68" t="n"/>
      <c r="C749" s="69" t="n"/>
      <c r="D749" s="68" t="n"/>
      <c r="E749" s="69" t="n"/>
      <c r="F749" s="68" t="n"/>
      <c r="G749" s="69" t="n"/>
      <c r="H749" s="68" t="n"/>
      <c r="I749" s="70">
        <f>IF($A749="","",R748)</f>
        <v/>
      </c>
      <c r="J749" s="71">
        <f>IF($A749="","",IF(C749="",0,C749))</f>
        <v/>
      </c>
      <c r="K749" s="71">
        <f>IF($A749="","",IF(E749="",0,E749))</f>
        <v/>
      </c>
      <c r="L749" s="70">
        <f>IF($A749="","",B749-D749)</f>
        <v/>
      </c>
      <c r="M749" s="71">
        <f>IF($A749="","",J749-K749)</f>
        <v/>
      </c>
      <c r="N749" s="71">
        <f>IF($A749="","",IF(G749="",0,G749))</f>
        <v/>
      </c>
      <c r="O749" s="70">
        <f>IF($A749="","",D749+F749)</f>
        <v/>
      </c>
      <c r="P749" s="71">
        <f>IF($A749="","",K749+N749)</f>
        <v/>
      </c>
      <c r="Q749" s="70">
        <f>IF($A749="","",I749+L749-F749)</f>
        <v/>
      </c>
      <c r="R749" s="72">
        <f>IF($A749="","",IF(H749="",Q749,H749))</f>
        <v/>
      </c>
      <c r="S749" s="73">
        <f>IF($A749="","",R749-Q749)</f>
        <v/>
      </c>
      <c r="T749" s="70">
        <f>IF($A749="","",SUMIFS($B$5:$B$800,$A$5:$A$800,"&gt;="&amp;DATE(YEAR($A749),MONTH($A749),1),$A$5:$A$800,"&lt;="&amp;$A749)+IF(AND(YEAR($A749)=YEAR(Settings!$B$3),MONTH($A749)=MONTH(Settings!$B$3)),Settings!$B$6,0))</f>
        <v/>
      </c>
      <c r="U749" s="71">
        <f>IF($A749="","",SUMIFS($J$5:$J$800,$A$5:$A$800,"&gt;="&amp;DATE(YEAR($A749),MONTH($A749),1),$A$5:$A$800,"&lt;="&amp;$A749)+IF(AND(YEAR($A749)=YEAR(Settings!$B$3),MONTH($A749)=MONTH(Settings!$B$3)),Settings!$B$7,0))</f>
        <v/>
      </c>
      <c r="V749" s="70">
        <f>IF($A749="","",Settings!$B$8+SUM($B$5:B749))</f>
        <v/>
      </c>
      <c r="W749" s="71">
        <f>IF($A749="","",Settings!$B$9+SUM($J$5:J749))</f>
        <v/>
      </c>
      <c r="X749" s="71">
        <f>IF($A749="","",IF(AND(N749&gt;0,F749&gt;0),ROUND(F749/N749,0),X748))</f>
        <v/>
      </c>
      <c r="Y749" s="74">
        <f>IF($A749="","",IF(AND(M749&gt;0,L749&gt;0),ROUND(L749/M749,0),IF(AND(J749&gt;0,B749&gt;0),ROUND(B749/J749,0),Y748)))</f>
        <v/>
      </c>
    </row>
    <row r="750">
      <c r="A750" s="67" t="n"/>
      <c r="B750" s="68" t="n"/>
      <c r="C750" s="69" t="n"/>
      <c r="D750" s="68" t="n"/>
      <c r="E750" s="69" t="n"/>
      <c r="F750" s="68" t="n"/>
      <c r="G750" s="69" t="n"/>
      <c r="H750" s="68" t="n"/>
      <c r="I750" s="70">
        <f>IF($A750="","",R749)</f>
        <v/>
      </c>
      <c r="J750" s="71">
        <f>IF($A750="","",IF(C750="",0,C750))</f>
        <v/>
      </c>
      <c r="K750" s="71">
        <f>IF($A750="","",IF(E750="",0,E750))</f>
        <v/>
      </c>
      <c r="L750" s="70">
        <f>IF($A750="","",B750-D750)</f>
        <v/>
      </c>
      <c r="M750" s="71">
        <f>IF($A750="","",J750-K750)</f>
        <v/>
      </c>
      <c r="N750" s="71">
        <f>IF($A750="","",IF(G750="",0,G750))</f>
        <v/>
      </c>
      <c r="O750" s="70">
        <f>IF($A750="","",D750+F750)</f>
        <v/>
      </c>
      <c r="P750" s="71">
        <f>IF($A750="","",K750+N750)</f>
        <v/>
      </c>
      <c r="Q750" s="70">
        <f>IF($A750="","",I750+L750-F750)</f>
        <v/>
      </c>
      <c r="R750" s="72">
        <f>IF($A750="","",IF(H750="",Q750,H750))</f>
        <v/>
      </c>
      <c r="S750" s="73">
        <f>IF($A750="","",R750-Q750)</f>
        <v/>
      </c>
      <c r="T750" s="70">
        <f>IF($A750="","",SUMIFS($B$5:$B$800,$A$5:$A$800,"&gt;="&amp;DATE(YEAR($A750),MONTH($A750),1),$A$5:$A$800,"&lt;="&amp;$A750)+IF(AND(YEAR($A750)=YEAR(Settings!$B$3),MONTH($A750)=MONTH(Settings!$B$3)),Settings!$B$6,0))</f>
        <v/>
      </c>
      <c r="U750" s="71">
        <f>IF($A750="","",SUMIFS($J$5:$J$800,$A$5:$A$800,"&gt;="&amp;DATE(YEAR($A750),MONTH($A750),1),$A$5:$A$800,"&lt;="&amp;$A750)+IF(AND(YEAR($A750)=YEAR(Settings!$B$3),MONTH($A750)=MONTH(Settings!$B$3)),Settings!$B$7,0))</f>
        <v/>
      </c>
      <c r="V750" s="70">
        <f>IF($A750="","",Settings!$B$8+SUM($B$5:B750))</f>
        <v/>
      </c>
      <c r="W750" s="71">
        <f>IF($A750="","",Settings!$B$9+SUM($J$5:J750))</f>
        <v/>
      </c>
      <c r="X750" s="71">
        <f>IF($A750="","",IF(AND(N750&gt;0,F750&gt;0),ROUND(F750/N750,0),X749))</f>
        <v/>
      </c>
      <c r="Y750" s="74">
        <f>IF($A750="","",IF(AND(M750&gt;0,L750&gt;0),ROUND(L750/M750,0),IF(AND(J750&gt;0,B750&gt;0),ROUND(B750/J750,0),Y749)))</f>
        <v/>
      </c>
    </row>
    <row r="751">
      <c r="A751" s="67" t="n"/>
      <c r="B751" s="68" t="n"/>
      <c r="C751" s="69" t="n"/>
      <c r="D751" s="68" t="n"/>
      <c r="E751" s="69" t="n"/>
      <c r="F751" s="68" t="n"/>
      <c r="G751" s="69" t="n"/>
      <c r="H751" s="68" t="n"/>
      <c r="I751" s="70">
        <f>IF($A751="","",R750)</f>
        <v/>
      </c>
      <c r="J751" s="71">
        <f>IF($A751="","",IF(C751="",0,C751))</f>
        <v/>
      </c>
      <c r="K751" s="71">
        <f>IF($A751="","",IF(E751="",0,E751))</f>
        <v/>
      </c>
      <c r="L751" s="70">
        <f>IF($A751="","",B751-D751)</f>
        <v/>
      </c>
      <c r="M751" s="71">
        <f>IF($A751="","",J751-K751)</f>
        <v/>
      </c>
      <c r="N751" s="71">
        <f>IF($A751="","",IF(G751="",0,G751))</f>
        <v/>
      </c>
      <c r="O751" s="70">
        <f>IF($A751="","",D751+F751)</f>
        <v/>
      </c>
      <c r="P751" s="71">
        <f>IF($A751="","",K751+N751)</f>
        <v/>
      </c>
      <c r="Q751" s="70">
        <f>IF($A751="","",I751+L751-F751)</f>
        <v/>
      </c>
      <c r="R751" s="72">
        <f>IF($A751="","",IF(H751="",Q751,H751))</f>
        <v/>
      </c>
      <c r="S751" s="73">
        <f>IF($A751="","",R751-Q751)</f>
        <v/>
      </c>
      <c r="T751" s="70">
        <f>IF($A751="","",SUMIFS($B$5:$B$800,$A$5:$A$800,"&gt;="&amp;DATE(YEAR($A751),MONTH($A751),1),$A$5:$A$800,"&lt;="&amp;$A751)+IF(AND(YEAR($A751)=YEAR(Settings!$B$3),MONTH($A751)=MONTH(Settings!$B$3)),Settings!$B$6,0))</f>
        <v/>
      </c>
      <c r="U751" s="71">
        <f>IF($A751="","",SUMIFS($J$5:$J$800,$A$5:$A$800,"&gt;="&amp;DATE(YEAR($A751),MONTH($A751),1),$A$5:$A$800,"&lt;="&amp;$A751)+IF(AND(YEAR($A751)=YEAR(Settings!$B$3),MONTH($A751)=MONTH(Settings!$B$3)),Settings!$B$7,0))</f>
        <v/>
      </c>
      <c r="V751" s="70">
        <f>IF($A751="","",Settings!$B$8+SUM($B$5:B751))</f>
        <v/>
      </c>
      <c r="W751" s="71">
        <f>IF($A751="","",Settings!$B$9+SUM($J$5:J751))</f>
        <v/>
      </c>
      <c r="X751" s="71">
        <f>IF($A751="","",IF(AND(N751&gt;0,F751&gt;0),ROUND(F751/N751,0),X750))</f>
        <v/>
      </c>
      <c r="Y751" s="74">
        <f>IF($A751="","",IF(AND(M751&gt;0,L751&gt;0),ROUND(L751/M751,0),IF(AND(J751&gt;0,B751&gt;0),ROUND(B751/J751,0),Y750)))</f>
        <v/>
      </c>
    </row>
    <row r="752">
      <c r="A752" s="67" t="n"/>
      <c r="B752" s="68" t="n"/>
      <c r="C752" s="69" t="n"/>
      <c r="D752" s="68" t="n"/>
      <c r="E752" s="69" t="n"/>
      <c r="F752" s="68" t="n"/>
      <c r="G752" s="69" t="n"/>
      <c r="H752" s="68" t="n"/>
      <c r="I752" s="70">
        <f>IF($A752="","",R751)</f>
        <v/>
      </c>
      <c r="J752" s="71">
        <f>IF($A752="","",IF(C752="",0,C752))</f>
        <v/>
      </c>
      <c r="K752" s="71">
        <f>IF($A752="","",IF(E752="",0,E752))</f>
        <v/>
      </c>
      <c r="L752" s="70">
        <f>IF($A752="","",B752-D752)</f>
        <v/>
      </c>
      <c r="M752" s="71">
        <f>IF($A752="","",J752-K752)</f>
        <v/>
      </c>
      <c r="N752" s="71">
        <f>IF($A752="","",IF(G752="",0,G752))</f>
        <v/>
      </c>
      <c r="O752" s="70">
        <f>IF($A752="","",D752+F752)</f>
        <v/>
      </c>
      <c r="P752" s="71">
        <f>IF($A752="","",K752+N752)</f>
        <v/>
      </c>
      <c r="Q752" s="70">
        <f>IF($A752="","",I752+L752-F752)</f>
        <v/>
      </c>
      <c r="R752" s="72">
        <f>IF($A752="","",IF(H752="",Q752,H752))</f>
        <v/>
      </c>
      <c r="S752" s="73">
        <f>IF($A752="","",R752-Q752)</f>
        <v/>
      </c>
      <c r="T752" s="70">
        <f>IF($A752="","",SUMIFS($B$5:$B$800,$A$5:$A$800,"&gt;="&amp;DATE(YEAR($A752),MONTH($A752),1),$A$5:$A$800,"&lt;="&amp;$A752)+IF(AND(YEAR($A752)=YEAR(Settings!$B$3),MONTH($A752)=MONTH(Settings!$B$3)),Settings!$B$6,0))</f>
        <v/>
      </c>
      <c r="U752" s="71">
        <f>IF($A752="","",SUMIFS($J$5:$J$800,$A$5:$A$800,"&gt;="&amp;DATE(YEAR($A752),MONTH($A752),1),$A$5:$A$800,"&lt;="&amp;$A752)+IF(AND(YEAR($A752)=YEAR(Settings!$B$3),MONTH($A752)=MONTH(Settings!$B$3)),Settings!$B$7,0))</f>
        <v/>
      </c>
      <c r="V752" s="70">
        <f>IF($A752="","",Settings!$B$8+SUM($B$5:B752))</f>
        <v/>
      </c>
      <c r="W752" s="71">
        <f>IF($A752="","",Settings!$B$9+SUM($J$5:J752))</f>
        <v/>
      </c>
      <c r="X752" s="71">
        <f>IF($A752="","",IF(AND(N752&gt;0,F752&gt;0),ROUND(F752/N752,0),X751))</f>
        <v/>
      </c>
      <c r="Y752" s="74">
        <f>IF($A752="","",IF(AND(M752&gt;0,L752&gt;0),ROUND(L752/M752,0),IF(AND(J752&gt;0,B752&gt;0),ROUND(B752/J752,0),Y751)))</f>
        <v/>
      </c>
    </row>
    <row r="753">
      <c r="A753" s="67" t="n"/>
      <c r="B753" s="68" t="n"/>
      <c r="C753" s="69" t="n"/>
      <c r="D753" s="68" t="n"/>
      <c r="E753" s="69" t="n"/>
      <c r="F753" s="68" t="n"/>
      <c r="G753" s="69" t="n"/>
      <c r="H753" s="68" t="n"/>
      <c r="I753" s="70">
        <f>IF($A753="","",R752)</f>
        <v/>
      </c>
      <c r="J753" s="71">
        <f>IF($A753="","",IF(C753="",0,C753))</f>
        <v/>
      </c>
      <c r="K753" s="71">
        <f>IF($A753="","",IF(E753="",0,E753))</f>
        <v/>
      </c>
      <c r="L753" s="70">
        <f>IF($A753="","",B753-D753)</f>
        <v/>
      </c>
      <c r="M753" s="71">
        <f>IF($A753="","",J753-K753)</f>
        <v/>
      </c>
      <c r="N753" s="71">
        <f>IF($A753="","",IF(G753="",0,G753))</f>
        <v/>
      </c>
      <c r="O753" s="70">
        <f>IF($A753="","",D753+F753)</f>
        <v/>
      </c>
      <c r="P753" s="71">
        <f>IF($A753="","",K753+N753)</f>
        <v/>
      </c>
      <c r="Q753" s="70">
        <f>IF($A753="","",I753+L753-F753)</f>
        <v/>
      </c>
      <c r="R753" s="72">
        <f>IF($A753="","",IF(H753="",Q753,H753))</f>
        <v/>
      </c>
      <c r="S753" s="73">
        <f>IF($A753="","",R753-Q753)</f>
        <v/>
      </c>
      <c r="T753" s="70">
        <f>IF($A753="","",SUMIFS($B$5:$B$800,$A$5:$A$800,"&gt;="&amp;DATE(YEAR($A753),MONTH($A753),1),$A$5:$A$800,"&lt;="&amp;$A753)+IF(AND(YEAR($A753)=YEAR(Settings!$B$3),MONTH($A753)=MONTH(Settings!$B$3)),Settings!$B$6,0))</f>
        <v/>
      </c>
      <c r="U753" s="71">
        <f>IF($A753="","",SUMIFS($J$5:$J$800,$A$5:$A$800,"&gt;="&amp;DATE(YEAR($A753),MONTH($A753),1),$A$5:$A$800,"&lt;="&amp;$A753)+IF(AND(YEAR($A753)=YEAR(Settings!$B$3),MONTH($A753)=MONTH(Settings!$B$3)),Settings!$B$7,0))</f>
        <v/>
      </c>
      <c r="V753" s="70">
        <f>IF($A753="","",Settings!$B$8+SUM($B$5:B753))</f>
        <v/>
      </c>
      <c r="W753" s="71">
        <f>IF($A753="","",Settings!$B$9+SUM($J$5:J753))</f>
        <v/>
      </c>
      <c r="X753" s="71">
        <f>IF($A753="","",IF(AND(N753&gt;0,F753&gt;0),ROUND(F753/N753,0),X752))</f>
        <v/>
      </c>
      <c r="Y753" s="74">
        <f>IF($A753="","",IF(AND(M753&gt;0,L753&gt;0),ROUND(L753/M753,0),IF(AND(J753&gt;0,B753&gt;0),ROUND(B753/J753,0),Y752)))</f>
        <v/>
      </c>
    </row>
    <row r="754">
      <c r="A754" s="67" t="n"/>
      <c r="B754" s="68" t="n"/>
      <c r="C754" s="69" t="n"/>
      <c r="D754" s="68" t="n"/>
      <c r="E754" s="69" t="n"/>
      <c r="F754" s="68" t="n"/>
      <c r="G754" s="69" t="n"/>
      <c r="H754" s="68" t="n"/>
      <c r="I754" s="70">
        <f>IF($A754="","",R753)</f>
        <v/>
      </c>
      <c r="J754" s="71">
        <f>IF($A754="","",IF(C754="",0,C754))</f>
        <v/>
      </c>
      <c r="K754" s="71">
        <f>IF($A754="","",IF(E754="",0,E754))</f>
        <v/>
      </c>
      <c r="L754" s="70">
        <f>IF($A754="","",B754-D754)</f>
        <v/>
      </c>
      <c r="M754" s="71">
        <f>IF($A754="","",J754-K754)</f>
        <v/>
      </c>
      <c r="N754" s="71">
        <f>IF($A754="","",IF(G754="",0,G754))</f>
        <v/>
      </c>
      <c r="O754" s="70">
        <f>IF($A754="","",D754+F754)</f>
        <v/>
      </c>
      <c r="P754" s="71">
        <f>IF($A754="","",K754+N754)</f>
        <v/>
      </c>
      <c r="Q754" s="70">
        <f>IF($A754="","",I754+L754-F754)</f>
        <v/>
      </c>
      <c r="R754" s="72">
        <f>IF($A754="","",IF(H754="",Q754,H754))</f>
        <v/>
      </c>
      <c r="S754" s="73">
        <f>IF($A754="","",R754-Q754)</f>
        <v/>
      </c>
      <c r="T754" s="70">
        <f>IF($A754="","",SUMIFS($B$5:$B$800,$A$5:$A$800,"&gt;="&amp;DATE(YEAR($A754),MONTH($A754),1),$A$5:$A$800,"&lt;="&amp;$A754)+IF(AND(YEAR($A754)=YEAR(Settings!$B$3),MONTH($A754)=MONTH(Settings!$B$3)),Settings!$B$6,0))</f>
        <v/>
      </c>
      <c r="U754" s="71">
        <f>IF($A754="","",SUMIFS($J$5:$J$800,$A$5:$A$800,"&gt;="&amp;DATE(YEAR($A754),MONTH($A754),1),$A$5:$A$800,"&lt;="&amp;$A754)+IF(AND(YEAR($A754)=YEAR(Settings!$B$3),MONTH($A754)=MONTH(Settings!$B$3)),Settings!$B$7,0))</f>
        <v/>
      </c>
      <c r="V754" s="70">
        <f>IF($A754="","",Settings!$B$8+SUM($B$5:B754))</f>
        <v/>
      </c>
      <c r="W754" s="71">
        <f>IF($A754="","",Settings!$B$9+SUM($J$5:J754))</f>
        <v/>
      </c>
      <c r="X754" s="71">
        <f>IF($A754="","",IF(AND(N754&gt;0,F754&gt;0),ROUND(F754/N754,0),X753))</f>
        <v/>
      </c>
      <c r="Y754" s="74">
        <f>IF($A754="","",IF(AND(M754&gt;0,L754&gt;0),ROUND(L754/M754,0),IF(AND(J754&gt;0,B754&gt;0),ROUND(B754/J754,0),Y753)))</f>
        <v/>
      </c>
    </row>
    <row r="755">
      <c r="A755" s="67" t="n"/>
      <c r="B755" s="68" t="n"/>
      <c r="C755" s="69" t="n"/>
      <c r="D755" s="68" t="n"/>
      <c r="E755" s="69" t="n"/>
      <c r="F755" s="68" t="n"/>
      <c r="G755" s="69" t="n"/>
      <c r="H755" s="68" t="n"/>
      <c r="I755" s="70">
        <f>IF($A755="","",R754)</f>
        <v/>
      </c>
      <c r="J755" s="71">
        <f>IF($A755="","",IF(C755="",0,C755))</f>
        <v/>
      </c>
      <c r="K755" s="71">
        <f>IF($A755="","",IF(E755="",0,E755))</f>
        <v/>
      </c>
      <c r="L755" s="70">
        <f>IF($A755="","",B755-D755)</f>
        <v/>
      </c>
      <c r="M755" s="71">
        <f>IF($A755="","",J755-K755)</f>
        <v/>
      </c>
      <c r="N755" s="71">
        <f>IF($A755="","",IF(G755="",0,G755))</f>
        <v/>
      </c>
      <c r="O755" s="70">
        <f>IF($A755="","",D755+F755)</f>
        <v/>
      </c>
      <c r="P755" s="71">
        <f>IF($A755="","",K755+N755)</f>
        <v/>
      </c>
      <c r="Q755" s="70">
        <f>IF($A755="","",I755+L755-F755)</f>
        <v/>
      </c>
      <c r="R755" s="72">
        <f>IF($A755="","",IF(H755="",Q755,H755))</f>
        <v/>
      </c>
      <c r="S755" s="73">
        <f>IF($A755="","",R755-Q755)</f>
        <v/>
      </c>
      <c r="T755" s="70">
        <f>IF($A755="","",SUMIFS($B$5:$B$800,$A$5:$A$800,"&gt;="&amp;DATE(YEAR($A755),MONTH($A755),1),$A$5:$A$800,"&lt;="&amp;$A755)+IF(AND(YEAR($A755)=YEAR(Settings!$B$3),MONTH($A755)=MONTH(Settings!$B$3)),Settings!$B$6,0))</f>
        <v/>
      </c>
      <c r="U755" s="71">
        <f>IF($A755="","",SUMIFS($J$5:$J$800,$A$5:$A$800,"&gt;="&amp;DATE(YEAR($A755),MONTH($A755),1),$A$5:$A$800,"&lt;="&amp;$A755)+IF(AND(YEAR($A755)=YEAR(Settings!$B$3),MONTH($A755)=MONTH(Settings!$B$3)),Settings!$B$7,0))</f>
        <v/>
      </c>
      <c r="V755" s="70">
        <f>IF($A755="","",Settings!$B$8+SUM($B$5:B755))</f>
        <v/>
      </c>
      <c r="W755" s="71">
        <f>IF($A755="","",Settings!$B$9+SUM($J$5:J755))</f>
        <v/>
      </c>
      <c r="X755" s="71">
        <f>IF($A755="","",IF(AND(N755&gt;0,F755&gt;0),ROUND(F755/N755,0),X754))</f>
        <v/>
      </c>
      <c r="Y755" s="74">
        <f>IF($A755="","",IF(AND(M755&gt;0,L755&gt;0),ROUND(L755/M755,0),IF(AND(J755&gt;0,B755&gt;0),ROUND(B755/J755,0),Y754)))</f>
        <v/>
      </c>
    </row>
    <row r="756">
      <c r="A756" s="67" t="n"/>
      <c r="B756" s="68" t="n"/>
      <c r="C756" s="69" t="n"/>
      <c r="D756" s="68" t="n"/>
      <c r="E756" s="69" t="n"/>
      <c r="F756" s="68" t="n"/>
      <c r="G756" s="69" t="n"/>
      <c r="H756" s="68" t="n"/>
      <c r="I756" s="70">
        <f>IF($A756="","",R755)</f>
        <v/>
      </c>
      <c r="J756" s="71">
        <f>IF($A756="","",IF(C756="",0,C756))</f>
        <v/>
      </c>
      <c r="K756" s="71">
        <f>IF($A756="","",IF(E756="",0,E756))</f>
        <v/>
      </c>
      <c r="L756" s="70">
        <f>IF($A756="","",B756-D756)</f>
        <v/>
      </c>
      <c r="M756" s="71">
        <f>IF($A756="","",J756-K756)</f>
        <v/>
      </c>
      <c r="N756" s="71">
        <f>IF($A756="","",IF(G756="",0,G756))</f>
        <v/>
      </c>
      <c r="O756" s="70">
        <f>IF($A756="","",D756+F756)</f>
        <v/>
      </c>
      <c r="P756" s="71">
        <f>IF($A756="","",K756+N756)</f>
        <v/>
      </c>
      <c r="Q756" s="70">
        <f>IF($A756="","",I756+L756-F756)</f>
        <v/>
      </c>
      <c r="R756" s="72">
        <f>IF($A756="","",IF(H756="",Q756,H756))</f>
        <v/>
      </c>
      <c r="S756" s="73">
        <f>IF($A756="","",R756-Q756)</f>
        <v/>
      </c>
      <c r="T756" s="70">
        <f>IF($A756="","",SUMIFS($B$5:$B$800,$A$5:$A$800,"&gt;="&amp;DATE(YEAR($A756),MONTH($A756),1),$A$5:$A$800,"&lt;="&amp;$A756)+IF(AND(YEAR($A756)=YEAR(Settings!$B$3),MONTH($A756)=MONTH(Settings!$B$3)),Settings!$B$6,0))</f>
        <v/>
      </c>
      <c r="U756" s="71">
        <f>IF($A756="","",SUMIFS($J$5:$J$800,$A$5:$A$800,"&gt;="&amp;DATE(YEAR($A756),MONTH($A756),1),$A$5:$A$800,"&lt;="&amp;$A756)+IF(AND(YEAR($A756)=YEAR(Settings!$B$3),MONTH($A756)=MONTH(Settings!$B$3)),Settings!$B$7,0))</f>
        <v/>
      </c>
      <c r="V756" s="70">
        <f>IF($A756="","",Settings!$B$8+SUM($B$5:B756))</f>
        <v/>
      </c>
      <c r="W756" s="71">
        <f>IF($A756="","",Settings!$B$9+SUM($J$5:J756))</f>
        <v/>
      </c>
      <c r="X756" s="71">
        <f>IF($A756="","",IF(AND(N756&gt;0,F756&gt;0),ROUND(F756/N756,0),X755))</f>
        <v/>
      </c>
      <c r="Y756" s="74">
        <f>IF($A756="","",IF(AND(M756&gt;0,L756&gt;0),ROUND(L756/M756,0),IF(AND(J756&gt;0,B756&gt;0),ROUND(B756/J756,0),Y755)))</f>
        <v/>
      </c>
    </row>
    <row r="757">
      <c r="A757" s="67" t="n"/>
      <c r="B757" s="68" t="n"/>
      <c r="C757" s="69" t="n"/>
      <c r="D757" s="68" t="n"/>
      <c r="E757" s="69" t="n"/>
      <c r="F757" s="68" t="n"/>
      <c r="G757" s="69" t="n"/>
      <c r="H757" s="68" t="n"/>
      <c r="I757" s="70">
        <f>IF($A757="","",R756)</f>
        <v/>
      </c>
      <c r="J757" s="71">
        <f>IF($A757="","",IF(C757="",0,C757))</f>
        <v/>
      </c>
      <c r="K757" s="71">
        <f>IF($A757="","",IF(E757="",0,E757))</f>
        <v/>
      </c>
      <c r="L757" s="70">
        <f>IF($A757="","",B757-D757)</f>
        <v/>
      </c>
      <c r="M757" s="71">
        <f>IF($A757="","",J757-K757)</f>
        <v/>
      </c>
      <c r="N757" s="71">
        <f>IF($A757="","",IF(G757="",0,G757))</f>
        <v/>
      </c>
      <c r="O757" s="70">
        <f>IF($A757="","",D757+F757)</f>
        <v/>
      </c>
      <c r="P757" s="71">
        <f>IF($A757="","",K757+N757)</f>
        <v/>
      </c>
      <c r="Q757" s="70">
        <f>IF($A757="","",I757+L757-F757)</f>
        <v/>
      </c>
      <c r="R757" s="72">
        <f>IF($A757="","",IF(H757="",Q757,H757))</f>
        <v/>
      </c>
      <c r="S757" s="73">
        <f>IF($A757="","",R757-Q757)</f>
        <v/>
      </c>
      <c r="T757" s="70">
        <f>IF($A757="","",SUMIFS($B$5:$B$800,$A$5:$A$800,"&gt;="&amp;DATE(YEAR($A757),MONTH($A757),1),$A$5:$A$800,"&lt;="&amp;$A757)+IF(AND(YEAR($A757)=YEAR(Settings!$B$3),MONTH($A757)=MONTH(Settings!$B$3)),Settings!$B$6,0))</f>
        <v/>
      </c>
      <c r="U757" s="71">
        <f>IF($A757="","",SUMIFS($J$5:$J$800,$A$5:$A$800,"&gt;="&amp;DATE(YEAR($A757),MONTH($A757),1),$A$5:$A$800,"&lt;="&amp;$A757)+IF(AND(YEAR($A757)=YEAR(Settings!$B$3),MONTH($A757)=MONTH(Settings!$B$3)),Settings!$B$7,0))</f>
        <v/>
      </c>
      <c r="V757" s="70">
        <f>IF($A757="","",Settings!$B$8+SUM($B$5:B757))</f>
        <v/>
      </c>
      <c r="W757" s="71">
        <f>IF($A757="","",Settings!$B$9+SUM($J$5:J757))</f>
        <v/>
      </c>
      <c r="X757" s="71">
        <f>IF($A757="","",IF(AND(N757&gt;0,F757&gt;0),ROUND(F757/N757,0),X756))</f>
        <v/>
      </c>
      <c r="Y757" s="74">
        <f>IF($A757="","",IF(AND(M757&gt;0,L757&gt;0),ROUND(L757/M757,0),IF(AND(J757&gt;0,B757&gt;0),ROUND(B757/J757,0),Y756)))</f>
        <v/>
      </c>
    </row>
    <row r="758">
      <c r="A758" s="67" t="n"/>
      <c r="B758" s="68" t="n"/>
      <c r="C758" s="69" t="n"/>
      <c r="D758" s="68" t="n"/>
      <c r="E758" s="69" t="n"/>
      <c r="F758" s="68" t="n"/>
      <c r="G758" s="69" t="n"/>
      <c r="H758" s="68" t="n"/>
      <c r="I758" s="70">
        <f>IF($A758="","",R757)</f>
        <v/>
      </c>
      <c r="J758" s="71">
        <f>IF($A758="","",IF(C758="",0,C758))</f>
        <v/>
      </c>
      <c r="K758" s="71">
        <f>IF($A758="","",IF(E758="",0,E758))</f>
        <v/>
      </c>
      <c r="L758" s="70">
        <f>IF($A758="","",B758-D758)</f>
        <v/>
      </c>
      <c r="M758" s="71">
        <f>IF($A758="","",J758-K758)</f>
        <v/>
      </c>
      <c r="N758" s="71">
        <f>IF($A758="","",IF(G758="",0,G758))</f>
        <v/>
      </c>
      <c r="O758" s="70">
        <f>IF($A758="","",D758+F758)</f>
        <v/>
      </c>
      <c r="P758" s="71">
        <f>IF($A758="","",K758+N758)</f>
        <v/>
      </c>
      <c r="Q758" s="70">
        <f>IF($A758="","",I758+L758-F758)</f>
        <v/>
      </c>
      <c r="R758" s="72">
        <f>IF($A758="","",IF(H758="",Q758,H758))</f>
        <v/>
      </c>
      <c r="S758" s="73">
        <f>IF($A758="","",R758-Q758)</f>
        <v/>
      </c>
      <c r="T758" s="70">
        <f>IF($A758="","",SUMIFS($B$5:$B$800,$A$5:$A$800,"&gt;="&amp;DATE(YEAR($A758),MONTH($A758),1),$A$5:$A$800,"&lt;="&amp;$A758)+IF(AND(YEAR($A758)=YEAR(Settings!$B$3),MONTH($A758)=MONTH(Settings!$B$3)),Settings!$B$6,0))</f>
        <v/>
      </c>
      <c r="U758" s="71">
        <f>IF($A758="","",SUMIFS($J$5:$J$800,$A$5:$A$800,"&gt;="&amp;DATE(YEAR($A758),MONTH($A758),1),$A$5:$A$800,"&lt;="&amp;$A758)+IF(AND(YEAR($A758)=YEAR(Settings!$B$3),MONTH($A758)=MONTH(Settings!$B$3)),Settings!$B$7,0))</f>
        <v/>
      </c>
      <c r="V758" s="70">
        <f>IF($A758="","",Settings!$B$8+SUM($B$5:B758))</f>
        <v/>
      </c>
      <c r="W758" s="71">
        <f>IF($A758="","",Settings!$B$9+SUM($J$5:J758))</f>
        <v/>
      </c>
      <c r="X758" s="71">
        <f>IF($A758="","",IF(AND(N758&gt;0,F758&gt;0),ROUND(F758/N758,0),X757))</f>
        <v/>
      </c>
      <c r="Y758" s="74">
        <f>IF($A758="","",IF(AND(M758&gt;0,L758&gt;0),ROUND(L758/M758,0),IF(AND(J758&gt;0,B758&gt;0),ROUND(B758/J758,0),Y757)))</f>
        <v/>
      </c>
    </row>
    <row r="759">
      <c r="A759" s="67" t="n"/>
      <c r="B759" s="68" t="n"/>
      <c r="C759" s="69" t="n"/>
      <c r="D759" s="68" t="n"/>
      <c r="E759" s="69" t="n"/>
      <c r="F759" s="68" t="n"/>
      <c r="G759" s="69" t="n"/>
      <c r="H759" s="68" t="n"/>
      <c r="I759" s="70">
        <f>IF($A759="","",R758)</f>
        <v/>
      </c>
      <c r="J759" s="71">
        <f>IF($A759="","",IF(C759="",0,C759))</f>
        <v/>
      </c>
      <c r="K759" s="71">
        <f>IF($A759="","",IF(E759="",0,E759))</f>
        <v/>
      </c>
      <c r="L759" s="70">
        <f>IF($A759="","",B759-D759)</f>
        <v/>
      </c>
      <c r="M759" s="71">
        <f>IF($A759="","",J759-K759)</f>
        <v/>
      </c>
      <c r="N759" s="71">
        <f>IF($A759="","",IF(G759="",0,G759))</f>
        <v/>
      </c>
      <c r="O759" s="70">
        <f>IF($A759="","",D759+F759)</f>
        <v/>
      </c>
      <c r="P759" s="71">
        <f>IF($A759="","",K759+N759)</f>
        <v/>
      </c>
      <c r="Q759" s="70">
        <f>IF($A759="","",I759+L759-F759)</f>
        <v/>
      </c>
      <c r="R759" s="72">
        <f>IF($A759="","",IF(H759="",Q759,H759))</f>
        <v/>
      </c>
      <c r="S759" s="73">
        <f>IF($A759="","",R759-Q759)</f>
        <v/>
      </c>
      <c r="T759" s="70">
        <f>IF($A759="","",SUMIFS($B$5:$B$800,$A$5:$A$800,"&gt;="&amp;DATE(YEAR($A759),MONTH($A759),1),$A$5:$A$800,"&lt;="&amp;$A759)+IF(AND(YEAR($A759)=YEAR(Settings!$B$3),MONTH($A759)=MONTH(Settings!$B$3)),Settings!$B$6,0))</f>
        <v/>
      </c>
      <c r="U759" s="71">
        <f>IF($A759="","",SUMIFS($J$5:$J$800,$A$5:$A$800,"&gt;="&amp;DATE(YEAR($A759),MONTH($A759),1),$A$5:$A$800,"&lt;="&amp;$A759)+IF(AND(YEAR($A759)=YEAR(Settings!$B$3),MONTH($A759)=MONTH(Settings!$B$3)),Settings!$B$7,0))</f>
        <v/>
      </c>
      <c r="V759" s="70">
        <f>IF($A759="","",Settings!$B$8+SUM($B$5:B759))</f>
        <v/>
      </c>
      <c r="W759" s="71">
        <f>IF($A759="","",Settings!$B$9+SUM($J$5:J759))</f>
        <v/>
      </c>
      <c r="X759" s="71">
        <f>IF($A759="","",IF(AND(N759&gt;0,F759&gt;0),ROUND(F759/N759,0),X758))</f>
        <v/>
      </c>
      <c r="Y759" s="74">
        <f>IF($A759="","",IF(AND(M759&gt;0,L759&gt;0),ROUND(L759/M759,0),IF(AND(J759&gt;0,B759&gt;0),ROUND(B759/J759,0),Y758)))</f>
        <v/>
      </c>
    </row>
    <row r="760">
      <c r="A760" s="67" t="n"/>
      <c r="B760" s="68" t="n"/>
      <c r="C760" s="69" t="n"/>
      <c r="D760" s="68" t="n"/>
      <c r="E760" s="69" t="n"/>
      <c r="F760" s="68" t="n"/>
      <c r="G760" s="69" t="n"/>
      <c r="H760" s="68" t="n"/>
      <c r="I760" s="70">
        <f>IF($A760="","",R759)</f>
        <v/>
      </c>
      <c r="J760" s="71">
        <f>IF($A760="","",IF(C760="",0,C760))</f>
        <v/>
      </c>
      <c r="K760" s="71">
        <f>IF($A760="","",IF(E760="",0,E760))</f>
        <v/>
      </c>
      <c r="L760" s="70">
        <f>IF($A760="","",B760-D760)</f>
        <v/>
      </c>
      <c r="M760" s="71">
        <f>IF($A760="","",J760-K760)</f>
        <v/>
      </c>
      <c r="N760" s="71">
        <f>IF($A760="","",IF(G760="",0,G760))</f>
        <v/>
      </c>
      <c r="O760" s="70">
        <f>IF($A760="","",D760+F760)</f>
        <v/>
      </c>
      <c r="P760" s="71">
        <f>IF($A760="","",K760+N760)</f>
        <v/>
      </c>
      <c r="Q760" s="70">
        <f>IF($A760="","",I760+L760-F760)</f>
        <v/>
      </c>
      <c r="R760" s="72">
        <f>IF($A760="","",IF(H760="",Q760,H760))</f>
        <v/>
      </c>
      <c r="S760" s="73">
        <f>IF($A760="","",R760-Q760)</f>
        <v/>
      </c>
      <c r="T760" s="70">
        <f>IF($A760="","",SUMIFS($B$5:$B$800,$A$5:$A$800,"&gt;="&amp;DATE(YEAR($A760),MONTH($A760),1),$A$5:$A$800,"&lt;="&amp;$A760)+IF(AND(YEAR($A760)=YEAR(Settings!$B$3),MONTH($A760)=MONTH(Settings!$B$3)),Settings!$B$6,0))</f>
        <v/>
      </c>
      <c r="U760" s="71">
        <f>IF($A760="","",SUMIFS($J$5:$J$800,$A$5:$A$800,"&gt;="&amp;DATE(YEAR($A760),MONTH($A760),1),$A$5:$A$800,"&lt;="&amp;$A760)+IF(AND(YEAR($A760)=YEAR(Settings!$B$3),MONTH($A760)=MONTH(Settings!$B$3)),Settings!$B$7,0))</f>
        <v/>
      </c>
      <c r="V760" s="70">
        <f>IF($A760="","",Settings!$B$8+SUM($B$5:B760))</f>
        <v/>
      </c>
      <c r="W760" s="71">
        <f>IF($A760="","",Settings!$B$9+SUM($J$5:J760))</f>
        <v/>
      </c>
      <c r="X760" s="71">
        <f>IF($A760="","",IF(AND(N760&gt;0,F760&gt;0),ROUND(F760/N760,0),X759))</f>
        <v/>
      </c>
      <c r="Y760" s="74">
        <f>IF($A760="","",IF(AND(M760&gt;0,L760&gt;0),ROUND(L760/M760,0),IF(AND(J760&gt;0,B760&gt;0),ROUND(B760/J760,0),Y759)))</f>
        <v/>
      </c>
    </row>
    <row r="761">
      <c r="A761" s="67" t="n"/>
      <c r="B761" s="68" t="n"/>
      <c r="C761" s="69" t="n"/>
      <c r="D761" s="68" t="n"/>
      <c r="E761" s="69" t="n"/>
      <c r="F761" s="68" t="n"/>
      <c r="G761" s="69" t="n"/>
      <c r="H761" s="68" t="n"/>
      <c r="I761" s="70">
        <f>IF($A761="","",R760)</f>
        <v/>
      </c>
      <c r="J761" s="71">
        <f>IF($A761="","",IF(C761="",0,C761))</f>
        <v/>
      </c>
      <c r="K761" s="71">
        <f>IF($A761="","",IF(E761="",0,E761))</f>
        <v/>
      </c>
      <c r="L761" s="70">
        <f>IF($A761="","",B761-D761)</f>
        <v/>
      </c>
      <c r="M761" s="71">
        <f>IF($A761="","",J761-K761)</f>
        <v/>
      </c>
      <c r="N761" s="71">
        <f>IF($A761="","",IF(G761="",0,G761))</f>
        <v/>
      </c>
      <c r="O761" s="70">
        <f>IF($A761="","",D761+F761)</f>
        <v/>
      </c>
      <c r="P761" s="71">
        <f>IF($A761="","",K761+N761)</f>
        <v/>
      </c>
      <c r="Q761" s="70">
        <f>IF($A761="","",I761+L761-F761)</f>
        <v/>
      </c>
      <c r="R761" s="72">
        <f>IF($A761="","",IF(H761="",Q761,H761))</f>
        <v/>
      </c>
      <c r="S761" s="73">
        <f>IF($A761="","",R761-Q761)</f>
        <v/>
      </c>
      <c r="T761" s="70">
        <f>IF($A761="","",SUMIFS($B$5:$B$800,$A$5:$A$800,"&gt;="&amp;DATE(YEAR($A761),MONTH($A761),1),$A$5:$A$800,"&lt;="&amp;$A761)+IF(AND(YEAR($A761)=YEAR(Settings!$B$3),MONTH($A761)=MONTH(Settings!$B$3)),Settings!$B$6,0))</f>
        <v/>
      </c>
      <c r="U761" s="71">
        <f>IF($A761="","",SUMIFS($J$5:$J$800,$A$5:$A$800,"&gt;="&amp;DATE(YEAR($A761),MONTH($A761),1),$A$5:$A$800,"&lt;="&amp;$A761)+IF(AND(YEAR($A761)=YEAR(Settings!$B$3),MONTH($A761)=MONTH(Settings!$B$3)),Settings!$B$7,0))</f>
        <v/>
      </c>
      <c r="V761" s="70">
        <f>IF($A761="","",Settings!$B$8+SUM($B$5:B761))</f>
        <v/>
      </c>
      <c r="W761" s="71">
        <f>IF($A761="","",Settings!$B$9+SUM($J$5:J761))</f>
        <v/>
      </c>
      <c r="X761" s="71">
        <f>IF($A761="","",IF(AND(N761&gt;0,F761&gt;0),ROUND(F761/N761,0),X760))</f>
        <v/>
      </c>
      <c r="Y761" s="74">
        <f>IF($A761="","",IF(AND(M761&gt;0,L761&gt;0),ROUND(L761/M761,0),IF(AND(J761&gt;0,B761&gt;0),ROUND(B761/J761,0),Y760)))</f>
        <v/>
      </c>
    </row>
    <row r="762">
      <c r="A762" s="67" t="n"/>
      <c r="B762" s="68" t="n"/>
      <c r="C762" s="69" t="n"/>
      <c r="D762" s="68" t="n"/>
      <c r="E762" s="69" t="n"/>
      <c r="F762" s="68" t="n"/>
      <c r="G762" s="69" t="n"/>
      <c r="H762" s="68" t="n"/>
      <c r="I762" s="70">
        <f>IF($A762="","",R761)</f>
        <v/>
      </c>
      <c r="J762" s="71">
        <f>IF($A762="","",IF(C762="",0,C762))</f>
        <v/>
      </c>
      <c r="K762" s="71">
        <f>IF($A762="","",IF(E762="",0,E762))</f>
        <v/>
      </c>
      <c r="L762" s="70">
        <f>IF($A762="","",B762-D762)</f>
        <v/>
      </c>
      <c r="M762" s="71">
        <f>IF($A762="","",J762-K762)</f>
        <v/>
      </c>
      <c r="N762" s="71">
        <f>IF($A762="","",IF(G762="",0,G762))</f>
        <v/>
      </c>
      <c r="O762" s="70">
        <f>IF($A762="","",D762+F762)</f>
        <v/>
      </c>
      <c r="P762" s="71">
        <f>IF($A762="","",K762+N762)</f>
        <v/>
      </c>
      <c r="Q762" s="70">
        <f>IF($A762="","",I762+L762-F762)</f>
        <v/>
      </c>
      <c r="R762" s="72">
        <f>IF($A762="","",IF(H762="",Q762,H762))</f>
        <v/>
      </c>
      <c r="S762" s="73">
        <f>IF($A762="","",R762-Q762)</f>
        <v/>
      </c>
      <c r="T762" s="70">
        <f>IF($A762="","",SUMIFS($B$5:$B$800,$A$5:$A$800,"&gt;="&amp;DATE(YEAR($A762),MONTH($A762),1),$A$5:$A$800,"&lt;="&amp;$A762)+IF(AND(YEAR($A762)=YEAR(Settings!$B$3),MONTH($A762)=MONTH(Settings!$B$3)),Settings!$B$6,0))</f>
        <v/>
      </c>
      <c r="U762" s="71">
        <f>IF($A762="","",SUMIFS($J$5:$J$800,$A$5:$A$800,"&gt;="&amp;DATE(YEAR($A762),MONTH($A762),1),$A$5:$A$800,"&lt;="&amp;$A762)+IF(AND(YEAR($A762)=YEAR(Settings!$B$3),MONTH($A762)=MONTH(Settings!$B$3)),Settings!$B$7,0))</f>
        <v/>
      </c>
      <c r="V762" s="70">
        <f>IF($A762="","",Settings!$B$8+SUM($B$5:B762))</f>
        <v/>
      </c>
      <c r="W762" s="71">
        <f>IF($A762="","",Settings!$B$9+SUM($J$5:J762))</f>
        <v/>
      </c>
      <c r="X762" s="71">
        <f>IF($A762="","",IF(AND(N762&gt;0,F762&gt;0),ROUND(F762/N762,0),X761))</f>
        <v/>
      </c>
      <c r="Y762" s="74">
        <f>IF($A762="","",IF(AND(M762&gt;0,L762&gt;0),ROUND(L762/M762,0),IF(AND(J762&gt;0,B762&gt;0),ROUND(B762/J762,0),Y761)))</f>
        <v/>
      </c>
    </row>
    <row r="763">
      <c r="A763" s="67" t="n"/>
      <c r="B763" s="68" t="n"/>
      <c r="C763" s="69" t="n"/>
      <c r="D763" s="68" t="n"/>
      <c r="E763" s="69" t="n"/>
      <c r="F763" s="68" t="n"/>
      <c r="G763" s="69" t="n"/>
      <c r="H763" s="68" t="n"/>
      <c r="I763" s="70">
        <f>IF($A763="","",R762)</f>
        <v/>
      </c>
      <c r="J763" s="71">
        <f>IF($A763="","",IF(C763="",0,C763))</f>
        <v/>
      </c>
      <c r="K763" s="71">
        <f>IF($A763="","",IF(E763="",0,E763))</f>
        <v/>
      </c>
      <c r="L763" s="70">
        <f>IF($A763="","",B763-D763)</f>
        <v/>
      </c>
      <c r="M763" s="71">
        <f>IF($A763="","",J763-K763)</f>
        <v/>
      </c>
      <c r="N763" s="71">
        <f>IF($A763="","",IF(G763="",0,G763))</f>
        <v/>
      </c>
      <c r="O763" s="70">
        <f>IF($A763="","",D763+F763)</f>
        <v/>
      </c>
      <c r="P763" s="71">
        <f>IF($A763="","",K763+N763)</f>
        <v/>
      </c>
      <c r="Q763" s="70">
        <f>IF($A763="","",I763+L763-F763)</f>
        <v/>
      </c>
      <c r="R763" s="72">
        <f>IF($A763="","",IF(H763="",Q763,H763))</f>
        <v/>
      </c>
      <c r="S763" s="73">
        <f>IF($A763="","",R763-Q763)</f>
        <v/>
      </c>
      <c r="T763" s="70">
        <f>IF($A763="","",SUMIFS($B$5:$B$800,$A$5:$A$800,"&gt;="&amp;DATE(YEAR($A763),MONTH($A763),1),$A$5:$A$800,"&lt;="&amp;$A763)+IF(AND(YEAR($A763)=YEAR(Settings!$B$3),MONTH($A763)=MONTH(Settings!$B$3)),Settings!$B$6,0))</f>
        <v/>
      </c>
      <c r="U763" s="71">
        <f>IF($A763="","",SUMIFS($J$5:$J$800,$A$5:$A$800,"&gt;="&amp;DATE(YEAR($A763),MONTH($A763),1),$A$5:$A$800,"&lt;="&amp;$A763)+IF(AND(YEAR($A763)=YEAR(Settings!$B$3),MONTH($A763)=MONTH(Settings!$B$3)),Settings!$B$7,0))</f>
        <v/>
      </c>
      <c r="V763" s="70">
        <f>IF($A763="","",Settings!$B$8+SUM($B$5:B763))</f>
        <v/>
      </c>
      <c r="W763" s="71">
        <f>IF($A763="","",Settings!$B$9+SUM($J$5:J763))</f>
        <v/>
      </c>
      <c r="X763" s="71">
        <f>IF($A763="","",IF(AND(N763&gt;0,F763&gt;0),ROUND(F763/N763,0),X762))</f>
        <v/>
      </c>
      <c r="Y763" s="74">
        <f>IF($A763="","",IF(AND(M763&gt;0,L763&gt;0),ROUND(L763/M763,0),IF(AND(J763&gt;0,B763&gt;0),ROUND(B763/J763,0),Y762)))</f>
        <v/>
      </c>
    </row>
    <row r="764">
      <c r="A764" s="67" t="n"/>
      <c r="B764" s="68" t="n"/>
      <c r="C764" s="69" t="n"/>
      <c r="D764" s="68" t="n"/>
      <c r="E764" s="69" t="n"/>
      <c r="F764" s="68" t="n"/>
      <c r="G764" s="69" t="n"/>
      <c r="H764" s="68" t="n"/>
      <c r="I764" s="70">
        <f>IF($A764="","",R763)</f>
        <v/>
      </c>
      <c r="J764" s="71">
        <f>IF($A764="","",IF(C764="",0,C764))</f>
        <v/>
      </c>
      <c r="K764" s="71">
        <f>IF($A764="","",IF(E764="",0,E764))</f>
        <v/>
      </c>
      <c r="L764" s="70">
        <f>IF($A764="","",B764-D764)</f>
        <v/>
      </c>
      <c r="M764" s="71">
        <f>IF($A764="","",J764-K764)</f>
        <v/>
      </c>
      <c r="N764" s="71">
        <f>IF($A764="","",IF(G764="",0,G764))</f>
        <v/>
      </c>
      <c r="O764" s="70">
        <f>IF($A764="","",D764+F764)</f>
        <v/>
      </c>
      <c r="P764" s="71">
        <f>IF($A764="","",K764+N764)</f>
        <v/>
      </c>
      <c r="Q764" s="70">
        <f>IF($A764="","",I764+L764-F764)</f>
        <v/>
      </c>
      <c r="R764" s="72">
        <f>IF($A764="","",IF(H764="",Q764,H764))</f>
        <v/>
      </c>
      <c r="S764" s="73">
        <f>IF($A764="","",R764-Q764)</f>
        <v/>
      </c>
      <c r="T764" s="70">
        <f>IF($A764="","",SUMIFS($B$5:$B$800,$A$5:$A$800,"&gt;="&amp;DATE(YEAR($A764),MONTH($A764),1),$A$5:$A$800,"&lt;="&amp;$A764)+IF(AND(YEAR($A764)=YEAR(Settings!$B$3),MONTH($A764)=MONTH(Settings!$B$3)),Settings!$B$6,0))</f>
        <v/>
      </c>
      <c r="U764" s="71">
        <f>IF($A764="","",SUMIFS($J$5:$J$800,$A$5:$A$800,"&gt;="&amp;DATE(YEAR($A764),MONTH($A764),1),$A$5:$A$800,"&lt;="&amp;$A764)+IF(AND(YEAR($A764)=YEAR(Settings!$B$3),MONTH($A764)=MONTH(Settings!$B$3)),Settings!$B$7,0))</f>
        <v/>
      </c>
      <c r="V764" s="70">
        <f>IF($A764="","",Settings!$B$8+SUM($B$5:B764))</f>
        <v/>
      </c>
      <c r="W764" s="71">
        <f>IF($A764="","",Settings!$B$9+SUM($J$5:J764))</f>
        <v/>
      </c>
      <c r="X764" s="71">
        <f>IF($A764="","",IF(AND(N764&gt;0,F764&gt;0),ROUND(F764/N764,0),X763))</f>
        <v/>
      </c>
      <c r="Y764" s="74">
        <f>IF($A764="","",IF(AND(M764&gt;0,L764&gt;0),ROUND(L764/M764,0),IF(AND(J764&gt;0,B764&gt;0),ROUND(B764/J764,0),Y763)))</f>
        <v/>
      </c>
    </row>
    <row r="765">
      <c r="A765" s="67" t="n"/>
      <c r="B765" s="68" t="n"/>
      <c r="C765" s="69" t="n"/>
      <c r="D765" s="68" t="n"/>
      <c r="E765" s="69" t="n"/>
      <c r="F765" s="68" t="n"/>
      <c r="G765" s="69" t="n"/>
      <c r="H765" s="68" t="n"/>
      <c r="I765" s="70">
        <f>IF($A765="","",R764)</f>
        <v/>
      </c>
      <c r="J765" s="71">
        <f>IF($A765="","",IF(C765="",0,C765))</f>
        <v/>
      </c>
      <c r="K765" s="71">
        <f>IF($A765="","",IF(E765="",0,E765))</f>
        <v/>
      </c>
      <c r="L765" s="70">
        <f>IF($A765="","",B765-D765)</f>
        <v/>
      </c>
      <c r="M765" s="71">
        <f>IF($A765="","",J765-K765)</f>
        <v/>
      </c>
      <c r="N765" s="71">
        <f>IF($A765="","",IF(G765="",0,G765))</f>
        <v/>
      </c>
      <c r="O765" s="70">
        <f>IF($A765="","",D765+F765)</f>
        <v/>
      </c>
      <c r="P765" s="71">
        <f>IF($A765="","",K765+N765)</f>
        <v/>
      </c>
      <c r="Q765" s="70">
        <f>IF($A765="","",I765+L765-F765)</f>
        <v/>
      </c>
      <c r="R765" s="72">
        <f>IF($A765="","",IF(H765="",Q765,H765))</f>
        <v/>
      </c>
      <c r="S765" s="73">
        <f>IF($A765="","",R765-Q765)</f>
        <v/>
      </c>
      <c r="T765" s="70">
        <f>IF($A765="","",SUMIFS($B$5:$B$800,$A$5:$A$800,"&gt;="&amp;DATE(YEAR($A765),MONTH($A765),1),$A$5:$A$800,"&lt;="&amp;$A765)+IF(AND(YEAR($A765)=YEAR(Settings!$B$3),MONTH($A765)=MONTH(Settings!$B$3)),Settings!$B$6,0))</f>
        <v/>
      </c>
      <c r="U765" s="71">
        <f>IF($A765="","",SUMIFS($J$5:$J$800,$A$5:$A$800,"&gt;="&amp;DATE(YEAR($A765),MONTH($A765),1),$A$5:$A$800,"&lt;="&amp;$A765)+IF(AND(YEAR($A765)=YEAR(Settings!$B$3),MONTH($A765)=MONTH(Settings!$B$3)),Settings!$B$7,0))</f>
        <v/>
      </c>
      <c r="V765" s="70">
        <f>IF($A765="","",Settings!$B$8+SUM($B$5:B765))</f>
        <v/>
      </c>
      <c r="W765" s="71">
        <f>IF($A765="","",Settings!$B$9+SUM($J$5:J765))</f>
        <v/>
      </c>
      <c r="X765" s="71">
        <f>IF($A765="","",IF(AND(N765&gt;0,F765&gt;0),ROUND(F765/N765,0),X764))</f>
        <v/>
      </c>
      <c r="Y765" s="74">
        <f>IF($A765="","",IF(AND(M765&gt;0,L765&gt;0),ROUND(L765/M765,0),IF(AND(J765&gt;0,B765&gt;0),ROUND(B765/J765,0),Y764)))</f>
        <v/>
      </c>
    </row>
    <row r="766">
      <c r="A766" s="67" t="n"/>
      <c r="B766" s="68" t="n"/>
      <c r="C766" s="69" t="n"/>
      <c r="D766" s="68" t="n"/>
      <c r="E766" s="69" t="n"/>
      <c r="F766" s="68" t="n"/>
      <c r="G766" s="69" t="n"/>
      <c r="H766" s="68" t="n"/>
      <c r="I766" s="70">
        <f>IF($A766="","",R765)</f>
        <v/>
      </c>
      <c r="J766" s="71">
        <f>IF($A766="","",IF(C766="",0,C766))</f>
        <v/>
      </c>
      <c r="K766" s="71">
        <f>IF($A766="","",IF(E766="",0,E766))</f>
        <v/>
      </c>
      <c r="L766" s="70">
        <f>IF($A766="","",B766-D766)</f>
        <v/>
      </c>
      <c r="M766" s="71">
        <f>IF($A766="","",J766-K766)</f>
        <v/>
      </c>
      <c r="N766" s="71">
        <f>IF($A766="","",IF(G766="",0,G766))</f>
        <v/>
      </c>
      <c r="O766" s="70">
        <f>IF($A766="","",D766+F766)</f>
        <v/>
      </c>
      <c r="P766" s="71">
        <f>IF($A766="","",K766+N766)</f>
        <v/>
      </c>
      <c r="Q766" s="70">
        <f>IF($A766="","",I766+L766-F766)</f>
        <v/>
      </c>
      <c r="R766" s="72">
        <f>IF($A766="","",IF(H766="",Q766,H766))</f>
        <v/>
      </c>
      <c r="S766" s="73">
        <f>IF($A766="","",R766-Q766)</f>
        <v/>
      </c>
      <c r="T766" s="70">
        <f>IF($A766="","",SUMIFS($B$5:$B$800,$A$5:$A$800,"&gt;="&amp;DATE(YEAR($A766),MONTH($A766),1),$A$5:$A$800,"&lt;="&amp;$A766)+IF(AND(YEAR($A766)=YEAR(Settings!$B$3),MONTH($A766)=MONTH(Settings!$B$3)),Settings!$B$6,0))</f>
        <v/>
      </c>
      <c r="U766" s="71">
        <f>IF($A766="","",SUMIFS($J$5:$J$800,$A$5:$A$800,"&gt;="&amp;DATE(YEAR($A766),MONTH($A766),1),$A$5:$A$800,"&lt;="&amp;$A766)+IF(AND(YEAR($A766)=YEAR(Settings!$B$3),MONTH($A766)=MONTH(Settings!$B$3)),Settings!$B$7,0))</f>
        <v/>
      </c>
      <c r="V766" s="70">
        <f>IF($A766="","",Settings!$B$8+SUM($B$5:B766))</f>
        <v/>
      </c>
      <c r="W766" s="71">
        <f>IF($A766="","",Settings!$B$9+SUM($J$5:J766))</f>
        <v/>
      </c>
      <c r="X766" s="71">
        <f>IF($A766="","",IF(AND(N766&gt;0,F766&gt;0),ROUND(F766/N766,0),X765))</f>
        <v/>
      </c>
      <c r="Y766" s="74">
        <f>IF($A766="","",IF(AND(M766&gt;0,L766&gt;0),ROUND(L766/M766,0),IF(AND(J766&gt;0,B766&gt;0),ROUND(B766/J766,0),Y765)))</f>
        <v/>
      </c>
    </row>
    <row r="767">
      <c r="A767" s="67" t="n"/>
      <c r="B767" s="68" t="n"/>
      <c r="C767" s="69" t="n"/>
      <c r="D767" s="68" t="n"/>
      <c r="E767" s="69" t="n"/>
      <c r="F767" s="68" t="n"/>
      <c r="G767" s="69" t="n"/>
      <c r="H767" s="68" t="n"/>
      <c r="I767" s="70">
        <f>IF($A767="","",R766)</f>
        <v/>
      </c>
      <c r="J767" s="71">
        <f>IF($A767="","",IF(C767="",0,C767))</f>
        <v/>
      </c>
      <c r="K767" s="71">
        <f>IF($A767="","",IF(E767="",0,E767))</f>
        <v/>
      </c>
      <c r="L767" s="70">
        <f>IF($A767="","",B767-D767)</f>
        <v/>
      </c>
      <c r="M767" s="71">
        <f>IF($A767="","",J767-K767)</f>
        <v/>
      </c>
      <c r="N767" s="71">
        <f>IF($A767="","",IF(G767="",0,G767))</f>
        <v/>
      </c>
      <c r="O767" s="70">
        <f>IF($A767="","",D767+F767)</f>
        <v/>
      </c>
      <c r="P767" s="71">
        <f>IF($A767="","",K767+N767)</f>
        <v/>
      </c>
      <c r="Q767" s="70">
        <f>IF($A767="","",I767+L767-F767)</f>
        <v/>
      </c>
      <c r="R767" s="72">
        <f>IF($A767="","",IF(H767="",Q767,H767))</f>
        <v/>
      </c>
      <c r="S767" s="73">
        <f>IF($A767="","",R767-Q767)</f>
        <v/>
      </c>
      <c r="T767" s="70">
        <f>IF($A767="","",SUMIFS($B$5:$B$800,$A$5:$A$800,"&gt;="&amp;DATE(YEAR($A767),MONTH($A767),1),$A$5:$A$800,"&lt;="&amp;$A767)+IF(AND(YEAR($A767)=YEAR(Settings!$B$3),MONTH($A767)=MONTH(Settings!$B$3)),Settings!$B$6,0))</f>
        <v/>
      </c>
      <c r="U767" s="71">
        <f>IF($A767="","",SUMIFS($J$5:$J$800,$A$5:$A$800,"&gt;="&amp;DATE(YEAR($A767),MONTH($A767),1),$A$5:$A$800,"&lt;="&amp;$A767)+IF(AND(YEAR($A767)=YEAR(Settings!$B$3),MONTH($A767)=MONTH(Settings!$B$3)),Settings!$B$7,0))</f>
        <v/>
      </c>
      <c r="V767" s="70">
        <f>IF($A767="","",Settings!$B$8+SUM($B$5:B767))</f>
        <v/>
      </c>
      <c r="W767" s="71">
        <f>IF($A767="","",Settings!$B$9+SUM($J$5:J767))</f>
        <v/>
      </c>
      <c r="X767" s="71">
        <f>IF($A767="","",IF(AND(N767&gt;0,F767&gt;0),ROUND(F767/N767,0),X766))</f>
        <v/>
      </c>
      <c r="Y767" s="74">
        <f>IF($A767="","",IF(AND(M767&gt;0,L767&gt;0),ROUND(L767/M767,0),IF(AND(J767&gt;0,B767&gt;0),ROUND(B767/J767,0),Y766)))</f>
        <v/>
      </c>
    </row>
    <row r="768">
      <c r="A768" s="67" t="n"/>
      <c r="B768" s="68" t="n"/>
      <c r="C768" s="69" t="n"/>
      <c r="D768" s="68" t="n"/>
      <c r="E768" s="69" t="n"/>
      <c r="F768" s="68" t="n"/>
      <c r="G768" s="69" t="n"/>
      <c r="H768" s="68" t="n"/>
      <c r="I768" s="70">
        <f>IF($A768="","",R767)</f>
        <v/>
      </c>
      <c r="J768" s="71">
        <f>IF($A768="","",IF(C768="",0,C768))</f>
        <v/>
      </c>
      <c r="K768" s="71">
        <f>IF($A768="","",IF(E768="",0,E768))</f>
        <v/>
      </c>
      <c r="L768" s="70">
        <f>IF($A768="","",B768-D768)</f>
        <v/>
      </c>
      <c r="M768" s="71">
        <f>IF($A768="","",J768-K768)</f>
        <v/>
      </c>
      <c r="N768" s="71">
        <f>IF($A768="","",IF(G768="",0,G768))</f>
        <v/>
      </c>
      <c r="O768" s="70">
        <f>IF($A768="","",D768+F768)</f>
        <v/>
      </c>
      <c r="P768" s="71">
        <f>IF($A768="","",K768+N768)</f>
        <v/>
      </c>
      <c r="Q768" s="70">
        <f>IF($A768="","",I768+L768-F768)</f>
        <v/>
      </c>
      <c r="R768" s="72">
        <f>IF($A768="","",IF(H768="",Q768,H768))</f>
        <v/>
      </c>
      <c r="S768" s="73">
        <f>IF($A768="","",R768-Q768)</f>
        <v/>
      </c>
      <c r="T768" s="70">
        <f>IF($A768="","",SUMIFS($B$5:$B$800,$A$5:$A$800,"&gt;="&amp;DATE(YEAR($A768),MONTH($A768),1),$A$5:$A$800,"&lt;="&amp;$A768)+IF(AND(YEAR($A768)=YEAR(Settings!$B$3),MONTH($A768)=MONTH(Settings!$B$3)),Settings!$B$6,0))</f>
        <v/>
      </c>
      <c r="U768" s="71">
        <f>IF($A768="","",SUMIFS($J$5:$J$800,$A$5:$A$800,"&gt;="&amp;DATE(YEAR($A768),MONTH($A768),1),$A$5:$A$800,"&lt;="&amp;$A768)+IF(AND(YEAR($A768)=YEAR(Settings!$B$3),MONTH($A768)=MONTH(Settings!$B$3)),Settings!$B$7,0))</f>
        <v/>
      </c>
      <c r="V768" s="70">
        <f>IF($A768="","",Settings!$B$8+SUM($B$5:B768))</f>
        <v/>
      </c>
      <c r="W768" s="71">
        <f>IF($A768="","",Settings!$B$9+SUM($J$5:J768))</f>
        <v/>
      </c>
      <c r="X768" s="71">
        <f>IF($A768="","",IF(AND(N768&gt;0,F768&gt;0),ROUND(F768/N768,0),X767))</f>
        <v/>
      </c>
      <c r="Y768" s="74">
        <f>IF($A768="","",IF(AND(M768&gt;0,L768&gt;0),ROUND(L768/M768,0),IF(AND(J768&gt;0,B768&gt;0),ROUND(B768/J768,0),Y767)))</f>
        <v/>
      </c>
    </row>
    <row r="769">
      <c r="A769" s="67" t="n"/>
      <c r="B769" s="68" t="n"/>
      <c r="C769" s="69" t="n"/>
      <c r="D769" s="68" t="n"/>
      <c r="E769" s="69" t="n"/>
      <c r="F769" s="68" t="n"/>
      <c r="G769" s="69" t="n"/>
      <c r="H769" s="68" t="n"/>
      <c r="I769" s="70">
        <f>IF($A769="","",R768)</f>
        <v/>
      </c>
      <c r="J769" s="71">
        <f>IF($A769="","",IF(C769="",0,C769))</f>
        <v/>
      </c>
      <c r="K769" s="71">
        <f>IF($A769="","",IF(E769="",0,E769))</f>
        <v/>
      </c>
      <c r="L769" s="70">
        <f>IF($A769="","",B769-D769)</f>
        <v/>
      </c>
      <c r="M769" s="71">
        <f>IF($A769="","",J769-K769)</f>
        <v/>
      </c>
      <c r="N769" s="71">
        <f>IF($A769="","",IF(G769="",0,G769))</f>
        <v/>
      </c>
      <c r="O769" s="70">
        <f>IF($A769="","",D769+F769)</f>
        <v/>
      </c>
      <c r="P769" s="71">
        <f>IF($A769="","",K769+N769)</f>
        <v/>
      </c>
      <c r="Q769" s="70">
        <f>IF($A769="","",I769+L769-F769)</f>
        <v/>
      </c>
      <c r="R769" s="72">
        <f>IF($A769="","",IF(H769="",Q769,H769))</f>
        <v/>
      </c>
      <c r="S769" s="73">
        <f>IF($A769="","",R769-Q769)</f>
        <v/>
      </c>
      <c r="T769" s="70">
        <f>IF($A769="","",SUMIFS($B$5:$B$800,$A$5:$A$800,"&gt;="&amp;DATE(YEAR($A769),MONTH($A769),1),$A$5:$A$800,"&lt;="&amp;$A769)+IF(AND(YEAR($A769)=YEAR(Settings!$B$3),MONTH($A769)=MONTH(Settings!$B$3)),Settings!$B$6,0))</f>
        <v/>
      </c>
      <c r="U769" s="71">
        <f>IF($A769="","",SUMIFS($J$5:$J$800,$A$5:$A$800,"&gt;="&amp;DATE(YEAR($A769),MONTH($A769),1),$A$5:$A$800,"&lt;="&amp;$A769)+IF(AND(YEAR($A769)=YEAR(Settings!$B$3),MONTH($A769)=MONTH(Settings!$B$3)),Settings!$B$7,0))</f>
        <v/>
      </c>
      <c r="V769" s="70">
        <f>IF($A769="","",Settings!$B$8+SUM($B$5:B769))</f>
        <v/>
      </c>
      <c r="W769" s="71">
        <f>IF($A769="","",Settings!$B$9+SUM($J$5:J769))</f>
        <v/>
      </c>
      <c r="X769" s="71">
        <f>IF($A769="","",IF(AND(N769&gt;0,F769&gt;0),ROUND(F769/N769,0),X768))</f>
        <v/>
      </c>
      <c r="Y769" s="74">
        <f>IF($A769="","",IF(AND(M769&gt;0,L769&gt;0),ROUND(L769/M769,0),IF(AND(J769&gt;0,B769&gt;0),ROUND(B769/J769,0),Y768)))</f>
        <v/>
      </c>
    </row>
    <row r="770">
      <c r="A770" s="67" t="n"/>
      <c r="B770" s="68" t="n"/>
      <c r="C770" s="69" t="n"/>
      <c r="D770" s="68" t="n"/>
      <c r="E770" s="69" t="n"/>
      <c r="F770" s="68" t="n"/>
      <c r="G770" s="69" t="n"/>
      <c r="H770" s="68" t="n"/>
      <c r="I770" s="70">
        <f>IF($A770="","",R769)</f>
        <v/>
      </c>
      <c r="J770" s="71">
        <f>IF($A770="","",IF(C770="",0,C770))</f>
        <v/>
      </c>
      <c r="K770" s="71">
        <f>IF($A770="","",IF(E770="",0,E770))</f>
        <v/>
      </c>
      <c r="L770" s="70">
        <f>IF($A770="","",B770-D770)</f>
        <v/>
      </c>
      <c r="M770" s="71">
        <f>IF($A770="","",J770-K770)</f>
        <v/>
      </c>
      <c r="N770" s="71">
        <f>IF($A770="","",IF(G770="",0,G770))</f>
        <v/>
      </c>
      <c r="O770" s="70">
        <f>IF($A770="","",D770+F770)</f>
        <v/>
      </c>
      <c r="P770" s="71">
        <f>IF($A770="","",K770+N770)</f>
        <v/>
      </c>
      <c r="Q770" s="70">
        <f>IF($A770="","",I770+L770-F770)</f>
        <v/>
      </c>
      <c r="R770" s="72">
        <f>IF($A770="","",IF(H770="",Q770,H770))</f>
        <v/>
      </c>
      <c r="S770" s="73">
        <f>IF($A770="","",R770-Q770)</f>
        <v/>
      </c>
      <c r="T770" s="70">
        <f>IF($A770="","",SUMIFS($B$5:$B$800,$A$5:$A$800,"&gt;="&amp;DATE(YEAR($A770),MONTH($A770),1),$A$5:$A$800,"&lt;="&amp;$A770)+IF(AND(YEAR($A770)=YEAR(Settings!$B$3),MONTH($A770)=MONTH(Settings!$B$3)),Settings!$B$6,0))</f>
        <v/>
      </c>
      <c r="U770" s="71">
        <f>IF($A770="","",SUMIFS($J$5:$J$800,$A$5:$A$800,"&gt;="&amp;DATE(YEAR($A770),MONTH($A770),1),$A$5:$A$800,"&lt;="&amp;$A770)+IF(AND(YEAR($A770)=YEAR(Settings!$B$3),MONTH($A770)=MONTH(Settings!$B$3)),Settings!$B$7,0))</f>
        <v/>
      </c>
      <c r="V770" s="70">
        <f>IF($A770="","",Settings!$B$8+SUM($B$5:B770))</f>
        <v/>
      </c>
      <c r="W770" s="71">
        <f>IF($A770="","",Settings!$B$9+SUM($J$5:J770))</f>
        <v/>
      </c>
      <c r="X770" s="71">
        <f>IF($A770="","",IF(AND(N770&gt;0,F770&gt;0),ROUND(F770/N770,0),X769))</f>
        <v/>
      </c>
      <c r="Y770" s="74">
        <f>IF($A770="","",IF(AND(M770&gt;0,L770&gt;0),ROUND(L770/M770,0),IF(AND(J770&gt;0,B770&gt;0),ROUND(B770/J770,0),Y769)))</f>
        <v/>
      </c>
    </row>
    <row r="771">
      <c r="A771" s="67" t="n"/>
      <c r="B771" s="68" t="n"/>
      <c r="C771" s="69" t="n"/>
      <c r="D771" s="68" t="n"/>
      <c r="E771" s="69" t="n"/>
      <c r="F771" s="68" t="n"/>
      <c r="G771" s="69" t="n"/>
      <c r="H771" s="68" t="n"/>
      <c r="I771" s="70">
        <f>IF($A771="","",R770)</f>
        <v/>
      </c>
      <c r="J771" s="71">
        <f>IF($A771="","",IF(C771="",0,C771))</f>
        <v/>
      </c>
      <c r="K771" s="71">
        <f>IF($A771="","",IF(E771="",0,E771))</f>
        <v/>
      </c>
      <c r="L771" s="70">
        <f>IF($A771="","",B771-D771)</f>
        <v/>
      </c>
      <c r="M771" s="71">
        <f>IF($A771="","",J771-K771)</f>
        <v/>
      </c>
      <c r="N771" s="71">
        <f>IF($A771="","",IF(G771="",0,G771))</f>
        <v/>
      </c>
      <c r="O771" s="70">
        <f>IF($A771="","",D771+F771)</f>
        <v/>
      </c>
      <c r="P771" s="71">
        <f>IF($A771="","",K771+N771)</f>
        <v/>
      </c>
      <c r="Q771" s="70">
        <f>IF($A771="","",I771+L771-F771)</f>
        <v/>
      </c>
      <c r="R771" s="72">
        <f>IF($A771="","",IF(H771="",Q771,H771))</f>
        <v/>
      </c>
      <c r="S771" s="73">
        <f>IF($A771="","",R771-Q771)</f>
        <v/>
      </c>
      <c r="T771" s="70">
        <f>IF($A771="","",SUMIFS($B$5:$B$800,$A$5:$A$800,"&gt;="&amp;DATE(YEAR($A771),MONTH($A771),1),$A$5:$A$800,"&lt;="&amp;$A771)+IF(AND(YEAR($A771)=YEAR(Settings!$B$3),MONTH($A771)=MONTH(Settings!$B$3)),Settings!$B$6,0))</f>
        <v/>
      </c>
      <c r="U771" s="71">
        <f>IF($A771="","",SUMIFS($J$5:$J$800,$A$5:$A$800,"&gt;="&amp;DATE(YEAR($A771),MONTH($A771),1),$A$5:$A$800,"&lt;="&amp;$A771)+IF(AND(YEAR($A771)=YEAR(Settings!$B$3),MONTH($A771)=MONTH(Settings!$B$3)),Settings!$B$7,0))</f>
        <v/>
      </c>
      <c r="V771" s="70">
        <f>IF($A771="","",Settings!$B$8+SUM($B$5:B771))</f>
        <v/>
      </c>
      <c r="W771" s="71">
        <f>IF($A771="","",Settings!$B$9+SUM($J$5:J771))</f>
        <v/>
      </c>
      <c r="X771" s="71">
        <f>IF($A771="","",IF(AND(N771&gt;0,F771&gt;0),ROUND(F771/N771,0),X770))</f>
        <v/>
      </c>
      <c r="Y771" s="74">
        <f>IF($A771="","",IF(AND(M771&gt;0,L771&gt;0),ROUND(L771/M771,0),IF(AND(J771&gt;0,B771&gt;0),ROUND(B771/J771,0),Y770)))</f>
        <v/>
      </c>
    </row>
    <row r="772">
      <c r="A772" s="67" t="n"/>
      <c r="B772" s="68" t="n"/>
      <c r="C772" s="69" t="n"/>
      <c r="D772" s="68" t="n"/>
      <c r="E772" s="69" t="n"/>
      <c r="F772" s="68" t="n"/>
      <c r="G772" s="69" t="n"/>
      <c r="H772" s="68" t="n"/>
      <c r="I772" s="70">
        <f>IF($A772="","",R771)</f>
        <v/>
      </c>
      <c r="J772" s="71">
        <f>IF($A772="","",IF(C772="",0,C772))</f>
        <v/>
      </c>
      <c r="K772" s="71">
        <f>IF($A772="","",IF(E772="",0,E772))</f>
        <v/>
      </c>
      <c r="L772" s="70">
        <f>IF($A772="","",B772-D772)</f>
        <v/>
      </c>
      <c r="M772" s="71">
        <f>IF($A772="","",J772-K772)</f>
        <v/>
      </c>
      <c r="N772" s="71">
        <f>IF($A772="","",IF(G772="",0,G772))</f>
        <v/>
      </c>
      <c r="O772" s="70">
        <f>IF($A772="","",D772+F772)</f>
        <v/>
      </c>
      <c r="P772" s="71">
        <f>IF($A772="","",K772+N772)</f>
        <v/>
      </c>
      <c r="Q772" s="70">
        <f>IF($A772="","",I772+L772-F772)</f>
        <v/>
      </c>
      <c r="R772" s="72">
        <f>IF($A772="","",IF(H772="",Q772,H772))</f>
        <v/>
      </c>
      <c r="S772" s="73">
        <f>IF($A772="","",R772-Q772)</f>
        <v/>
      </c>
      <c r="T772" s="70">
        <f>IF($A772="","",SUMIFS($B$5:$B$800,$A$5:$A$800,"&gt;="&amp;DATE(YEAR($A772),MONTH($A772),1),$A$5:$A$800,"&lt;="&amp;$A772)+IF(AND(YEAR($A772)=YEAR(Settings!$B$3),MONTH($A772)=MONTH(Settings!$B$3)),Settings!$B$6,0))</f>
        <v/>
      </c>
      <c r="U772" s="71">
        <f>IF($A772="","",SUMIFS($J$5:$J$800,$A$5:$A$800,"&gt;="&amp;DATE(YEAR($A772),MONTH($A772),1),$A$5:$A$800,"&lt;="&amp;$A772)+IF(AND(YEAR($A772)=YEAR(Settings!$B$3),MONTH($A772)=MONTH(Settings!$B$3)),Settings!$B$7,0))</f>
        <v/>
      </c>
      <c r="V772" s="70">
        <f>IF($A772="","",Settings!$B$8+SUM($B$5:B772))</f>
        <v/>
      </c>
      <c r="W772" s="71">
        <f>IF($A772="","",Settings!$B$9+SUM($J$5:J772))</f>
        <v/>
      </c>
      <c r="X772" s="71">
        <f>IF($A772="","",IF(AND(N772&gt;0,F772&gt;0),ROUND(F772/N772,0),X771))</f>
        <v/>
      </c>
      <c r="Y772" s="74">
        <f>IF($A772="","",IF(AND(M772&gt;0,L772&gt;0),ROUND(L772/M772,0),IF(AND(J772&gt;0,B772&gt;0),ROUND(B772/J772,0),Y771)))</f>
        <v/>
      </c>
    </row>
    <row r="773">
      <c r="A773" s="67" t="n"/>
      <c r="B773" s="68" t="n"/>
      <c r="C773" s="69" t="n"/>
      <c r="D773" s="68" t="n"/>
      <c r="E773" s="69" t="n"/>
      <c r="F773" s="68" t="n"/>
      <c r="G773" s="69" t="n"/>
      <c r="H773" s="68" t="n"/>
      <c r="I773" s="70">
        <f>IF($A773="","",R772)</f>
        <v/>
      </c>
      <c r="J773" s="71">
        <f>IF($A773="","",IF(C773="",0,C773))</f>
        <v/>
      </c>
      <c r="K773" s="71">
        <f>IF($A773="","",IF(E773="",0,E773))</f>
        <v/>
      </c>
      <c r="L773" s="70">
        <f>IF($A773="","",B773-D773)</f>
        <v/>
      </c>
      <c r="M773" s="71">
        <f>IF($A773="","",J773-K773)</f>
        <v/>
      </c>
      <c r="N773" s="71">
        <f>IF($A773="","",IF(G773="",0,G773))</f>
        <v/>
      </c>
      <c r="O773" s="70">
        <f>IF($A773="","",D773+F773)</f>
        <v/>
      </c>
      <c r="P773" s="71">
        <f>IF($A773="","",K773+N773)</f>
        <v/>
      </c>
      <c r="Q773" s="70">
        <f>IF($A773="","",I773+L773-F773)</f>
        <v/>
      </c>
      <c r="R773" s="72">
        <f>IF($A773="","",IF(H773="",Q773,H773))</f>
        <v/>
      </c>
      <c r="S773" s="73">
        <f>IF($A773="","",R773-Q773)</f>
        <v/>
      </c>
      <c r="T773" s="70">
        <f>IF($A773="","",SUMIFS($B$5:$B$800,$A$5:$A$800,"&gt;="&amp;DATE(YEAR($A773),MONTH($A773),1),$A$5:$A$800,"&lt;="&amp;$A773)+IF(AND(YEAR($A773)=YEAR(Settings!$B$3),MONTH($A773)=MONTH(Settings!$B$3)),Settings!$B$6,0))</f>
        <v/>
      </c>
      <c r="U773" s="71">
        <f>IF($A773="","",SUMIFS($J$5:$J$800,$A$5:$A$800,"&gt;="&amp;DATE(YEAR($A773),MONTH($A773),1),$A$5:$A$800,"&lt;="&amp;$A773)+IF(AND(YEAR($A773)=YEAR(Settings!$B$3),MONTH($A773)=MONTH(Settings!$B$3)),Settings!$B$7,0))</f>
        <v/>
      </c>
      <c r="V773" s="70">
        <f>IF($A773="","",Settings!$B$8+SUM($B$5:B773))</f>
        <v/>
      </c>
      <c r="W773" s="71">
        <f>IF($A773="","",Settings!$B$9+SUM($J$5:J773))</f>
        <v/>
      </c>
      <c r="X773" s="71">
        <f>IF($A773="","",IF(AND(N773&gt;0,F773&gt;0),ROUND(F773/N773,0),X772))</f>
        <v/>
      </c>
      <c r="Y773" s="74">
        <f>IF($A773="","",IF(AND(M773&gt;0,L773&gt;0),ROUND(L773/M773,0),IF(AND(J773&gt;0,B773&gt;0),ROUND(B773/J773,0),Y772)))</f>
        <v/>
      </c>
    </row>
    <row r="774">
      <c r="A774" s="67" t="n"/>
      <c r="B774" s="68" t="n"/>
      <c r="C774" s="69" t="n"/>
      <c r="D774" s="68" t="n"/>
      <c r="E774" s="69" t="n"/>
      <c r="F774" s="68" t="n"/>
      <c r="G774" s="69" t="n"/>
      <c r="H774" s="68" t="n"/>
      <c r="I774" s="70">
        <f>IF($A774="","",R773)</f>
        <v/>
      </c>
      <c r="J774" s="71">
        <f>IF($A774="","",IF(C774="",0,C774))</f>
        <v/>
      </c>
      <c r="K774" s="71">
        <f>IF($A774="","",IF(E774="",0,E774))</f>
        <v/>
      </c>
      <c r="L774" s="70">
        <f>IF($A774="","",B774-D774)</f>
        <v/>
      </c>
      <c r="M774" s="71">
        <f>IF($A774="","",J774-K774)</f>
        <v/>
      </c>
      <c r="N774" s="71">
        <f>IF($A774="","",IF(G774="",0,G774))</f>
        <v/>
      </c>
      <c r="O774" s="70">
        <f>IF($A774="","",D774+F774)</f>
        <v/>
      </c>
      <c r="P774" s="71">
        <f>IF($A774="","",K774+N774)</f>
        <v/>
      </c>
      <c r="Q774" s="70">
        <f>IF($A774="","",I774+L774-F774)</f>
        <v/>
      </c>
      <c r="R774" s="72">
        <f>IF($A774="","",IF(H774="",Q774,H774))</f>
        <v/>
      </c>
      <c r="S774" s="73">
        <f>IF($A774="","",R774-Q774)</f>
        <v/>
      </c>
      <c r="T774" s="70">
        <f>IF($A774="","",SUMIFS($B$5:$B$800,$A$5:$A$800,"&gt;="&amp;DATE(YEAR($A774),MONTH($A774),1),$A$5:$A$800,"&lt;="&amp;$A774)+IF(AND(YEAR($A774)=YEAR(Settings!$B$3),MONTH($A774)=MONTH(Settings!$B$3)),Settings!$B$6,0))</f>
        <v/>
      </c>
      <c r="U774" s="71">
        <f>IF($A774="","",SUMIFS($J$5:$J$800,$A$5:$A$800,"&gt;="&amp;DATE(YEAR($A774),MONTH($A774),1),$A$5:$A$800,"&lt;="&amp;$A774)+IF(AND(YEAR($A774)=YEAR(Settings!$B$3),MONTH($A774)=MONTH(Settings!$B$3)),Settings!$B$7,0))</f>
        <v/>
      </c>
      <c r="V774" s="70">
        <f>IF($A774="","",Settings!$B$8+SUM($B$5:B774))</f>
        <v/>
      </c>
      <c r="W774" s="71">
        <f>IF($A774="","",Settings!$B$9+SUM($J$5:J774))</f>
        <v/>
      </c>
      <c r="X774" s="71">
        <f>IF($A774="","",IF(AND(N774&gt;0,F774&gt;0),ROUND(F774/N774,0),X773))</f>
        <v/>
      </c>
      <c r="Y774" s="74">
        <f>IF($A774="","",IF(AND(M774&gt;0,L774&gt;0),ROUND(L774/M774,0),IF(AND(J774&gt;0,B774&gt;0),ROUND(B774/J774,0),Y773)))</f>
        <v/>
      </c>
    </row>
    <row r="775">
      <c r="A775" s="67" t="n"/>
      <c r="B775" s="68" t="n"/>
      <c r="C775" s="69" t="n"/>
      <c r="D775" s="68" t="n"/>
      <c r="E775" s="69" t="n"/>
      <c r="F775" s="68" t="n"/>
      <c r="G775" s="69" t="n"/>
      <c r="H775" s="68" t="n"/>
      <c r="I775" s="70">
        <f>IF($A775="","",R774)</f>
        <v/>
      </c>
      <c r="J775" s="71">
        <f>IF($A775="","",IF(C775="",0,C775))</f>
        <v/>
      </c>
      <c r="K775" s="71">
        <f>IF($A775="","",IF(E775="",0,E775))</f>
        <v/>
      </c>
      <c r="L775" s="70">
        <f>IF($A775="","",B775-D775)</f>
        <v/>
      </c>
      <c r="M775" s="71">
        <f>IF($A775="","",J775-K775)</f>
        <v/>
      </c>
      <c r="N775" s="71">
        <f>IF($A775="","",IF(G775="",0,G775))</f>
        <v/>
      </c>
      <c r="O775" s="70">
        <f>IF($A775="","",D775+F775)</f>
        <v/>
      </c>
      <c r="P775" s="71">
        <f>IF($A775="","",K775+N775)</f>
        <v/>
      </c>
      <c r="Q775" s="70">
        <f>IF($A775="","",I775+L775-F775)</f>
        <v/>
      </c>
      <c r="R775" s="72">
        <f>IF($A775="","",IF(H775="",Q775,H775))</f>
        <v/>
      </c>
      <c r="S775" s="73">
        <f>IF($A775="","",R775-Q775)</f>
        <v/>
      </c>
      <c r="T775" s="70">
        <f>IF($A775="","",SUMIFS($B$5:$B$800,$A$5:$A$800,"&gt;="&amp;DATE(YEAR($A775),MONTH($A775),1),$A$5:$A$800,"&lt;="&amp;$A775)+IF(AND(YEAR($A775)=YEAR(Settings!$B$3),MONTH($A775)=MONTH(Settings!$B$3)),Settings!$B$6,0))</f>
        <v/>
      </c>
      <c r="U775" s="71">
        <f>IF($A775="","",SUMIFS($J$5:$J$800,$A$5:$A$800,"&gt;="&amp;DATE(YEAR($A775),MONTH($A775),1),$A$5:$A$800,"&lt;="&amp;$A775)+IF(AND(YEAR($A775)=YEAR(Settings!$B$3),MONTH($A775)=MONTH(Settings!$B$3)),Settings!$B$7,0))</f>
        <v/>
      </c>
      <c r="V775" s="70">
        <f>IF($A775="","",Settings!$B$8+SUM($B$5:B775))</f>
        <v/>
      </c>
      <c r="W775" s="71">
        <f>IF($A775="","",Settings!$B$9+SUM($J$5:J775))</f>
        <v/>
      </c>
      <c r="X775" s="71">
        <f>IF($A775="","",IF(AND(N775&gt;0,F775&gt;0),ROUND(F775/N775,0),X774))</f>
        <v/>
      </c>
      <c r="Y775" s="74">
        <f>IF($A775="","",IF(AND(M775&gt;0,L775&gt;0),ROUND(L775/M775,0),IF(AND(J775&gt;0,B775&gt;0),ROUND(B775/J775,0),Y774)))</f>
        <v/>
      </c>
    </row>
    <row r="776">
      <c r="A776" s="67" t="n"/>
      <c r="B776" s="68" t="n"/>
      <c r="C776" s="69" t="n"/>
      <c r="D776" s="68" t="n"/>
      <c r="E776" s="69" t="n"/>
      <c r="F776" s="68" t="n"/>
      <c r="G776" s="69" t="n"/>
      <c r="H776" s="68" t="n"/>
      <c r="I776" s="70">
        <f>IF($A776="","",R775)</f>
        <v/>
      </c>
      <c r="J776" s="71">
        <f>IF($A776="","",IF(C776="",0,C776))</f>
        <v/>
      </c>
      <c r="K776" s="71">
        <f>IF($A776="","",IF(E776="",0,E776))</f>
        <v/>
      </c>
      <c r="L776" s="70">
        <f>IF($A776="","",B776-D776)</f>
        <v/>
      </c>
      <c r="M776" s="71">
        <f>IF($A776="","",J776-K776)</f>
        <v/>
      </c>
      <c r="N776" s="71">
        <f>IF($A776="","",IF(G776="",0,G776))</f>
        <v/>
      </c>
      <c r="O776" s="70">
        <f>IF($A776="","",D776+F776)</f>
        <v/>
      </c>
      <c r="P776" s="71">
        <f>IF($A776="","",K776+N776)</f>
        <v/>
      </c>
      <c r="Q776" s="70">
        <f>IF($A776="","",I776+L776-F776)</f>
        <v/>
      </c>
      <c r="R776" s="72">
        <f>IF($A776="","",IF(H776="",Q776,H776))</f>
        <v/>
      </c>
      <c r="S776" s="73">
        <f>IF($A776="","",R776-Q776)</f>
        <v/>
      </c>
      <c r="T776" s="70">
        <f>IF($A776="","",SUMIFS($B$5:$B$800,$A$5:$A$800,"&gt;="&amp;DATE(YEAR($A776),MONTH($A776),1),$A$5:$A$800,"&lt;="&amp;$A776)+IF(AND(YEAR($A776)=YEAR(Settings!$B$3),MONTH($A776)=MONTH(Settings!$B$3)),Settings!$B$6,0))</f>
        <v/>
      </c>
      <c r="U776" s="71">
        <f>IF($A776="","",SUMIFS($J$5:$J$800,$A$5:$A$800,"&gt;="&amp;DATE(YEAR($A776),MONTH($A776),1),$A$5:$A$800,"&lt;="&amp;$A776)+IF(AND(YEAR($A776)=YEAR(Settings!$B$3),MONTH($A776)=MONTH(Settings!$B$3)),Settings!$B$7,0))</f>
        <v/>
      </c>
      <c r="V776" s="70">
        <f>IF($A776="","",Settings!$B$8+SUM($B$5:B776))</f>
        <v/>
      </c>
      <c r="W776" s="71">
        <f>IF($A776="","",Settings!$B$9+SUM($J$5:J776))</f>
        <v/>
      </c>
      <c r="X776" s="71">
        <f>IF($A776="","",IF(AND(N776&gt;0,F776&gt;0),ROUND(F776/N776,0),X775))</f>
        <v/>
      </c>
      <c r="Y776" s="74">
        <f>IF($A776="","",IF(AND(M776&gt;0,L776&gt;0),ROUND(L776/M776,0),IF(AND(J776&gt;0,B776&gt;0),ROUND(B776/J776,0),Y775)))</f>
        <v/>
      </c>
    </row>
    <row r="777">
      <c r="A777" s="67" t="n"/>
      <c r="B777" s="68" t="n"/>
      <c r="C777" s="69" t="n"/>
      <c r="D777" s="68" t="n"/>
      <c r="E777" s="69" t="n"/>
      <c r="F777" s="68" t="n"/>
      <c r="G777" s="69" t="n"/>
      <c r="H777" s="68" t="n"/>
      <c r="I777" s="70">
        <f>IF($A777="","",R776)</f>
        <v/>
      </c>
      <c r="J777" s="71">
        <f>IF($A777="","",IF(C777="",0,C777))</f>
        <v/>
      </c>
      <c r="K777" s="71">
        <f>IF($A777="","",IF(E777="",0,E777))</f>
        <v/>
      </c>
      <c r="L777" s="70">
        <f>IF($A777="","",B777-D777)</f>
        <v/>
      </c>
      <c r="M777" s="71">
        <f>IF($A777="","",J777-K777)</f>
        <v/>
      </c>
      <c r="N777" s="71">
        <f>IF($A777="","",IF(G777="",0,G777))</f>
        <v/>
      </c>
      <c r="O777" s="70">
        <f>IF($A777="","",D777+F777)</f>
        <v/>
      </c>
      <c r="P777" s="71">
        <f>IF($A777="","",K777+N777)</f>
        <v/>
      </c>
      <c r="Q777" s="70">
        <f>IF($A777="","",I777+L777-F777)</f>
        <v/>
      </c>
      <c r="R777" s="72">
        <f>IF($A777="","",IF(H777="",Q777,H777))</f>
        <v/>
      </c>
      <c r="S777" s="73">
        <f>IF($A777="","",R777-Q777)</f>
        <v/>
      </c>
      <c r="T777" s="70">
        <f>IF($A777="","",SUMIFS($B$5:$B$800,$A$5:$A$800,"&gt;="&amp;DATE(YEAR($A777),MONTH($A777),1),$A$5:$A$800,"&lt;="&amp;$A777)+IF(AND(YEAR($A777)=YEAR(Settings!$B$3),MONTH($A777)=MONTH(Settings!$B$3)),Settings!$B$6,0))</f>
        <v/>
      </c>
      <c r="U777" s="71">
        <f>IF($A777="","",SUMIFS($J$5:$J$800,$A$5:$A$800,"&gt;="&amp;DATE(YEAR($A777),MONTH($A777),1),$A$5:$A$800,"&lt;="&amp;$A777)+IF(AND(YEAR($A777)=YEAR(Settings!$B$3),MONTH($A777)=MONTH(Settings!$B$3)),Settings!$B$7,0))</f>
        <v/>
      </c>
      <c r="V777" s="70">
        <f>IF($A777="","",Settings!$B$8+SUM($B$5:B777))</f>
        <v/>
      </c>
      <c r="W777" s="71">
        <f>IF($A777="","",Settings!$B$9+SUM($J$5:J777))</f>
        <v/>
      </c>
      <c r="X777" s="71">
        <f>IF($A777="","",IF(AND(N777&gt;0,F777&gt;0),ROUND(F777/N777,0),X776))</f>
        <v/>
      </c>
      <c r="Y777" s="74">
        <f>IF($A777="","",IF(AND(M777&gt;0,L777&gt;0),ROUND(L777/M777,0),IF(AND(J777&gt;0,B777&gt;0),ROUND(B777/J777,0),Y776)))</f>
        <v/>
      </c>
    </row>
    <row r="778">
      <c r="A778" s="67" t="n"/>
      <c r="B778" s="68" t="n"/>
      <c r="C778" s="69" t="n"/>
      <c r="D778" s="68" t="n"/>
      <c r="E778" s="69" t="n"/>
      <c r="F778" s="68" t="n"/>
      <c r="G778" s="69" t="n"/>
      <c r="H778" s="68" t="n"/>
      <c r="I778" s="70">
        <f>IF($A778="","",R777)</f>
        <v/>
      </c>
      <c r="J778" s="71">
        <f>IF($A778="","",IF(C778="",0,C778))</f>
        <v/>
      </c>
      <c r="K778" s="71">
        <f>IF($A778="","",IF(E778="",0,E778))</f>
        <v/>
      </c>
      <c r="L778" s="70">
        <f>IF($A778="","",B778-D778)</f>
        <v/>
      </c>
      <c r="M778" s="71">
        <f>IF($A778="","",J778-K778)</f>
        <v/>
      </c>
      <c r="N778" s="71">
        <f>IF($A778="","",IF(G778="",0,G778))</f>
        <v/>
      </c>
      <c r="O778" s="70">
        <f>IF($A778="","",D778+F778)</f>
        <v/>
      </c>
      <c r="P778" s="71">
        <f>IF($A778="","",K778+N778)</f>
        <v/>
      </c>
      <c r="Q778" s="70">
        <f>IF($A778="","",I778+L778-F778)</f>
        <v/>
      </c>
      <c r="R778" s="72">
        <f>IF($A778="","",IF(H778="",Q778,H778))</f>
        <v/>
      </c>
      <c r="S778" s="73">
        <f>IF($A778="","",R778-Q778)</f>
        <v/>
      </c>
      <c r="T778" s="70">
        <f>IF($A778="","",SUMIFS($B$5:$B$800,$A$5:$A$800,"&gt;="&amp;DATE(YEAR($A778),MONTH($A778),1),$A$5:$A$800,"&lt;="&amp;$A778)+IF(AND(YEAR($A778)=YEAR(Settings!$B$3),MONTH($A778)=MONTH(Settings!$B$3)),Settings!$B$6,0))</f>
        <v/>
      </c>
      <c r="U778" s="71">
        <f>IF($A778="","",SUMIFS($J$5:$J$800,$A$5:$A$800,"&gt;="&amp;DATE(YEAR($A778),MONTH($A778),1),$A$5:$A$800,"&lt;="&amp;$A778)+IF(AND(YEAR($A778)=YEAR(Settings!$B$3),MONTH($A778)=MONTH(Settings!$B$3)),Settings!$B$7,0))</f>
        <v/>
      </c>
      <c r="V778" s="70">
        <f>IF($A778="","",Settings!$B$8+SUM($B$5:B778))</f>
        <v/>
      </c>
      <c r="W778" s="71">
        <f>IF($A778="","",Settings!$B$9+SUM($J$5:J778))</f>
        <v/>
      </c>
      <c r="X778" s="71">
        <f>IF($A778="","",IF(AND(N778&gt;0,F778&gt;0),ROUND(F778/N778,0),X777))</f>
        <v/>
      </c>
      <c r="Y778" s="74">
        <f>IF($A778="","",IF(AND(M778&gt;0,L778&gt;0),ROUND(L778/M778,0),IF(AND(J778&gt;0,B778&gt;0),ROUND(B778/J778,0),Y777)))</f>
        <v/>
      </c>
    </row>
    <row r="779">
      <c r="A779" s="67" t="n"/>
      <c r="B779" s="68" t="n"/>
      <c r="C779" s="69" t="n"/>
      <c r="D779" s="68" t="n"/>
      <c r="E779" s="69" t="n"/>
      <c r="F779" s="68" t="n"/>
      <c r="G779" s="69" t="n"/>
      <c r="H779" s="68" t="n"/>
      <c r="I779" s="70">
        <f>IF($A779="","",R778)</f>
        <v/>
      </c>
      <c r="J779" s="71">
        <f>IF($A779="","",IF(C779="",0,C779))</f>
        <v/>
      </c>
      <c r="K779" s="71">
        <f>IF($A779="","",IF(E779="",0,E779))</f>
        <v/>
      </c>
      <c r="L779" s="70">
        <f>IF($A779="","",B779-D779)</f>
        <v/>
      </c>
      <c r="M779" s="71">
        <f>IF($A779="","",J779-K779)</f>
        <v/>
      </c>
      <c r="N779" s="71">
        <f>IF($A779="","",IF(G779="",0,G779))</f>
        <v/>
      </c>
      <c r="O779" s="70">
        <f>IF($A779="","",D779+F779)</f>
        <v/>
      </c>
      <c r="P779" s="71">
        <f>IF($A779="","",K779+N779)</f>
        <v/>
      </c>
      <c r="Q779" s="70">
        <f>IF($A779="","",I779+L779-F779)</f>
        <v/>
      </c>
      <c r="R779" s="72">
        <f>IF($A779="","",IF(H779="",Q779,H779))</f>
        <v/>
      </c>
      <c r="S779" s="73">
        <f>IF($A779="","",R779-Q779)</f>
        <v/>
      </c>
      <c r="T779" s="70">
        <f>IF($A779="","",SUMIFS($B$5:$B$800,$A$5:$A$800,"&gt;="&amp;DATE(YEAR($A779),MONTH($A779),1),$A$5:$A$800,"&lt;="&amp;$A779)+IF(AND(YEAR($A779)=YEAR(Settings!$B$3),MONTH($A779)=MONTH(Settings!$B$3)),Settings!$B$6,0))</f>
        <v/>
      </c>
      <c r="U779" s="71">
        <f>IF($A779="","",SUMIFS($J$5:$J$800,$A$5:$A$800,"&gt;="&amp;DATE(YEAR($A779),MONTH($A779),1),$A$5:$A$800,"&lt;="&amp;$A779)+IF(AND(YEAR($A779)=YEAR(Settings!$B$3),MONTH($A779)=MONTH(Settings!$B$3)),Settings!$B$7,0))</f>
        <v/>
      </c>
      <c r="V779" s="70">
        <f>IF($A779="","",Settings!$B$8+SUM($B$5:B779))</f>
        <v/>
      </c>
      <c r="W779" s="71">
        <f>IF($A779="","",Settings!$B$9+SUM($J$5:J779))</f>
        <v/>
      </c>
      <c r="X779" s="71">
        <f>IF($A779="","",IF(AND(N779&gt;0,F779&gt;0),ROUND(F779/N779,0),X778))</f>
        <v/>
      </c>
      <c r="Y779" s="74">
        <f>IF($A779="","",IF(AND(M779&gt;0,L779&gt;0),ROUND(L779/M779,0),IF(AND(J779&gt;0,B779&gt;0),ROUND(B779/J779,0),Y778)))</f>
        <v/>
      </c>
    </row>
    <row r="780">
      <c r="A780" s="67" t="n"/>
      <c r="B780" s="68" t="n"/>
      <c r="C780" s="69" t="n"/>
      <c r="D780" s="68" t="n"/>
      <c r="E780" s="69" t="n"/>
      <c r="F780" s="68" t="n"/>
      <c r="G780" s="69" t="n"/>
      <c r="H780" s="68" t="n"/>
      <c r="I780" s="70">
        <f>IF($A780="","",R779)</f>
        <v/>
      </c>
      <c r="J780" s="71">
        <f>IF($A780="","",IF(C780="",0,C780))</f>
        <v/>
      </c>
      <c r="K780" s="71">
        <f>IF($A780="","",IF(E780="",0,E780))</f>
        <v/>
      </c>
      <c r="L780" s="70">
        <f>IF($A780="","",B780-D780)</f>
        <v/>
      </c>
      <c r="M780" s="71">
        <f>IF($A780="","",J780-K780)</f>
        <v/>
      </c>
      <c r="N780" s="71">
        <f>IF($A780="","",IF(G780="",0,G780))</f>
        <v/>
      </c>
      <c r="O780" s="70">
        <f>IF($A780="","",D780+F780)</f>
        <v/>
      </c>
      <c r="P780" s="71">
        <f>IF($A780="","",K780+N780)</f>
        <v/>
      </c>
      <c r="Q780" s="70">
        <f>IF($A780="","",I780+L780-F780)</f>
        <v/>
      </c>
      <c r="R780" s="72">
        <f>IF($A780="","",IF(H780="",Q780,H780))</f>
        <v/>
      </c>
      <c r="S780" s="73">
        <f>IF($A780="","",R780-Q780)</f>
        <v/>
      </c>
      <c r="T780" s="70">
        <f>IF($A780="","",SUMIFS($B$5:$B$800,$A$5:$A$800,"&gt;="&amp;DATE(YEAR($A780),MONTH($A780),1),$A$5:$A$800,"&lt;="&amp;$A780)+IF(AND(YEAR($A780)=YEAR(Settings!$B$3),MONTH($A780)=MONTH(Settings!$B$3)),Settings!$B$6,0))</f>
        <v/>
      </c>
      <c r="U780" s="71">
        <f>IF($A780="","",SUMIFS($J$5:$J$800,$A$5:$A$800,"&gt;="&amp;DATE(YEAR($A780),MONTH($A780),1),$A$5:$A$800,"&lt;="&amp;$A780)+IF(AND(YEAR($A780)=YEAR(Settings!$B$3),MONTH($A780)=MONTH(Settings!$B$3)),Settings!$B$7,0))</f>
        <v/>
      </c>
      <c r="V780" s="70">
        <f>IF($A780="","",Settings!$B$8+SUM($B$5:B780))</f>
        <v/>
      </c>
      <c r="W780" s="71">
        <f>IF($A780="","",Settings!$B$9+SUM($J$5:J780))</f>
        <v/>
      </c>
      <c r="X780" s="71">
        <f>IF($A780="","",IF(AND(N780&gt;0,F780&gt;0),ROUND(F780/N780,0),X779))</f>
        <v/>
      </c>
      <c r="Y780" s="74">
        <f>IF($A780="","",IF(AND(M780&gt;0,L780&gt;0),ROUND(L780/M780,0),IF(AND(J780&gt;0,B780&gt;0),ROUND(B780/J780,0),Y779)))</f>
        <v/>
      </c>
    </row>
    <row r="781">
      <c r="A781" s="67" t="n"/>
      <c r="B781" s="68" t="n"/>
      <c r="C781" s="69" t="n"/>
      <c r="D781" s="68" t="n"/>
      <c r="E781" s="69" t="n"/>
      <c r="F781" s="68" t="n"/>
      <c r="G781" s="69" t="n"/>
      <c r="H781" s="68" t="n"/>
      <c r="I781" s="70">
        <f>IF($A781="","",R780)</f>
        <v/>
      </c>
      <c r="J781" s="71">
        <f>IF($A781="","",IF(C781="",0,C781))</f>
        <v/>
      </c>
      <c r="K781" s="71">
        <f>IF($A781="","",IF(E781="",0,E781))</f>
        <v/>
      </c>
      <c r="L781" s="70">
        <f>IF($A781="","",B781-D781)</f>
        <v/>
      </c>
      <c r="M781" s="71">
        <f>IF($A781="","",J781-K781)</f>
        <v/>
      </c>
      <c r="N781" s="71">
        <f>IF($A781="","",IF(G781="",0,G781))</f>
        <v/>
      </c>
      <c r="O781" s="70">
        <f>IF($A781="","",D781+F781)</f>
        <v/>
      </c>
      <c r="P781" s="71">
        <f>IF($A781="","",K781+N781)</f>
        <v/>
      </c>
      <c r="Q781" s="70">
        <f>IF($A781="","",I781+L781-F781)</f>
        <v/>
      </c>
      <c r="R781" s="72">
        <f>IF($A781="","",IF(H781="",Q781,H781))</f>
        <v/>
      </c>
      <c r="S781" s="73">
        <f>IF($A781="","",R781-Q781)</f>
        <v/>
      </c>
      <c r="T781" s="70">
        <f>IF($A781="","",SUMIFS($B$5:$B$800,$A$5:$A$800,"&gt;="&amp;DATE(YEAR($A781),MONTH($A781),1),$A$5:$A$800,"&lt;="&amp;$A781)+IF(AND(YEAR($A781)=YEAR(Settings!$B$3),MONTH($A781)=MONTH(Settings!$B$3)),Settings!$B$6,0))</f>
        <v/>
      </c>
      <c r="U781" s="71">
        <f>IF($A781="","",SUMIFS($J$5:$J$800,$A$5:$A$800,"&gt;="&amp;DATE(YEAR($A781),MONTH($A781),1),$A$5:$A$800,"&lt;="&amp;$A781)+IF(AND(YEAR($A781)=YEAR(Settings!$B$3),MONTH($A781)=MONTH(Settings!$B$3)),Settings!$B$7,0))</f>
        <v/>
      </c>
      <c r="V781" s="70">
        <f>IF($A781="","",Settings!$B$8+SUM($B$5:B781))</f>
        <v/>
      </c>
      <c r="W781" s="71">
        <f>IF($A781="","",Settings!$B$9+SUM($J$5:J781))</f>
        <v/>
      </c>
      <c r="X781" s="71">
        <f>IF($A781="","",IF(AND(N781&gt;0,F781&gt;0),ROUND(F781/N781,0),X780))</f>
        <v/>
      </c>
      <c r="Y781" s="74">
        <f>IF($A781="","",IF(AND(M781&gt;0,L781&gt;0),ROUND(L781/M781,0),IF(AND(J781&gt;0,B781&gt;0),ROUND(B781/J781,0),Y780)))</f>
        <v/>
      </c>
    </row>
    <row r="782">
      <c r="A782" s="67" t="n"/>
      <c r="B782" s="68" t="n"/>
      <c r="C782" s="69" t="n"/>
      <c r="D782" s="68" t="n"/>
      <c r="E782" s="69" t="n"/>
      <c r="F782" s="68" t="n"/>
      <c r="G782" s="69" t="n"/>
      <c r="H782" s="68" t="n"/>
      <c r="I782" s="70">
        <f>IF($A782="","",R781)</f>
        <v/>
      </c>
      <c r="J782" s="71">
        <f>IF($A782="","",IF(C782="",0,C782))</f>
        <v/>
      </c>
      <c r="K782" s="71">
        <f>IF($A782="","",IF(E782="",0,E782))</f>
        <v/>
      </c>
      <c r="L782" s="70">
        <f>IF($A782="","",B782-D782)</f>
        <v/>
      </c>
      <c r="M782" s="71">
        <f>IF($A782="","",J782-K782)</f>
        <v/>
      </c>
      <c r="N782" s="71">
        <f>IF($A782="","",IF(G782="",0,G782))</f>
        <v/>
      </c>
      <c r="O782" s="70">
        <f>IF($A782="","",D782+F782)</f>
        <v/>
      </c>
      <c r="P782" s="71">
        <f>IF($A782="","",K782+N782)</f>
        <v/>
      </c>
      <c r="Q782" s="70">
        <f>IF($A782="","",I782+L782-F782)</f>
        <v/>
      </c>
      <c r="R782" s="72">
        <f>IF($A782="","",IF(H782="",Q782,H782))</f>
        <v/>
      </c>
      <c r="S782" s="73">
        <f>IF($A782="","",R782-Q782)</f>
        <v/>
      </c>
      <c r="T782" s="70">
        <f>IF($A782="","",SUMIFS($B$5:$B$800,$A$5:$A$800,"&gt;="&amp;DATE(YEAR($A782),MONTH($A782),1),$A$5:$A$800,"&lt;="&amp;$A782)+IF(AND(YEAR($A782)=YEAR(Settings!$B$3),MONTH($A782)=MONTH(Settings!$B$3)),Settings!$B$6,0))</f>
        <v/>
      </c>
      <c r="U782" s="71">
        <f>IF($A782="","",SUMIFS($J$5:$J$800,$A$5:$A$800,"&gt;="&amp;DATE(YEAR($A782),MONTH($A782),1),$A$5:$A$800,"&lt;="&amp;$A782)+IF(AND(YEAR($A782)=YEAR(Settings!$B$3),MONTH($A782)=MONTH(Settings!$B$3)),Settings!$B$7,0))</f>
        <v/>
      </c>
      <c r="V782" s="70">
        <f>IF($A782="","",Settings!$B$8+SUM($B$5:B782))</f>
        <v/>
      </c>
      <c r="W782" s="71">
        <f>IF($A782="","",Settings!$B$9+SUM($J$5:J782))</f>
        <v/>
      </c>
      <c r="X782" s="71">
        <f>IF($A782="","",IF(AND(N782&gt;0,F782&gt;0),ROUND(F782/N782,0),X781))</f>
        <v/>
      </c>
      <c r="Y782" s="74">
        <f>IF($A782="","",IF(AND(M782&gt;0,L782&gt;0),ROUND(L782/M782,0),IF(AND(J782&gt;0,B782&gt;0),ROUND(B782/J782,0),Y781)))</f>
        <v/>
      </c>
    </row>
    <row r="783">
      <c r="A783" s="67" t="n"/>
      <c r="B783" s="68" t="n"/>
      <c r="C783" s="69" t="n"/>
      <c r="D783" s="68" t="n"/>
      <c r="E783" s="69" t="n"/>
      <c r="F783" s="68" t="n"/>
      <c r="G783" s="69" t="n"/>
      <c r="H783" s="68" t="n"/>
      <c r="I783" s="70">
        <f>IF($A783="","",R782)</f>
        <v/>
      </c>
      <c r="J783" s="71">
        <f>IF($A783="","",IF(C783="",0,C783))</f>
        <v/>
      </c>
      <c r="K783" s="71">
        <f>IF($A783="","",IF(E783="",0,E783))</f>
        <v/>
      </c>
      <c r="L783" s="70">
        <f>IF($A783="","",B783-D783)</f>
        <v/>
      </c>
      <c r="M783" s="71">
        <f>IF($A783="","",J783-K783)</f>
        <v/>
      </c>
      <c r="N783" s="71">
        <f>IF($A783="","",IF(G783="",0,G783))</f>
        <v/>
      </c>
      <c r="O783" s="70">
        <f>IF($A783="","",D783+F783)</f>
        <v/>
      </c>
      <c r="P783" s="71">
        <f>IF($A783="","",K783+N783)</f>
        <v/>
      </c>
      <c r="Q783" s="70">
        <f>IF($A783="","",I783+L783-F783)</f>
        <v/>
      </c>
      <c r="R783" s="72">
        <f>IF($A783="","",IF(H783="",Q783,H783))</f>
        <v/>
      </c>
      <c r="S783" s="73">
        <f>IF($A783="","",R783-Q783)</f>
        <v/>
      </c>
      <c r="T783" s="70">
        <f>IF($A783="","",SUMIFS($B$5:$B$800,$A$5:$A$800,"&gt;="&amp;DATE(YEAR($A783),MONTH($A783),1),$A$5:$A$800,"&lt;="&amp;$A783)+IF(AND(YEAR($A783)=YEAR(Settings!$B$3),MONTH($A783)=MONTH(Settings!$B$3)),Settings!$B$6,0))</f>
        <v/>
      </c>
      <c r="U783" s="71">
        <f>IF($A783="","",SUMIFS($J$5:$J$800,$A$5:$A$800,"&gt;="&amp;DATE(YEAR($A783),MONTH($A783),1),$A$5:$A$800,"&lt;="&amp;$A783)+IF(AND(YEAR($A783)=YEAR(Settings!$B$3),MONTH($A783)=MONTH(Settings!$B$3)),Settings!$B$7,0))</f>
        <v/>
      </c>
      <c r="V783" s="70">
        <f>IF($A783="","",Settings!$B$8+SUM($B$5:B783))</f>
        <v/>
      </c>
      <c r="W783" s="71">
        <f>IF($A783="","",Settings!$B$9+SUM($J$5:J783))</f>
        <v/>
      </c>
      <c r="X783" s="71">
        <f>IF($A783="","",IF(AND(N783&gt;0,F783&gt;0),ROUND(F783/N783,0),X782))</f>
        <v/>
      </c>
      <c r="Y783" s="74">
        <f>IF($A783="","",IF(AND(M783&gt;0,L783&gt;0),ROUND(L783/M783,0),IF(AND(J783&gt;0,B783&gt;0),ROUND(B783/J783,0),Y782)))</f>
        <v/>
      </c>
    </row>
    <row r="784">
      <c r="A784" s="67" t="n"/>
      <c r="B784" s="68" t="n"/>
      <c r="C784" s="69" t="n"/>
      <c r="D784" s="68" t="n"/>
      <c r="E784" s="69" t="n"/>
      <c r="F784" s="68" t="n"/>
      <c r="G784" s="69" t="n"/>
      <c r="H784" s="68" t="n"/>
      <c r="I784" s="70">
        <f>IF($A784="","",R783)</f>
        <v/>
      </c>
      <c r="J784" s="71">
        <f>IF($A784="","",IF(C784="",0,C784))</f>
        <v/>
      </c>
      <c r="K784" s="71">
        <f>IF($A784="","",IF(E784="",0,E784))</f>
        <v/>
      </c>
      <c r="L784" s="70">
        <f>IF($A784="","",B784-D784)</f>
        <v/>
      </c>
      <c r="M784" s="71">
        <f>IF($A784="","",J784-K784)</f>
        <v/>
      </c>
      <c r="N784" s="71">
        <f>IF($A784="","",IF(G784="",0,G784))</f>
        <v/>
      </c>
      <c r="O784" s="70">
        <f>IF($A784="","",D784+F784)</f>
        <v/>
      </c>
      <c r="P784" s="71">
        <f>IF($A784="","",K784+N784)</f>
        <v/>
      </c>
      <c r="Q784" s="70">
        <f>IF($A784="","",I784+L784-F784)</f>
        <v/>
      </c>
      <c r="R784" s="72">
        <f>IF($A784="","",IF(H784="",Q784,H784))</f>
        <v/>
      </c>
      <c r="S784" s="73">
        <f>IF($A784="","",R784-Q784)</f>
        <v/>
      </c>
      <c r="T784" s="70">
        <f>IF($A784="","",SUMIFS($B$5:$B$800,$A$5:$A$800,"&gt;="&amp;DATE(YEAR($A784),MONTH($A784),1),$A$5:$A$800,"&lt;="&amp;$A784)+IF(AND(YEAR($A784)=YEAR(Settings!$B$3),MONTH($A784)=MONTH(Settings!$B$3)),Settings!$B$6,0))</f>
        <v/>
      </c>
      <c r="U784" s="71">
        <f>IF($A784="","",SUMIFS($J$5:$J$800,$A$5:$A$800,"&gt;="&amp;DATE(YEAR($A784),MONTH($A784),1),$A$5:$A$800,"&lt;="&amp;$A784)+IF(AND(YEAR($A784)=YEAR(Settings!$B$3),MONTH($A784)=MONTH(Settings!$B$3)),Settings!$B$7,0))</f>
        <v/>
      </c>
      <c r="V784" s="70">
        <f>IF($A784="","",Settings!$B$8+SUM($B$5:B784))</f>
        <v/>
      </c>
      <c r="W784" s="71">
        <f>IF($A784="","",Settings!$B$9+SUM($J$5:J784))</f>
        <v/>
      </c>
      <c r="X784" s="71">
        <f>IF($A784="","",IF(AND(N784&gt;0,F784&gt;0),ROUND(F784/N784,0),X783))</f>
        <v/>
      </c>
      <c r="Y784" s="74">
        <f>IF($A784="","",IF(AND(M784&gt;0,L784&gt;0),ROUND(L784/M784,0),IF(AND(J784&gt;0,B784&gt;0),ROUND(B784/J784,0),Y783)))</f>
        <v/>
      </c>
    </row>
    <row r="785">
      <c r="A785" s="67" t="n"/>
      <c r="B785" s="68" t="n"/>
      <c r="C785" s="69" t="n"/>
      <c r="D785" s="68" t="n"/>
      <c r="E785" s="69" t="n"/>
      <c r="F785" s="68" t="n"/>
      <c r="G785" s="69" t="n"/>
      <c r="H785" s="68" t="n"/>
      <c r="I785" s="70">
        <f>IF($A785="","",R784)</f>
        <v/>
      </c>
      <c r="J785" s="71">
        <f>IF($A785="","",IF(C785="",0,C785))</f>
        <v/>
      </c>
      <c r="K785" s="71">
        <f>IF($A785="","",IF(E785="",0,E785))</f>
        <v/>
      </c>
      <c r="L785" s="70">
        <f>IF($A785="","",B785-D785)</f>
        <v/>
      </c>
      <c r="M785" s="71">
        <f>IF($A785="","",J785-K785)</f>
        <v/>
      </c>
      <c r="N785" s="71">
        <f>IF($A785="","",IF(G785="",0,G785))</f>
        <v/>
      </c>
      <c r="O785" s="70">
        <f>IF($A785="","",D785+F785)</f>
        <v/>
      </c>
      <c r="P785" s="71">
        <f>IF($A785="","",K785+N785)</f>
        <v/>
      </c>
      <c r="Q785" s="70">
        <f>IF($A785="","",I785+L785-F785)</f>
        <v/>
      </c>
      <c r="R785" s="72">
        <f>IF($A785="","",IF(H785="",Q785,H785))</f>
        <v/>
      </c>
      <c r="S785" s="73">
        <f>IF($A785="","",R785-Q785)</f>
        <v/>
      </c>
      <c r="T785" s="70">
        <f>IF($A785="","",SUMIFS($B$5:$B$800,$A$5:$A$800,"&gt;="&amp;DATE(YEAR($A785),MONTH($A785),1),$A$5:$A$800,"&lt;="&amp;$A785)+IF(AND(YEAR($A785)=YEAR(Settings!$B$3),MONTH($A785)=MONTH(Settings!$B$3)),Settings!$B$6,0))</f>
        <v/>
      </c>
      <c r="U785" s="71">
        <f>IF($A785="","",SUMIFS($J$5:$J$800,$A$5:$A$800,"&gt;="&amp;DATE(YEAR($A785),MONTH($A785),1),$A$5:$A$800,"&lt;="&amp;$A785)+IF(AND(YEAR($A785)=YEAR(Settings!$B$3),MONTH($A785)=MONTH(Settings!$B$3)),Settings!$B$7,0))</f>
        <v/>
      </c>
      <c r="V785" s="70">
        <f>IF($A785="","",Settings!$B$8+SUM($B$5:B785))</f>
        <v/>
      </c>
      <c r="W785" s="71">
        <f>IF($A785="","",Settings!$B$9+SUM($J$5:J785))</f>
        <v/>
      </c>
      <c r="X785" s="71">
        <f>IF($A785="","",IF(AND(N785&gt;0,F785&gt;0),ROUND(F785/N785,0),X784))</f>
        <v/>
      </c>
      <c r="Y785" s="74">
        <f>IF($A785="","",IF(AND(M785&gt;0,L785&gt;0),ROUND(L785/M785,0),IF(AND(J785&gt;0,B785&gt;0),ROUND(B785/J785,0),Y784)))</f>
        <v/>
      </c>
    </row>
    <row r="786">
      <c r="A786" s="67" t="n"/>
      <c r="B786" s="68" t="n"/>
      <c r="C786" s="69" t="n"/>
      <c r="D786" s="68" t="n"/>
      <c r="E786" s="69" t="n"/>
      <c r="F786" s="68" t="n"/>
      <c r="G786" s="69" t="n"/>
      <c r="H786" s="68" t="n"/>
      <c r="I786" s="70">
        <f>IF($A786="","",R785)</f>
        <v/>
      </c>
      <c r="J786" s="71">
        <f>IF($A786="","",IF(C786="",0,C786))</f>
        <v/>
      </c>
      <c r="K786" s="71">
        <f>IF($A786="","",IF(E786="",0,E786))</f>
        <v/>
      </c>
      <c r="L786" s="70">
        <f>IF($A786="","",B786-D786)</f>
        <v/>
      </c>
      <c r="M786" s="71">
        <f>IF($A786="","",J786-K786)</f>
        <v/>
      </c>
      <c r="N786" s="71">
        <f>IF($A786="","",IF(G786="",0,G786))</f>
        <v/>
      </c>
      <c r="O786" s="70">
        <f>IF($A786="","",D786+F786)</f>
        <v/>
      </c>
      <c r="P786" s="71">
        <f>IF($A786="","",K786+N786)</f>
        <v/>
      </c>
      <c r="Q786" s="70">
        <f>IF($A786="","",I786+L786-F786)</f>
        <v/>
      </c>
      <c r="R786" s="72">
        <f>IF($A786="","",IF(H786="",Q786,H786))</f>
        <v/>
      </c>
      <c r="S786" s="73">
        <f>IF($A786="","",R786-Q786)</f>
        <v/>
      </c>
      <c r="T786" s="70">
        <f>IF($A786="","",SUMIFS($B$5:$B$800,$A$5:$A$800,"&gt;="&amp;DATE(YEAR($A786),MONTH($A786),1),$A$5:$A$800,"&lt;="&amp;$A786)+IF(AND(YEAR($A786)=YEAR(Settings!$B$3),MONTH($A786)=MONTH(Settings!$B$3)),Settings!$B$6,0))</f>
        <v/>
      </c>
      <c r="U786" s="71">
        <f>IF($A786="","",SUMIFS($J$5:$J$800,$A$5:$A$800,"&gt;="&amp;DATE(YEAR($A786),MONTH($A786),1),$A$5:$A$800,"&lt;="&amp;$A786)+IF(AND(YEAR($A786)=YEAR(Settings!$B$3),MONTH($A786)=MONTH(Settings!$B$3)),Settings!$B$7,0))</f>
        <v/>
      </c>
      <c r="V786" s="70">
        <f>IF($A786="","",Settings!$B$8+SUM($B$5:B786))</f>
        <v/>
      </c>
      <c r="W786" s="71">
        <f>IF($A786="","",Settings!$B$9+SUM($J$5:J786))</f>
        <v/>
      </c>
      <c r="X786" s="71">
        <f>IF($A786="","",IF(AND(N786&gt;0,F786&gt;0),ROUND(F786/N786,0),X785))</f>
        <v/>
      </c>
      <c r="Y786" s="74">
        <f>IF($A786="","",IF(AND(M786&gt;0,L786&gt;0),ROUND(L786/M786,0),IF(AND(J786&gt;0,B786&gt;0),ROUND(B786/J786,0),Y785)))</f>
        <v/>
      </c>
    </row>
    <row r="787">
      <c r="A787" s="67" t="n"/>
      <c r="B787" s="68" t="n"/>
      <c r="C787" s="69" t="n"/>
      <c r="D787" s="68" t="n"/>
      <c r="E787" s="69" t="n"/>
      <c r="F787" s="68" t="n"/>
      <c r="G787" s="69" t="n"/>
      <c r="H787" s="68" t="n"/>
      <c r="I787" s="70">
        <f>IF($A787="","",R786)</f>
        <v/>
      </c>
      <c r="J787" s="71">
        <f>IF($A787="","",IF(C787="",0,C787))</f>
        <v/>
      </c>
      <c r="K787" s="71">
        <f>IF($A787="","",IF(E787="",0,E787))</f>
        <v/>
      </c>
      <c r="L787" s="70">
        <f>IF($A787="","",B787-D787)</f>
        <v/>
      </c>
      <c r="M787" s="71">
        <f>IF($A787="","",J787-K787)</f>
        <v/>
      </c>
      <c r="N787" s="71">
        <f>IF($A787="","",IF(G787="",0,G787))</f>
        <v/>
      </c>
      <c r="O787" s="70">
        <f>IF($A787="","",D787+F787)</f>
        <v/>
      </c>
      <c r="P787" s="71">
        <f>IF($A787="","",K787+N787)</f>
        <v/>
      </c>
      <c r="Q787" s="70">
        <f>IF($A787="","",I787+L787-F787)</f>
        <v/>
      </c>
      <c r="R787" s="72">
        <f>IF($A787="","",IF(H787="",Q787,H787))</f>
        <v/>
      </c>
      <c r="S787" s="73">
        <f>IF($A787="","",R787-Q787)</f>
        <v/>
      </c>
      <c r="T787" s="70">
        <f>IF($A787="","",SUMIFS($B$5:$B$800,$A$5:$A$800,"&gt;="&amp;DATE(YEAR($A787),MONTH($A787),1),$A$5:$A$800,"&lt;="&amp;$A787)+IF(AND(YEAR($A787)=YEAR(Settings!$B$3),MONTH($A787)=MONTH(Settings!$B$3)),Settings!$B$6,0))</f>
        <v/>
      </c>
      <c r="U787" s="71">
        <f>IF($A787="","",SUMIFS($J$5:$J$800,$A$5:$A$800,"&gt;="&amp;DATE(YEAR($A787),MONTH($A787),1),$A$5:$A$800,"&lt;="&amp;$A787)+IF(AND(YEAR($A787)=YEAR(Settings!$B$3),MONTH($A787)=MONTH(Settings!$B$3)),Settings!$B$7,0))</f>
        <v/>
      </c>
      <c r="V787" s="70">
        <f>IF($A787="","",Settings!$B$8+SUM($B$5:B787))</f>
        <v/>
      </c>
      <c r="W787" s="71">
        <f>IF($A787="","",Settings!$B$9+SUM($J$5:J787))</f>
        <v/>
      </c>
      <c r="X787" s="71">
        <f>IF($A787="","",IF(AND(N787&gt;0,F787&gt;0),ROUND(F787/N787,0),X786))</f>
        <v/>
      </c>
      <c r="Y787" s="74">
        <f>IF($A787="","",IF(AND(M787&gt;0,L787&gt;0),ROUND(L787/M787,0),IF(AND(J787&gt;0,B787&gt;0),ROUND(B787/J787,0),Y786)))</f>
        <v/>
      </c>
    </row>
    <row r="788">
      <c r="A788" s="67" t="n"/>
      <c r="B788" s="68" t="n"/>
      <c r="C788" s="69" t="n"/>
      <c r="D788" s="68" t="n"/>
      <c r="E788" s="69" t="n"/>
      <c r="F788" s="68" t="n"/>
      <c r="G788" s="69" t="n"/>
      <c r="H788" s="68" t="n"/>
      <c r="I788" s="70">
        <f>IF($A788="","",R787)</f>
        <v/>
      </c>
      <c r="J788" s="71">
        <f>IF($A788="","",IF(C788="",0,C788))</f>
        <v/>
      </c>
      <c r="K788" s="71">
        <f>IF($A788="","",IF(E788="",0,E788))</f>
        <v/>
      </c>
      <c r="L788" s="70">
        <f>IF($A788="","",B788-D788)</f>
        <v/>
      </c>
      <c r="M788" s="71">
        <f>IF($A788="","",J788-K788)</f>
        <v/>
      </c>
      <c r="N788" s="71">
        <f>IF($A788="","",IF(G788="",0,G788))</f>
        <v/>
      </c>
      <c r="O788" s="70">
        <f>IF($A788="","",D788+F788)</f>
        <v/>
      </c>
      <c r="P788" s="71">
        <f>IF($A788="","",K788+N788)</f>
        <v/>
      </c>
      <c r="Q788" s="70">
        <f>IF($A788="","",I788+L788-F788)</f>
        <v/>
      </c>
      <c r="R788" s="72">
        <f>IF($A788="","",IF(H788="",Q788,H788))</f>
        <v/>
      </c>
      <c r="S788" s="73">
        <f>IF($A788="","",R788-Q788)</f>
        <v/>
      </c>
      <c r="T788" s="70">
        <f>IF($A788="","",SUMIFS($B$5:$B$800,$A$5:$A$800,"&gt;="&amp;DATE(YEAR($A788),MONTH($A788),1),$A$5:$A$800,"&lt;="&amp;$A788)+IF(AND(YEAR($A788)=YEAR(Settings!$B$3),MONTH($A788)=MONTH(Settings!$B$3)),Settings!$B$6,0))</f>
        <v/>
      </c>
      <c r="U788" s="71">
        <f>IF($A788="","",SUMIFS($J$5:$J$800,$A$5:$A$800,"&gt;="&amp;DATE(YEAR($A788),MONTH($A788),1),$A$5:$A$800,"&lt;="&amp;$A788)+IF(AND(YEAR($A788)=YEAR(Settings!$B$3),MONTH($A788)=MONTH(Settings!$B$3)),Settings!$B$7,0))</f>
        <v/>
      </c>
      <c r="V788" s="70">
        <f>IF($A788="","",Settings!$B$8+SUM($B$5:B788))</f>
        <v/>
      </c>
      <c r="W788" s="71">
        <f>IF($A788="","",Settings!$B$9+SUM($J$5:J788))</f>
        <v/>
      </c>
      <c r="X788" s="71">
        <f>IF($A788="","",IF(AND(N788&gt;0,F788&gt;0),ROUND(F788/N788,0),X787))</f>
        <v/>
      </c>
      <c r="Y788" s="74">
        <f>IF($A788="","",IF(AND(M788&gt;0,L788&gt;0),ROUND(L788/M788,0),IF(AND(J788&gt;0,B788&gt;0),ROUND(B788/J788,0),Y787)))</f>
        <v/>
      </c>
    </row>
    <row r="789">
      <c r="A789" s="67" t="n"/>
      <c r="B789" s="68" t="n"/>
      <c r="C789" s="69" t="n"/>
      <c r="D789" s="68" t="n"/>
      <c r="E789" s="69" t="n"/>
      <c r="F789" s="68" t="n"/>
      <c r="G789" s="69" t="n"/>
      <c r="H789" s="68" t="n"/>
      <c r="I789" s="70">
        <f>IF($A789="","",R788)</f>
        <v/>
      </c>
      <c r="J789" s="71">
        <f>IF($A789="","",IF(C789="",0,C789))</f>
        <v/>
      </c>
      <c r="K789" s="71">
        <f>IF($A789="","",IF(E789="",0,E789))</f>
        <v/>
      </c>
      <c r="L789" s="70">
        <f>IF($A789="","",B789-D789)</f>
        <v/>
      </c>
      <c r="M789" s="71">
        <f>IF($A789="","",J789-K789)</f>
        <v/>
      </c>
      <c r="N789" s="71">
        <f>IF($A789="","",IF(G789="",0,G789))</f>
        <v/>
      </c>
      <c r="O789" s="70">
        <f>IF($A789="","",D789+F789)</f>
        <v/>
      </c>
      <c r="P789" s="71">
        <f>IF($A789="","",K789+N789)</f>
        <v/>
      </c>
      <c r="Q789" s="70">
        <f>IF($A789="","",I789+L789-F789)</f>
        <v/>
      </c>
      <c r="R789" s="72">
        <f>IF($A789="","",IF(H789="",Q789,H789))</f>
        <v/>
      </c>
      <c r="S789" s="73">
        <f>IF($A789="","",R789-Q789)</f>
        <v/>
      </c>
      <c r="T789" s="70">
        <f>IF($A789="","",SUMIFS($B$5:$B$800,$A$5:$A$800,"&gt;="&amp;DATE(YEAR($A789),MONTH($A789),1),$A$5:$A$800,"&lt;="&amp;$A789)+IF(AND(YEAR($A789)=YEAR(Settings!$B$3),MONTH($A789)=MONTH(Settings!$B$3)),Settings!$B$6,0))</f>
        <v/>
      </c>
      <c r="U789" s="71">
        <f>IF($A789="","",SUMIFS($J$5:$J$800,$A$5:$A$800,"&gt;="&amp;DATE(YEAR($A789),MONTH($A789),1),$A$5:$A$800,"&lt;="&amp;$A789)+IF(AND(YEAR($A789)=YEAR(Settings!$B$3),MONTH($A789)=MONTH(Settings!$B$3)),Settings!$B$7,0))</f>
        <v/>
      </c>
      <c r="V789" s="70">
        <f>IF($A789="","",Settings!$B$8+SUM($B$5:B789))</f>
        <v/>
      </c>
      <c r="W789" s="71">
        <f>IF($A789="","",Settings!$B$9+SUM($J$5:J789))</f>
        <v/>
      </c>
      <c r="X789" s="71">
        <f>IF($A789="","",IF(AND(N789&gt;0,F789&gt;0),ROUND(F789/N789,0),X788))</f>
        <v/>
      </c>
      <c r="Y789" s="74">
        <f>IF($A789="","",IF(AND(M789&gt;0,L789&gt;0),ROUND(L789/M789,0),IF(AND(J789&gt;0,B789&gt;0),ROUND(B789/J789,0),Y788)))</f>
        <v/>
      </c>
    </row>
    <row r="790">
      <c r="A790" s="67" t="n"/>
      <c r="B790" s="68" t="n"/>
      <c r="C790" s="69" t="n"/>
      <c r="D790" s="68" t="n"/>
      <c r="E790" s="69" t="n"/>
      <c r="F790" s="68" t="n"/>
      <c r="G790" s="69" t="n"/>
      <c r="H790" s="68" t="n"/>
      <c r="I790" s="70">
        <f>IF($A790="","",R789)</f>
        <v/>
      </c>
      <c r="J790" s="71">
        <f>IF($A790="","",IF(C790="",0,C790))</f>
        <v/>
      </c>
      <c r="K790" s="71">
        <f>IF($A790="","",IF(E790="",0,E790))</f>
        <v/>
      </c>
      <c r="L790" s="70">
        <f>IF($A790="","",B790-D790)</f>
        <v/>
      </c>
      <c r="M790" s="71">
        <f>IF($A790="","",J790-K790)</f>
        <v/>
      </c>
      <c r="N790" s="71">
        <f>IF($A790="","",IF(G790="",0,G790))</f>
        <v/>
      </c>
      <c r="O790" s="70">
        <f>IF($A790="","",D790+F790)</f>
        <v/>
      </c>
      <c r="P790" s="71">
        <f>IF($A790="","",K790+N790)</f>
        <v/>
      </c>
      <c r="Q790" s="70">
        <f>IF($A790="","",I790+L790-F790)</f>
        <v/>
      </c>
      <c r="R790" s="72">
        <f>IF($A790="","",IF(H790="",Q790,H790))</f>
        <v/>
      </c>
      <c r="S790" s="73">
        <f>IF($A790="","",R790-Q790)</f>
        <v/>
      </c>
      <c r="T790" s="70">
        <f>IF($A790="","",SUMIFS($B$5:$B$800,$A$5:$A$800,"&gt;="&amp;DATE(YEAR($A790),MONTH($A790),1),$A$5:$A$800,"&lt;="&amp;$A790)+IF(AND(YEAR($A790)=YEAR(Settings!$B$3),MONTH($A790)=MONTH(Settings!$B$3)),Settings!$B$6,0))</f>
        <v/>
      </c>
      <c r="U790" s="71">
        <f>IF($A790="","",SUMIFS($J$5:$J$800,$A$5:$A$800,"&gt;="&amp;DATE(YEAR($A790),MONTH($A790),1),$A$5:$A$800,"&lt;="&amp;$A790)+IF(AND(YEAR($A790)=YEAR(Settings!$B$3),MONTH($A790)=MONTH(Settings!$B$3)),Settings!$B$7,0))</f>
        <v/>
      </c>
      <c r="V790" s="70">
        <f>IF($A790="","",Settings!$B$8+SUM($B$5:B790))</f>
        <v/>
      </c>
      <c r="W790" s="71">
        <f>IF($A790="","",Settings!$B$9+SUM($J$5:J790))</f>
        <v/>
      </c>
      <c r="X790" s="71">
        <f>IF($A790="","",IF(AND(N790&gt;0,F790&gt;0),ROUND(F790/N790,0),X789))</f>
        <v/>
      </c>
      <c r="Y790" s="74">
        <f>IF($A790="","",IF(AND(M790&gt;0,L790&gt;0),ROUND(L790/M790,0),IF(AND(J790&gt;0,B790&gt;0),ROUND(B790/J790,0),Y789)))</f>
        <v/>
      </c>
    </row>
    <row r="791">
      <c r="A791" s="67" t="n"/>
      <c r="B791" s="68" t="n"/>
      <c r="C791" s="69" t="n"/>
      <c r="D791" s="68" t="n"/>
      <c r="E791" s="69" t="n"/>
      <c r="F791" s="68" t="n"/>
      <c r="G791" s="69" t="n"/>
      <c r="H791" s="68" t="n"/>
      <c r="I791" s="70">
        <f>IF($A791="","",R790)</f>
        <v/>
      </c>
      <c r="J791" s="71">
        <f>IF($A791="","",IF(C791="",0,C791))</f>
        <v/>
      </c>
      <c r="K791" s="71">
        <f>IF($A791="","",IF(E791="",0,E791))</f>
        <v/>
      </c>
      <c r="L791" s="70">
        <f>IF($A791="","",B791-D791)</f>
        <v/>
      </c>
      <c r="M791" s="71">
        <f>IF($A791="","",J791-K791)</f>
        <v/>
      </c>
      <c r="N791" s="71">
        <f>IF($A791="","",IF(G791="",0,G791))</f>
        <v/>
      </c>
      <c r="O791" s="70">
        <f>IF($A791="","",D791+F791)</f>
        <v/>
      </c>
      <c r="P791" s="71">
        <f>IF($A791="","",K791+N791)</f>
        <v/>
      </c>
      <c r="Q791" s="70">
        <f>IF($A791="","",I791+L791-F791)</f>
        <v/>
      </c>
      <c r="R791" s="72">
        <f>IF($A791="","",IF(H791="",Q791,H791))</f>
        <v/>
      </c>
      <c r="S791" s="73">
        <f>IF($A791="","",R791-Q791)</f>
        <v/>
      </c>
      <c r="T791" s="70">
        <f>IF($A791="","",SUMIFS($B$5:$B$800,$A$5:$A$800,"&gt;="&amp;DATE(YEAR($A791),MONTH($A791),1),$A$5:$A$800,"&lt;="&amp;$A791)+IF(AND(YEAR($A791)=YEAR(Settings!$B$3),MONTH($A791)=MONTH(Settings!$B$3)),Settings!$B$6,0))</f>
        <v/>
      </c>
      <c r="U791" s="71">
        <f>IF($A791="","",SUMIFS($J$5:$J$800,$A$5:$A$800,"&gt;="&amp;DATE(YEAR($A791),MONTH($A791),1),$A$5:$A$800,"&lt;="&amp;$A791)+IF(AND(YEAR($A791)=YEAR(Settings!$B$3),MONTH($A791)=MONTH(Settings!$B$3)),Settings!$B$7,0))</f>
        <v/>
      </c>
      <c r="V791" s="70">
        <f>IF($A791="","",Settings!$B$8+SUM($B$5:B791))</f>
        <v/>
      </c>
      <c r="W791" s="71">
        <f>IF($A791="","",Settings!$B$9+SUM($J$5:J791))</f>
        <v/>
      </c>
      <c r="X791" s="71">
        <f>IF($A791="","",IF(AND(N791&gt;0,F791&gt;0),ROUND(F791/N791,0),X790))</f>
        <v/>
      </c>
      <c r="Y791" s="74">
        <f>IF($A791="","",IF(AND(M791&gt;0,L791&gt;0),ROUND(L791/M791,0),IF(AND(J791&gt;0,B791&gt;0),ROUND(B791/J791,0),Y790)))</f>
        <v/>
      </c>
    </row>
    <row r="792">
      <c r="A792" s="67" t="n"/>
      <c r="B792" s="68" t="n"/>
      <c r="C792" s="69" t="n"/>
      <c r="D792" s="68" t="n"/>
      <c r="E792" s="69" t="n"/>
      <c r="F792" s="68" t="n"/>
      <c r="G792" s="69" t="n"/>
      <c r="H792" s="68" t="n"/>
      <c r="I792" s="70">
        <f>IF($A792="","",R791)</f>
        <v/>
      </c>
      <c r="J792" s="71">
        <f>IF($A792="","",IF(C792="",0,C792))</f>
        <v/>
      </c>
      <c r="K792" s="71">
        <f>IF($A792="","",IF(E792="",0,E792))</f>
        <v/>
      </c>
      <c r="L792" s="70">
        <f>IF($A792="","",B792-D792)</f>
        <v/>
      </c>
      <c r="M792" s="71">
        <f>IF($A792="","",J792-K792)</f>
        <v/>
      </c>
      <c r="N792" s="71">
        <f>IF($A792="","",IF(G792="",0,G792))</f>
        <v/>
      </c>
      <c r="O792" s="70">
        <f>IF($A792="","",D792+F792)</f>
        <v/>
      </c>
      <c r="P792" s="71">
        <f>IF($A792="","",K792+N792)</f>
        <v/>
      </c>
      <c r="Q792" s="70">
        <f>IF($A792="","",I792+L792-F792)</f>
        <v/>
      </c>
      <c r="R792" s="72">
        <f>IF($A792="","",IF(H792="",Q792,H792))</f>
        <v/>
      </c>
      <c r="S792" s="73">
        <f>IF($A792="","",R792-Q792)</f>
        <v/>
      </c>
      <c r="T792" s="70">
        <f>IF($A792="","",SUMIFS($B$5:$B$800,$A$5:$A$800,"&gt;="&amp;DATE(YEAR($A792),MONTH($A792),1),$A$5:$A$800,"&lt;="&amp;$A792)+IF(AND(YEAR($A792)=YEAR(Settings!$B$3),MONTH($A792)=MONTH(Settings!$B$3)),Settings!$B$6,0))</f>
        <v/>
      </c>
      <c r="U792" s="71">
        <f>IF($A792="","",SUMIFS($J$5:$J$800,$A$5:$A$800,"&gt;="&amp;DATE(YEAR($A792),MONTH($A792),1),$A$5:$A$800,"&lt;="&amp;$A792)+IF(AND(YEAR($A792)=YEAR(Settings!$B$3),MONTH($A792)=MONTH(Settings!$B$3)),Settings!$B$7,0))</f>
        <v/>
      </c>
      <c r="V792" s="70">
        <f>IF($A792="","",Settings!$B$8+SUM($B$5:B792))</f>
        <v/>
      </c>
      <c r="W792" s="71">
        <f>IF($A792="","",Settings!$B$9+SUM($J$5:J792))</f>
        <v/>
      </c>
      <c r="X792" s="71">
        <f>IF($A792="","",IF(AND(N792&gt;0,F792&gt;0),ROUND(F792/N792,0),X791))</f>
        <v/>
      </c>
      <c r="Y792" s="74">
        <f>IF($A792="","",IF(AND(M792&gt;0,L792&gt;0),ROUND(L792/M792,0),IF(AND(J792&gt;0,B792&gt;0),ROUND(B792/J792,0),Y791)))</f>
        <v/>
      </c>
    </row>
    <row r="793">
      <c r="A793" s="67" t="n"/>
      <c r="B793" s="68" t="n"/>
      <c r="C793" s="69" t="n"/>
      <c r="D793" s="68" t="n"/>
      <c r="E793" s="69" t="n"/>
      <c r="F793" s="68" t="n"/>
      <c r="G793" s="69" t="n"/>
      <c r="H793" s="68" t="n"/>
      <c r="I793" s="70">
        <f>IF($A793="","",R792)</f>
        <v/>
      </c>
      <c r="J793" s="71">
        <f>IF($A793="","",IF(C793="",0,C793))</f>
        <v/>
      </c>
      <c r="K793" s="71">
        <f>IF($A793="","",IF(E793="",0,E793))</f>
        <v/>
      </c>
      <c r="L793" s="70">
        <f>IF($A793="","",B793-D793)</f>
        <v/>
      </c>
      <c r="M793" s="71">
        <f>IF($A793="","",J793-K793)</f>
        <v/>
      </c>
      <c r="N793" s="71">
        <f>IF($A793="","",IF(G793="",0,G793))</f>
        <v/>
      </c>
      <c r="O793" s="70">
        <f>IF($A793="","",D793+F793)</f>
        <v/>
      </c>
      <c r="P793" s="71">
        <f>IF($A793="","",K793+N793)</f>
        <v/>
      </c>
      <c r="Q793" s="70">
        <f>IF($A793="","",I793+L793-F793)</f>
        <v/>
      </c>
      <c r="R793" s="72">
        <f>IF($A793="","",IF(H793="",Q793,H793))</f>
        <v/>
      </c>
      <c r="S793" s="73">
        <f>IF($A793="","",R793-Q793)</f>
        <v/>
      </c>
      <c r="T793" s="70">
        <f>IF($A793="","",SUMIFS($B$5:$B$800,$A$5:$A$800,"&gt;="&amp;DATE(YEAR($A793),MONTH($A793),1),$A$5:$A$800,"&lt;="&amp;$A793)+IF(AND(YEAR($A793)=YEAR(Settings!$B$3),MONTH($A793)=MONTH(Settings!$B$3)),Settings!$B$6,0))</f>
        <v/>
      </c>
      <c r="U793" s="71">
        <f>IF($A793="","",SUMIFS($J$5:$J$800,$A$5:$A$800,"&gt;="&amp;DATE(YEAR($A793),MONTH($A793),1),$A$5:$A$800,"&lt;="&amp;$A793)+IF(AND(YEAR($A793)=YEAR(Settings!$B$3),MONTH($A793)=MONTH(Settings!$B$3)),Settings!$B$7,0))</f>
        <v/>
      </c>
      <c r="V793" s="70">
        <f>IF($A793="","",Settings!$B$8+SUM($B$5:B793))</f>
        <v/>
      </c>
      <c r="W793" s="71">
        <f>IF($A793="","",Settings!$B$9+SUM($J$5:J793))</f>
        <v/>
      </c>
      <c r="X793" s="71">
        <f>IF($A793="","",IF(AND(N793&gt;0,F793&gt;0),ROUND(F793/N793,0),X792))</f>
        <v/>
      </c>
      <c r="Y793" s="74">
        <f>IF($A793="","",IF(AND(M793&gt;0,L793&gt;0),ROUND(L793/M793,0),IF(AND(J793&gt;0,B793&gt;0),ROUND(B793/J793,0),Y792)))</f>
        <v/>
      </c>
    </row>
    <row r="794">
      <c r="A794" s="67" t="n"/>
      <c r="B794" s="68" t="n"/>
      <c r="C794" s="69" t="n"/>
      <c r="D794" s="68" t="n"/>
      <c r="E794" s="69" t="n"/>
      <c r="F794" s="68" t="n"/>
      <c r="G794" s="69" t="n"/>
      <c r="H794" s="68" t="n"/>
      <c r="I794" s="70">
        <f>IF($A794="","",R793)</f>
        <v/>
      </c>
      <c r="J794" s="71">
        <f>IF($A794="","",IF(C794="",0,C794))</f>
        <v/>
      </c>
      <c r="K794" s="71">
        <f>IF($A794="","",IF(E794="",0,E794))</f>
        <v/>
      </c>
      <c r="L794" s="70">
        <f>IF($A794="","",B794-D794)</f>
        <v/>
      </c>
      <c r="M794" s="71">
        <f>IF($A794="","",J794-K794)</f>
        <v/>
      </c>
      <c r="N794" s="71">
        <f>IF($A794="","",IF(G794="",0,G794))</f>
        <v/>
      </c>
      <c r="O794" s="70">
        <f>IF($A794="","",D794+F794)</f>
        <v/>
      </c>
      <c r="P794" s="71">
        <f>IF($A794="","",K794+N794)</f>
        <v/>
      </c>
      <c r="Q794" s="70">
        <f>IF($A794="","",I794+L794-F794)</f>
        <v/>
      </c>
      <c r="R794" s="72">
        <f>IF($A794="","",IF(H794="",Q794,H794))</f>
        <v/>
      </c>
      <c r="S794" s="73">
        <f>IF($A794="","",R794-Q794)</f>
        <v/>
      </c>
      <c r="T794" s="70">
        <f>IF($A794="","",SUMIFS($B$5:$B$800,$A$5:$A$800,"&gt;="&amp;DATE(YEAR($A794),MONTH($A794),1),$A$5:$A$800,"&lt;="&amp;$A794)+IF(AND(YEAR($A794)=YEAR(Settings!$B$3),MONTH($A794)=MONTH(Settings!$B$3)),Settings!$B$6,0))</f>
        <v/>
      </c>
      <c r="U794" s="71">
        <f>IF($A794="","",SUMIFS($J$5:$J$800,$A$5:$A$800,"&gt;="&amp;DATE(YEAR($A794),MONTH($A794),1),$A$5:$A$800,"&lt;="&amp;$A794)+IF(AND(YEAR($A794)=YEAR(Settings!$B$3),MONTH($A794)=MONTH(Settings!$B$3)),Settings!$B$7,0))</f>
        <v/>
      </c>
      <c r="V794" s="70">
        <f>IF($A794="","",Settings!$B$8+SUM($B$5:B794))</f>
        <v/>
      </c>
      <c r="W794" s="71">
        <f>IF($A794="","",Settings!$B$9+SUM($J$5:J794))</f>
        <v/>
      </c>
      <c r="X794" s="71">
        <f>IF($A794="","",IF(AND(N794&gt;0,F794&gt;0),ROUND(F794/N794,0),X793))</f>
        <v/>
      </c>
      <c r="Y794" s="74">
        <f>IF($A794="","",IF(AND(M794&gt;0,L794&gt;0),ROUND(L794/M794,0),IF(AND(J794&gt;0,B794&gt;0),ROUND(B794/J794,0),Y793)))</f>
        <v/>
      </c>
    </row>
    <row r="795">
      <c r="A795" s="67" t="n"/>
      <c r="B795" s="68" t="n"/>
      <c r="C795" s="69" t="n"/>
      <c r="D795" s="68" t="n"/>
      <c r="E795" s="69" t="n"/>
      <c r="F795" s="68" t="n"/>
      <c r="G795" s="69" t="n"/>
      <c r="H795" s="68" t="n"/>
      <c r="I795" s="70">
        <f>IF($A795="","",R794)</f>
        <v/>
      </c>
      <c r="J795" s="71">
        <f>IF($A795="","",IF(C795="",0,C795))</f>
        <v/>
      </c>
      <c r="K795" s="71">
        <f>IF($A795="","",IF(E795="",0,E795))</f>
        <v/>
      </c>
      <c r="L795" s="70">
        <f>IF($A795="","",B795-D795)</f>
        <v/>
      </c>
      <c r="M795" s="71">
        <f>IF($A795="","",J795-K795)</f>
        <v/>
      </c>
      <c r="N795" s="71">
        <f>IF($A795="","",IF(G795="",0,G795))</f>
        <v/>
      </c>
      <c r="O795" s="70">
        <f>IF($A795="","",D795+F795)</f>
        <v/>
      </c>
      <c r="P795" s="71">
        <f>IF($A795="","",K795+N795)</f>
        <v/>
      </c>
      <c r="Q795" s="70">
        <f>IF($A795="","",I795+L795-F795)</f>
        <v/>
      </c>
      <c r="R795" s="72">
        <f>IF($A795="","",IF(H795="",Q795,H795))</f>
        <v/>
      </c>
      <c r="S795" s="73">
        <f>IF($A795="","",R795-Q795)</f>
        <v/>
      </c>
      <c r="T795" s="70">
        <f>IF($A795="","",SUMIFS($B$5:$B$800,$A$5:$A$800,"&gt;="&amp;DATE(YEAR($A795),MONTH($A795),1),$A$5:$A$800,"&lt;="&amp;$A795)+IF(AND(YEAR($A795)=YEAR(Settings!$B$3),MONTH($A795)=MONTH(Settings!$B$3)),Settings!$B$6,0))</f>
        <v/>
      </c>
      <c r="U795" s="71">
        <f>IF($A795="","",SUMIFS($J$5:$J$800,$A$5:$A$800,"&gt;="&amp;DATE(YEAR($A795),MONTH($A795),1),$A$5:$A$800,"&lt;="&amp;$A795)+IF(AND(YEAR($A795)=YEAR(Settings!$B$3),MONTH($A795)=MONTH(Settings!$B$3)),Settings!$B$7,0))</f>
        <v/>
      </c>
      <c r="V795" s="70">
        <f>IF($A795="","",Settings!$B$8+SUM($B$5:B795))</f>
        <v/>
      </c>
      <c r="W795" s="71">
        <f>IF($A795="","",Settings!$B$9+SUM($J$5:J795))</f>
        <v/>
      </c>
      <c r="X795" s="71">
        <f>IF($A795="","",IF(AND(N795&gt;0,F795&gt;0),ROUND(F795/N795,0),X794))</f>
        <v/>
      </c>
      <c r="Y795" s="74">
        <f>IF($A795="","",IF(AND(M795&gt;0,L795&gt;0),ROUND(L795/M795,0),IF(AND(J795&gt;0,B795&gt;0),ROUND(B795/J795,0),Y794)))</f>
        <v/>
      </c>
    </row>
    <row r="796">
      <c r="A796" s="67" t="n"/>
      <c r="B796" s="68" t="n"/>
      <c r="C796" s="69" t="n"/>
      <c r="D796" s="68" t="n"/>
      <c r="E796" s="69" t="n"/>
      <c r="F796" s="68" t="n"/>
      <c r="G796" s="69" t="n"/>
      <c r="H796" s="68" t="n"/>
      <c r="I796" s="70">
        <f>IF($A796="","",R795)</f>
        <v/>
      </c>
      <c r="J796" s="71">
        <f>IF($A796="","",IF(C796="",0,C796))</f>
        <v/>
      </c>
      <c r="K796" s="71">
        <f>IF($A796="","",IF(E796="",0,E796))</f>
        <v/>
      </c>
      <c r="L796" s="70">
        <f>IF($A796="","",B796-D796)</f>
        <v/>
      </c>
      <c r="M796" s="71">
        <f>IF($A796="","",J796-K796)</f>
        <v/>
      </c>
      <c r="N796" s="71">
        <f>IF($A796="","",IF(G796="",0,G796))</f>
        <v/>
      </c>
      <c r="O796" s="70">
        <f>IF($A796="","",D796+F796)</f>
        <v/>
      </c>
      <c r="P796" s="71">
        <f>IF($A796="","",K796+N796)</f>
        <v/>
      </c>
      <c r="Q796" s="70">
        <f>IF($A796="","",I796+L796-F796)</f>
        <v/>
      </c>
      <c r="R796" s="72">
        <f>IF($A796="","",IF(H796="",Q796,H796))</f>
        <v/>
      </c>
      <c r="S796" s="73">
        <f>IF($A796="","",R796-Q796)</f>
        <v/>
      </c>
      <c r="T796" s="70">
        <f>IF($A796="","",SUMIFS($B$5:$B$800,$A$5:$A$800,"&gt;="&amp;DATE(YEAR($A796),MONTH($A796),1),$A$5:$A$800,"&lt;="&amp;$A796)+IF(AND(YEAR($A796)=YEAR(Settings!$B$3),MONTH($A796)=MONTH(Settings!$B$3)),Settings!$B$6,0))</f>
        <v/>
      </c>
      <c r="U796" s="71">
        <f>IF($A796="","",SUMIFS($J$5:$J$800,$A$5:$A$800,"&gt;="&amp;DATE(YEAR($A796),MONTH($A796),1),$A$5:$A$800,"&lt;="&amp;$A796)+IF(AND(YEAR($A796)=YEAR(Settings!$B$3),MONTH($A796)=MONTH(Settings!$B$3)),Settings!$B$7,0))</f>
        <v/>
      </c>
      <c r="V796" s="70">
        <f>IF($A796="","",Settings!$B$8+SUM($B$5:B796))</f>
        <v/>
      </c>
      <c r="W796" s="71">
        <f>IF($A796="","",Settings!$B$9+SUM($J$5:J796))</f>
        <v/>
      </c>
      <c r="X796" s="71">
        <f>IF($A796="","",IF(AND(N796&gt;0,F796&gt;0),ROUND(F796/N796,0),X795))</f>
        <v/>
      </c>
      <c r="Y796" s="74">
        <f>IF($A796="","",IF(AND(M796&gt;0,L796&gt;0),ROUND(L796/M796,0),IF(AND(J796&gt;0,B796&gt;0),ROUND(B796/J796,0),Y795)))</f>
        <v/>
      </c>
    </row>
    <row r="797">
      <c r="A797" s="67" t="n"/>
      <c r="B797" s="68" t="n"/>
      <c r="C797" s="69" t="n"/>
      <c r="D797" s="68" t="n"/>
      <c r="E797" s="69" t="n"/>
      <c r="F797" s="68" t="n"/>
      <c r="G797" s="69" t="n"/>
      <c r="H797" s="68" t="n"/>
      <c r="I797" s="70">
        <f>IF($A797="","",R796)</f>
        <v/>
      </c>
      <c r="J797" s="71">
        <f>IF($A797="","",IF(C797="",0,C797))</f>
        <v/>
      </c>
      <c r="K797" s="71">
        <f>IF($A797="","",IF(E797="",0,E797))</f>
        <v/>
      </c>
      <c r="L797" s="70">
        <f>IF($A797="","",B797-D797)</f>
        <v/>
      </c>
      <c r="M797" s="71">
        <f>IF($A797="","",J797-K797)</f>
        <v/>
      </c>
      <c r="N797" s="71">
        <f>IF($A797="","",IF(G797="",0,G797))</f>
        <v/>
      </c>
      <c r="O797" s="70">
        <f>IF($A797="","",D797+F797)</f>
        <v/>
      </c>
      <c r="P797" s="71">
        <f>IF($A797="","",K797+N797)</f>
        <v/>
      </c>
      <c r="Q797" s="70">
        <f>IF($A797="","",I797+L797-F797)</f>
        <v/>
      </c>
      <c r="R797" s="72">
        <f>IF($A797="","",IF(H797="",Q797,H797))</f>
        <v/>
      </c>
      <c r="S797" s="73">
        <f>IF($A797="","",R797-Q797)</f>
        <v/>
      </c>
      <c r="T797" s="70">
        <f>IF($A797="","",SUMIFS($B$5:$B$800,$A$5:$A$800,"&gt;="&amp;DATE(YEAR($A797),MONTH($A797),1),$A$5:$A$800,"&lt;="&amp;$A797)+IF(AND(YEAR($A797)=YEAR(Settings!$B$3),MONTH($A797)=MONTH(Settings!$B$3)),Settings!$B$6,0))</f>
        <v/>
      </c>
      <c r="U797" s="71">
        <f>IF($A797="","",SUMIFS($J$5:$J$800,$A$5:$A$800,"&gt;="&amp;DATE(YEAR($A797),MONTH($A797),1),$A$5:$A$800,"&lt;="&amp;$A797)+IF(AND(YEAR($A797)=YEAR(Settings!$B$3),MONTH($A797)=MONTH(Settings!$B$3)),Settings!$B$7,0))</f>
        <v/>
      </c>
      <c r="V797" s="70">
        <f>IF($A797="","",Settings!$B$8+SUM($B$5:B797))</f>
        <v/>
      </c>
      <c r="W797" s="71">
        <f>IF($A797="","",Settings!$B$9+SUM($J$5:J797))</f>
        <v/>
      </c>
      <c r="X797" s="71">
        <f>IF($A797="","",IF(AND(N797&gt;0,F797&gt;0),ROUND(F797/N797,0),X796))</f>
        <v/>
      </c>
      <c r="Y797" s="74">
        <f>IF($A797="","",IF(AND(M797&gt;0,L797&gt;0),ROUND(L797/M797,0),IF(AND(J797&gt;0,B797&gt;0),ROUND(B797/J797,0),Y796)))</f>
        <v/>
      </c>
    </row>
    <row r="798">
      <c r="A798" s="67" t="n"/>
      <c r="B798" s="68" t="n"/>
      <c r="C798" s="69" t="n"/>
      <c r="D798" s="68" t="n"/>
      <c r="E798" s="69" t="n"/>
      <c r="F798" s="68" t="n"/>
      <c r="G798" s="69" t="n"/>
      <c r="H798" s="68" t="n"/>
      <c r="I798" s="70">
        <f>IF($A798="","",R797)</f>
        <v/>
      </c>
      <c r="J798" s="71">
        <f>IF($A798="","",IF(C798="",0,C798))</f>
        <v/>
      </c>
      <c r="K798" s="71">
        <f>IF($A798="","",IF(E798="",0,E798))</f>
        <v/>
      </c>
      <c r="L798" s="70">
        <f>IF($A798="","",B798-D798)</f>
        <v/>
      </c>
      <c r="M798" s="71">
        <f>IF($A798="","",J798-K798)</f>
        <v/>
      </c>
      <c r="N798" s="71">
        <f>IF($A798="","",IF(G798="",0,G798))</f>
        <v/>
      </c>
      <c r="O798" s="70">
        <f>IF($A798="","",D798+F798)</f>
        <v/>
      </c>
      <c r="P798" s="71">
        <f>IF($A798="","",K798+N798)</f>
        <v/>
      </c>
      <c r="Q798" s="70">
        <f>IF($A798="","",I798+L798-F798)</f>
        <v/>
      </c>
      <c r="R798" s="72">
        <f>IF($A798="","",IF(H798="",Q798,H798))</f>
        <v/>
      </c>
      <c r="S798" s="73">
        <f>IF($A798="","",R798-Q798)</f>
        <v/>
      </c>
      <c r="T798" s="70">
        <f>IF($A798="","",SUMIFS($B$5:$B$800,$A$5:$A$800,"&gt;="&amp;DATE(YEAR($A798),MONTH($A798),1),$A$5:$A$800,"&lt;="&amp;$A798)+IF(AND(YEAR($A798)=YEAR(Settings!$B$3),MONTH($A798)=MONTH(Settings!$B$3)),Settings!$B$6,0))</f>
        <v/>
      </c>
      <c r="U798" s="71">
        <f>IF($A798="","",SUMIFS($J$5:$J$800,$A$5:$A$800,"&gt;="&amp;DATE(YEAR($A798),MONTH($A798),1),$A$5:$A$800,"&lt;="&amp;$A798)+IF(AND(YEAR($A798)=YEAR(Settings!$B$3),MONTH($A798)=MONTH(Settings!$B$3)),Settings!$B$7,0))</f>
        <v/>
      </c>
      <c r="V798" s="70">
        <f>IF($A798="","",Settings!$B$8+SUM($B$5:B798))</f>
        <v/>
      </c>
      <c r="W798" s="71">
        <f>IF($A798="","",Settings!$B$9+SUM($J$5:J798))</f>
        <v/>
      </c>
      <c r="X798" s="71">
        <f>IF($A798="","",IF(AND(N798&gt;0,F798&gt;0),ROUND(F798/N798,0),X797))</f>
        <v/>
      </c>
      <c r="Y798" s="74">
        <f>IF($A798="","",IF(AND(M798&gt;0,L798&gt;0),ROUND(L798/M798,0),IF(AND(J798&gt;0,B798&gt;0),ROUND(B798/J798,0),Y797)))</f>
        <v/>
      </c>
    </row>
    <row r="799">
      <c r="A799" s="67" t="n"/>
      <c r="B799" s="68" t="n"/>
      <c r="C799" s="69" t="n"/>
      <c r="D799" s="68" t="n"/>
      <c r="E799" s="69" t="n"/>
      <c r="F799" s="68" t="n"/>
      <c r="G799" s="69" t="n"/>
      <c r="H799" s="68" t="n"/>
      <c r="I799" s="70">
        <f>IF($A799="","",R798)</f>
        <v/>
      </c>
      <c r="J799" s="71">
        <f>IF($A799="","",IF(C799="",0,C799))</f>
        <v/>
      </c>
      <c r="K799" s="71">
        <f>IF($A799="","",IF(E799="",0,E799))</f>
        <v/>
      </c>
      <c r="L799" s="70">
        <f>IF($A799="","",B799-D799)</f>
        <v/>
      </c>
      <c r="M799" s="71">
        <f>IF($A799="","",J799-K799)</f>
        <v/>
      </c>
      <c r="N799" s="71">
        <f>IF($A799="","",IF(G799="",0,G799))</f>
        <v/>
      </c>
      <c r="O799" s="70">
        <f>IF($A799="","",D799+F799)</f>
        <v/>
      </c>
      <c r="P799" s="71">
        <f>IF($A799="","",K799+N799)</f>
        <v/>
      </c>
      <c r="Q799" s="70">
        <f>IF($A799="","",I799+L799-F799)</f>
        <v/>
      </c>
      <c r="R799" s="72">
        <f>IF($A799="","",IF(H799="",Q799,H799))</f>
        <v/>
      </c>
      <c r="S799" s="73">
        <f>IF($A799="","",R799-Q799)</f>
        <v/>
      </c>
      <c r="T799" s="70">
        <f>IF($A799="","",SUMIFS($B$5:$B$800,$A$5:$A$800,"&gt;="&amp;DATE(YEAR($A799),MONTH($A799),1),$A$5:$A$800,"&lt;="&amp;$A799)+IF(AND(YEAR($A799)=YEAR(Settings!$B$3),MONTH($A799)=MONTH(Settings!$B$3)),Settings!$B$6,0))</f>
        <v/>
      </c>
      <c r="U799" s="71">
        <f>IF($A799="","",SUMIFS($J$5:$J$800,$A$5:$A$800,"&gt;="&amp;DATE(YEAR($A799),MONTH($A799),1),$A$5:$A$800,"&lt;="&amp;$A799)+IF(AND(YEAR($A799)=YEAR(Settings!$B$3),MONTH($A799)=MONTH(Settings!$B$3)),Settings!$B$7,0))</f>
        <v/>
      </c>
      <c r="V799" s="70">
        <f>IF($A799="","",Settings!$B$8+SUM($B$5:B799))</f>
        <v/>
      </c>
      <c r="W799" s="71">
        <f>IF($A799="","",Settings!$B$9+SUM($J$5:J799))</f>
        <v/>
      </c>
      <c r="X799" s="71">
        <f>IF($A799="","",IF(AND(N799&gt;0,F799&gt;0),ROUND(F799/N799,0),X798))</f>
        <v/>
      </c>
      <c r="Y799" s="74">
        <f>IF($A799="","",IF(AND(M799&gt;0,L799&gt;0),ROUND(L799/M799,0),IF(AND(J799&gt;0,B799&gt;0),ROUND(B799/J799,0),Y798)))</f>
        <v/>
      </c>
    </row>
    <row r="800">
      <c r="A800" s="67" t="n"/>
      <c r="B800" s="68" t="n"/>
      <c r="C800" s="69" t="n"/>
      <c r="D800" s="68" t="n"/>
      <c r="E800" s="69" t="n"/>
      <c r="F800" s="68" t="n"/>
      <c r="G800" s="69" t="n"/>
      <c r="H800" s="68" t="n"/>
      <c r="I800" s="70">
        <f>IF($A800="","",R799)</f>
        <v/>
      </c>
      <c r="J800" s="71">
        <f>IF($A800="","",IF(C800="",0,C800))</f>
        <v/>
      </c>
      <c r="K800" s="71">
        <f>IF($A800="","",IF(E800="",0,E800))</f>
        <v/>
      </c>
      <c r="L800" s="70">
        <f>IF($A800="","",B800-D800)</f>
        <v/>
      </c>
      <c r="M800" s="71">
        <f>IF($A800="","",J800-K800)</f>
        <v/>
      </c>
      <c r="N800" s="71">
        <f>IF($A800="","",IF(G800="",0,G800))</f>
        <v/>
      </c>
      <c r="O800" s="70">
        <f>IF($A800="","",D800+F800)</f>
        <v/>
      </c>
      <c r="P800" s="71">
        <f>IF($A800="","",K800+N800)</f>
        <v/>
      </c>
      <c r="Q800" s="70">
        <f>IF($A800="","",I800+L800-F800)</f>
        <v/>
      </c>
      <c r="R800" s="72">
        <f>IF($A800="","",IF(H800="",Q800,H800))</f>
        <v/>
      </c>
      <c r="S800" s="73">
        <f>IF($A800="","",R800-Q800)</f>
        <v/>
      </c>
      <c r="T800" s="70">
        <f>IF($A800="","",SUMIFS($B$5:$B$800,$A$5:$A$800,"&gt;="&amp;DATE(YEAR($A800),MONTH($A800),1),$A$5:$A$800,"&lt;="&amp;$A800)+IF(AND(YEAR($A800)=YEAR(Settings!$B$3),MONTH($A800)=MONTH(Settings!$B$3)),Settings!$B$6,0))</f>
        <v/>
      </c>
      <c r="U800" s="71">
        <f>IF($A800="","",SUMIFS($J$5:$J$800,$A$5:$A$800,"&gt;="&amp;DATE(YEAR($A800),MONTH($A800),1),$A$5:$A$800,"&lt;="&amp;$A800)+IF(AND(YEAR($A800)=YEAR(Settings!$B$3),MONTH($A800)=MONTH(Settings!$B$3)),Settings!$B$7,0))</f>
        <v/>
      </c>
      <c r="V800" s="70">
        <f>IF($A800="","",Settings!$B$8+SUM($B$5:B800))</f>
        <v/>
      </c>
      <c r="W800" s="71">
        <f>IF($A800="","",Settings!$B$9+SUM($J$5:J800))</f>
        <v/>
      </c>
      <c r="X800" s="71">
        <f>IF($A800="","",IF(AND(N800&gt;0,F800&gt;0),ROUND(F800/N800,0),X799))</f>
        <v/>
      </c>
      <c r="Y800" s="74">
        <f>IF($A800="","",IF(AND(M800&gt;0,L800&gt;0),ROUND(L800/M800,0),IF(AND(J800&gt;0,B800&gt;0),ROUND(B800/J800,0),Y799)))</f>
        <v/>
      </c>
    </row>
  </sheetData>
  <mergeCells count="4">
    <mergeCell ref="B3:H3"/>
    <mergeCell ref="X3:Y3"/>
    <mergeCell ref="I3:S3"/>
    <mergeCell ref="T3:W3"/>
  </mergeCells>
  <conditionalFormatting sqref="R5:R800">
    <cfRule type="expression" priority="1" dxfId="0">
      <formula>AND(R5&lt;&gt;"",R5&lt;0)</formula>
    </cfRule>
  </conditionalFormatting>
  <conditionalFormatting sqref="Q5:Q800">
    <cfRule type="expression" priority="2" dxfId="1">
      <formula>AND(Q5&lt;&gt;"",Q5&lt;0)</formula>
    </cfRule>
  </conditionalFormatting>
  <conditionalFormatting sqref="L5:L800">
    <cfRule type="expression" priority="3" dxfId="1">
      <formula>AND(L5&lt;&gt;"",L5&lt;0)</formula>
    </cfRule>
  </conditionalFormatting>
  <conditionalFormatting sqref="S5:S800">
    <cfRule type="expression" priority="4" dxfId="2">
      <formula>AND(S5&lt;&gt;"",ABS(S5)&gt;0.0005)</formula>
    </cfRule>
  </conditionalFormatting>
  <dataValidations count="2">
    <dataValidation sqref="A5:A800" showDropDown="0" showInputMessage="0" showErrorMessage="1" allowBlank="0" error="Enter a valid date" type="date" operator="greaterThan">
      <formula1>DATE(2000,1,1)</formula1>
    </dataValidation>
    <dataValidation sqref="B5:H800" showDropDown="0" showInputMessage="0" showErrorMessage="1" allowBlank="0" error="Enter a number ≥ 0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0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1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5" customWidth="1" min="10" max="10"/>
    <col width="11" customWidth="1" min="11" max="11"/>
    <col width="15" customWidth="1" min="12" max="12"/>
    <col width="11" customWidth="1" min="13" max="13"/>
    <col width="13" customWidth="1" min="14" max="14"/>
    <col width="11" customWidth="1" min="15" max="15"/>
    <col width="13" customWidth="1" min="16" max="16"/>
    <col width="11" customWidth="1" min="17" max="17"/>
    <col width="14" customWidth="1" min="18" max="18"/>
    <col width="11" customWidth="1" min="19" max="19"/>
  </cols>
  <sheetData>
    <row r="1">
      <c r="A1" s="60" t="inlineStr">
        <is>
          <t>BLOCK 2 – TODAY'S DISPATCH  +  BLOCK 3 – MONTHLY DISPATCH STATUS (one row per day)</t>
        </is>
      </c>
    </row>
    <row r="2">
      <c r="A2" s="61" t="inlineStr">
        <is>
          <t>Type only the yellow columns: Date, and MT + Trips for each material. Blank or 0 = NIL.</t>
        </is>
      </c>
    </row>
    <row r="3">
      <c r="B3" s="62" t="inlineStr">
        <is>
          <t>TODAY'S DISPATCH – YOU TYPE</t>
        </is>
      </c>
      <c r="J3" s="63" t="inlineStr">
        <is>
          <t>TODAY'S TOTALS</t>
        </is>
      </c>
      <c r="N3" s="64" t="inlineStr">
        <is>
          <t>MONTHLY DISPATCH STATUS (month to date)</t>
        </is>
      </c>
    </row>
    <row r="4" ht="58" customHeight="1">
      <c r="A4" s="66" t="inlineStr">
        <is>
          <t>Date</t>
        </is>
      </c>
      <c r="B4" s="66" t="inlineStr">
        <is>
          <t>10 MM
Aggregate
MT</t>
        </is>
      </c>
      <c r="C4" s="66" t="inlineStr">
        <is>
          <t>10 MM
Trips</t>
        </is>
      </c>
      <c r="D4" s="66" t="inlineStr">
        <is>
          <t>20 MM
Aggregate
MT</t>
        </is>
      </c>
      <c r="E4" s="66" t="inlineStr">
        <is>
          <t>20 MM
Trips</t>
        </is>
      </c>
      <c r="F4" s="66" t="inlineStr">
        <is>
          <t>30 MM
Aggregate
MT</t>
        </is>
      </c>
      <c r="G4" s="66" t="inlineStr">
        <is>
          <t>30 MM
Trips</t>
        </is>
      </c>
      <c r="H4" s="66" t="inlineStr">
        <is>
          <t>M-Sand
MT</t>
        </is>
      </c>
      <c r="I4" s="66" t="inlineStr">
        <is>
          <t>M-Sand
Trips</t>
        </is>
      </c>
      <c r="J4" s="66" t="inlineStr">
        <is>
          <t>Total Aggregate
Dispatch
MT</t>
        </is>
      </c>
      <c r="K4" s="66" t="inlineStr">
        <is>
          <t>Total Aggregate
Trips</t>
        </is>
      </c>
      <c r="L4" s="66" t="inlineStr">
        <is>
          <t>Total Dispatch
All Material
MT</t>
        </is>
      </c>
      <c r="M4" s="66" t="inlineStr">
        <is>
          <t>Total Dispatch
Trips</t>
        </is>
      </c>
      <c r="N4" s="66" t="inlineStr">
        <is>
          <t>Aggregate
This Month
MT</t>
        </is>
      </c>
      <c r="O4" s="66" t="inlineStr">
        <is>
          <t>Aggregate
This Month
Trips</t>
        </is>
      </c>
      <c r="P4" s="66" t="inlineStr">
        <is>
          <t>M-Sand
This Month
MT</t>
        </is>
      </c>
      <c r="Q4" s="66" t="inlineStr">
        <is>
          <t>M-Sand
This Month
Trips</t>
        </is>
      </c>
      <c r="R4" s="66" t="inlineStr">
        <is>
          <t>All Material
This Month
MT</t>
        </is>
      </c>
      <c r="S4" s="66" t="inlineStr">
        <is>
          <t>All Material
This Month
Trips</t>
        </is>
      </c>
    </row>
    <row r="5">
      <c r="A5" s="67" t="n"/>
      <c r="B5" s="75" t="n"/>
      <c r="C5" s="76" t="n"/>
      <c r="D5" s="75" t="n"/>
      <c r="E5" s="76" t="n"/>
      <c r="F5" s="75" t="n"/>
      <c r="G5" s="76" t="n"/>
      <c r="H5" s="75" t="n"/>
      <c r="I5" s="76" t="n"/>
      <c r="J5" s="77">
        <f>IF($A5="","",B5+D5+F5)</f>
        <v/>
      </c>
      <c r="K5" s="78">
        <f>IF($A5="","",C5+E5+G5)</f>
        <v/>
      </c>
      <c r="L5" s="79">
        <f>IF($A5="","",J5+H5)</f>
        <v/>
      </c>
      <c r="M5" s="80">
        <f>IF($A5="","",K5+I5)</f>
        <v/>
      </c>
      <c r="N5" s="77">
        <f>IF($A5="","",SUMIFS($J$5:$J$800,$A$5:$A$800,"&gt;="&amp;DATE(YEAR($A5),MONTH($A5),1),$A$5:$A$800,"&lt;="&amp;$A5)+IF(AND(YEAR($A5)=YEAR(Settings!$B$3),MONTH($A5)=MONTH(Settings!$B$3)),Settings!$B$10,0))</f>
        <v/>
      </c>
      <c r="O5" s="78">
        <f>IF($A5="","",SUMIFS($K$5:$K$800,$A$5:$A$800,"&gt;="&amp;DATE(YEAR($A5),MONTH($A5),1),$A$5:$A$800,"&lt;="&amp;$A5)+IF(AND(YEAR($A5)=YEAR(Settings!$B$3),MONTH($A5)=MONTH(Settings!$B$3)),Settings!$B$11,0))</f>
        <v/>
      </c>
      <c r="P5" s="77">
        <f>IF($A5="","",SUMIFS($H$5:$H$800,$A$5:$A$800,"&gt;="&amp;DATE(YEAR($A5),MONTH($A5),1),$A$5:$A$800,"&lt;="&amp;$A5)+IF(AND(YEAR($A5)=YEAR(Settings!$B$3),MONTH($A5)=MONTH(Settings!$B$3)),Settings!$B$12,0))</f>
        <v/>
      </c>
      <c r="Q5" s="78">
        <f>IF($A5="","",SUMIFS($I$5:$I$800,$A$5:$A$800,"&gt;="&amp;DATE(YEAR($A5),MONTH($A5),1),$A$5:$A$800,"&lt;="&amp;$A5)+IF(AND(YEAR($A5)=YEAR(Settings!$B$3),MONTH($A5)=MONTH(Settings!$B$3)),Settings!$B$13,0))</f>
        <v/>
      </c>
      <c r="R5" s="77">
        <f>IF($A5="","",N5+P5)</f>
        <v/>
      </c>
      <c r="S5" s="78">
        <f>IF($A5="","",O5+Q5)</f>
        <v/>
      </c>
    </row>
    <row r="6">
      <c r="A6" s="67" t="n"/>
      <c r="B6" s="75" t="n"/>
      <c r="C6" s="76" t="n"/>
      <c r="D6" s="75" t="n"/>
      <c r="E6" s="76" t="n"/>
      <c r="F6" s="75" t="n"/>
      <c r="G6" s="76" t="n"/>
      <c r="H6" s="75" t="n"/>
      <c r="I6" s="76" t="n"/>
      <c r="J6" s="77">
        <f>IF($A6="","",B6+D6+F6)</f>
        <v/>
      </c>
      <c r="K6" s="78">
        <f>IF($A6="","",C6+E6+G6)</f>
        <v/>
      </c>
      <c r="L6" s="79">
        <f>IF($A6="","",J6+H6)</f>
        <v/>
      </c>
      <c r="M6" s="80">
        <f>IF($A6="","",K6+I6)</f>
        <v/>
      </c>
      <c r="N6" s="77">
        <f>IF($A6="","",SUMIFS($J$5:$J$800,$A$5:$A$800,"&gt;="&amp;DATE(YEAR($A6),MONTH($A6),1),$A$5:$A$800,"&lt;="&amp;$A6)+IF(AND(YEAR($A6)=YEAR(Settings!$B$3),MONTH($A6)=MONTH(Settings!$B$3)),Settings!$B$10,0))</f>
        <v/>
      </c>
      <c r="O6" s="78">
        <f>IF($A6="","",SUMIFS($K$5:$K$800,$A$5:$A$800,"&gt;="&amp;DATE(YEAR($A6),MONTH($A6),1),$A$5:$A$800,"&lt;="&amp;$A6)+IF(AND(YEAR($A6)=YEAR(Settings!$B$3),MONTH($A6)=MONTH(Settings!$B$3)),Settings!$B$11,0))</f>
        <v/>
      </c>
      <c r="P6" s="77">
        <f>IF($A6="","",SUMIFS($H$5:$H$800,$A$5:$A$800,"&gt;="&amp;DATE(YEAR($A6),MONTH($A6),1),$A$5:$A$800,"&lt;="&amp;$A6)+IF(AND(YEAR($A6)=YEAR(Settings!$B$3),MONTH($A6)=MONTH(Settings!$B$3)),Settings!$B$12,0))</f>
        <v/>
      </c>
      <c r="Q6" s="78">
        <f>IF($A6="","",SUMIFS($I$5:$I$800,$A$5:$A$800,"&gt;="&amp;DATE(YEAR($A6),MONTH($A6),1),$A$5:$A$800,"&lt;="&amp;$A6)+IF(AND(YEAR($A6)=YEAR(Settings!$B$3),MONTH($A6)=MONTH(Settings!$B$3)),Settings!$B$13,0))</f>
        <v/>
      </c>
      <c r="R6" s="77">
        <f>IF($A6="","",N6+P6)</f>
        <v/>
      </c>
      <c r="S6" s="78">
        <f>IF($A6="","",O6+Q6)</f>
        <v/>
      </c>
    </row>
    <row r="7">
      <c r="A7" s="67" t="n"/>
      <c r="B7" s="75" t="n"/>
      <c r="C7" s="76" t="n"/>
      <c r="D7" s="75" t="n"/>
      <c r="E7" s="76" t="n"/>
      <c r="F7" s="75" t="n"/>
      <c r="G7" s="76" t="n"/>
      <c r="H7" s="75" t="n"/>
      <c r="I7" s="76" t="n"/>
      <c r="J7" s="77">
        <f>IF($A7="","",B7+D7+F7)</f>
        <v/>
      </c>
      <c r="K7" s="78">
        <f>IF($A7="","",C7+E7+G7)</f>
        <v/>
      </c>
      <c r="L7" s="79">
        <f>IF($A7="","",J7+H7)</f>
        <v/>
      </c>
      <c r="M7" s="80">
        <f>IF($A7="","",K7+I7)</f>
        <v/>
      </c>
      <c r="N7" s="77">
        <f>IF($A7="","",SUMIFS($J$5:$J$800,$A$5:$A$800,"&gt;="&amp;DATE(YEAR($A7),MONTH($A7),1),$A$5:$A$800,"&lt;="&amp;$A7)+IF(AND(YEAR($A7)=YEAR(Settings!$B$3),MONTH($A7)=MONTH(Settings!$B$3)),Settings!$B$10,0))</f>
        <v/>
      </c>
      <c r="O7" s="78">
        <f>IF($A7="","",SUMIFS($K$5:$K$800,$A$5:$A$800,"&gt;="&amp;DATE(YEAR($A7),MONTH($A7),1),$A$5:$A$800,"&lt;="&amp;$A7)+IF(AND(YEAR($A7)=YEAR(Settings!$B$3),MONTH($A7)=MONTH(Settings!$B$3)),Settings!$B$11,0))</f>
        <v/>
      </c>
      <c r="P7" s="77">
        <f>IF($A7="","",SUMIFS($H$5:$H$800,$A$5:$A$800,"&gt;="&amp;DATE(YEAR($A7),MONTH($A7),1),$A$5:$A$800,"&lt;="&amp;$A7)+IF(AND(YEAR($A7)=YEAR(Settings!$B$3),MONTH($A7)=MONTH(Settings!$B$3)),Settings!$B$12,0))</f>
        <v/>
      </c>
      <c r="Q7" s="78">
        <f>IF($A7="","",SUMIFS($I$5:$I$800,$A$5:$A$800,"&gt;="&amp;DATE(YEAR($A7),MONTH($A7),1),$A$5:$A$800,"&lt;="&amp;$A7)+IF(AND(YEAR($A7)=YEAR(Settings!$B$3),MONTH($A7)=MONTH(Settings!$B$3)),Settings!$B$13,0))</f>
        <v/>
      </c>
      <c r="R7" s="77">
        <f>IF($A7="","",N7+P7)</f>
        <v/>
      </c>
      <c r="S7" s="78">
        <f>IF($A7="","",O7+Q7)</f>
        <v/>
      </c>
    </row>
    <row r="8">
      <c r="A8" s="67" t="n"/>
      <c r="B8" s="75" t="n"/>
      <c r="C8" s="76" t="n"/>
      <c r="D8" s="75" t="n"/>
      <c r="E8" s="76" t="n"/>
      <c r="F8" s="75" t="n"/>
      <c r="G8" s="76" t="n"/>
      <c r="H8" s="75" t="n"/>
      <c r="I8" s="76" t="n"/>
      <c r="J8" s="77">
        <f>IF($A8="","",B8+D8+F8)</f>
        <v/>
      </c>
      <c r="K8" s="78">
        <f>IF($A8="","",C8+E8+G8)</f>
        <v/>
      </c>
      <c r="L8" s="79">
        <f>IF($A8="","",J8+H8)</f>
        <v/>
      </c>
      <c r="M8" s="80">
        <f>IF($A8="","",K8+I8)</f>
        <v/>
      </c>
      <c r="N8" s="77">
        <f>IF($A8="","",SUMIFS($J$5:$J$800,$A$5:$A$800,"&gt;="&amp;DATE(YEAR($A8),MONTH($A8),1),$A$5:$A$800,"&lt;="&amp;$A8)+IF(AND(YEAR($A8)=YEAR(Settings!$B$3),MONTH($A8)=MONTH(Settings!$B$3)),Settings!$B$10,0))</f>
        <v/>
      </c>
      <c r="O8" s="78">
        <f>IF($A8="","",SUMIFS($K$5:$K$800,$A$5:$A$800,"&gt;="&amp;DATE(YEAR($A8),MONTH($A8),1),$A$5:$A$800,"&lt;="&amp;$A8)+IF(AND(YEAR($A8)=YEAR(Settings!$B$3),MONTH($A8)=MONTH(Settings!$B$3)),Settings!$B$11,0))</f>
        <v/>
      </c>
      <c r="P8" s="77">
        <f>IF($A8="","",SUMIFS($H$5:$H$800,$A$5:$A$800,"&gt;="&amp;DATE(YEAR($A8),MONTH($A8),1),$A$5:$A$800,"&lt;="&amp;$A8)+IF(AND(YEAR($A8)=YEAR(Settings!$B$3),MONTH($A8)=MONTH(Settings!$B$3)),Settings!$B$12,0))</f>
        <v/>
      </c>
      <c r="Q8" s="78">
        <f>IF($A8="","",SUMIFS($I$5:$I$800,$A$5:$A$800,"&gt;="&amp;DATE(YEAR($A8),MONTH($A8),1),$A$5:$A$800,"&lt;="&amp;$A8)+IF(AND(YEAR($A8)=YEAR(Settings!$B$3),MONTH($A8)=MONTH(Settings!$B$3)),Settings!$B$13,0))</f>
        <v/>
      </c>
      <c r="R8" s="77">
        <f>IF($A8="","",N8+P8)</f>
        <v/>
      </c>
      <c r="S8" s="78">
        <f>IF($A8="","",O8+Q8)</f>
        <v/>
      </c>
    </row>
    <row r="9">
      <c r="A9" s="67" t="n"/>
      <c r="B9" s="75" t="n"/>
      <c r="C9" s="76" t="n"/>
      <c r="D9" s="75" t="n"/>
      <c r="E9" s="76" t="n"/>
      <c r="F9" s="75" t="n"/>
      <c r="G9" s="76" t="n"/>
      <c r="H9" s="75" t="n"/>
      <c r="I9" s="76" t="n"/>
      <c r="J9" s="77">
        <f>IF($A9="","",B9+D9+F9)</f>
        <v/>
      </c>
      <c r="K9" s="78">
        <f>IF($A9="","",C9+E9+G9)</f>
        <v/>
      </c>
      <c r="L9" s="79">
        <f>IF($A9="","",J9+H9)</f>
        <v/>
      </c>
      <c r="M9" s="80">
        <f>IF($A9="","",K9+I9)</f>
        <v/>
      </c>
      <c r="N9" s="77">
        <f>IF($A9="","",SUMIFS($J$5:$J$800,$A$5:$A$800,"&gt;="&amp;DATE(YEAR($A9),MONTH($A9),1),$A$5:$A$800,"&lt;="&amp;$A9)+IF(AND(YEAR($A9)=YEAR(Settings!$B$3),MONTH($A9)=MONTH(Settings!$B$3)),Settings!$B$10,0))</f>
        <v/>
      </c>
      <c r="O9" s="78">
        <f>IF($A9="","",SUMIFS($K$5:$K$800,$A$5:$A$800,"&gt;="&amp;DATE(YEAR($A9),MONTH($A9),1),$A$5:$A$800,"&lt;="&amp;$A9)+IF(AND(YEAR($A9)=YEAR(Settings!$B$3),MONTH($A9)=MONTH(Settings!$B$3)),Settings!$B$11,0))</f>
        <v/>
      </c>
      <c r="P9" s="77">
        <f>IF($A9="","",SUMIFS($H$5:$H$800,$A$5:$A$800,"&gt;="&amp;DATE(YEAR($A9),MONTH($A9),1),$A$5:$A$800,"&lt;="&amp;$A9)+IF(AND(YEAR($A9)=YEAR(Settings!$B$3),MONTH($A9)=MONTH(Settings!$B$3)),Settings!$B$12,0))</f>
        <v/>
      </c>
      <c r="Q9" s="78">
        <f>IF($A9="","",SUMIFS($I$5:$I$800,$A$5:$A$800,"&gt;="&amp;DATE(YEAR($A9),MONTH($A9),1),$A$5:$A$800,"&lt;="&amp;$A9)+IF(AND(YEAR($A9)=YEAR(Settings!$B$3),MONTH($A9)=MONTH(Settings!$B$3)),Settings!$B$13,0))</f>
        <v/>
      </c>
      <c r="R9" s="77">
        <f>IF($A9="","",N9+P9)</f>
        <v/>
      </c>
      <c r="S9" s="78">
        <f>IF($A9="","",O9+Q9)</f>
        <v/>
      </c>
    </row>
    <row r="10">
      <c r="A10" s="67" t="n"/>
      <c r="B10" s="75" t="n"/>
      <c r="C10" s="76" t="n"/>
      <c r="D10" s="75" t="n"/>
      <c r="E10" s="76" t="n"/>
      <c r="F10" s="75" t="n"/>
      <c r="G10" s="76" t="n"/>
      <c r="H10" s="75" t="n"/>
      <c r="I10" s="76" t="n"/>
      <c r="J10" s="77">
        <f>IF($A10="","",B10+D10+F10)</f>
        <v/>
      </c>
      <c r="K10" s="78">
        <f>IF($A10="","",C10+E10+G10)</f>
        <v/>
      </c>
      <c r="L10" s="79">
        <f>IF($A10="","",J10+H10)</f>
        <v/>
      </c>
      <c r="M10" s="80">
        <f>IF($A10="","",K10+I10)</f>
        <v/>
      </c>
      <c r="N10" s="77">
        <f>IF($A10="","",SUMIFS($J$5:$J$800,$A$5:$A$800,"&gt;="&amp;DATE(YEAR($A10),MONTH($A10),1),$A$5:$A$800,"&lt;="&amp;$A10)+IF(AND(YEAR($A10)=YEAR(Settings!$B$3),MONTH($A10)=MONTH(Settings!$B$3)),Settings!$B$10,0))</f>
        <v/>
      </c>
      <c r="O10" s="78">
        <f>IF($A10="","",SUMIFS($K$5:$K$800,$A$5:$A$800,"&gt;="&amp;DATE(YEAR($A10),MONTH($A10),1),$A$5:$A$800,"&lt;="&amp;$A10)+IF(AND(YEAR($A10)=YEAR(Settings!$B$3),MONTH($A10)=MONTH(Settings!$B$3)),Settings!$B$11,0))</f>
        <v/>
      </c>
      <c r="P10" s="77">
        <f>IF($A10="","",SUMIFS($H$5:$H$800,$A$5:$A$800,"&gt;="&amp;DATE(YEAR($A10),MONTH($A10),1),$A$5:$A$800,"&lt;="&amp;$A10)+IF(AND(YEAR($A10)=YEAR(Settings!$B$3),MONTH($A10)=MONTH(Settings!$B$3)),Settings!$B$12,0))</f>
        <v/>
      </c>
      <c r="Q10" s="78">
        <f>IF($A10="","",SUMIFS($I$5:$I$800,$A$5:$A$800,"&gt;="&amp;DATE(YEAR($A10),MONTH($A10),1),$A$5:$A$800,"&lt;="&amp;$A10)+IF(AND(YEAR($A10)=YEAR(Settings!$B$3),MONTH($A10)=MONTH(Settings!$B$3)),Settings!$B$13,0))</f>
        <v/>
      </c>
      <c r="R10" s="77">
        <f>IF($A10="","",N10+P10)</f>
        <v/>
      </c>
      <c r="S10" s="78">
        <f>IF($A10="","",O10+Q10)</f>
        <v/>
      </c>
    </row>
    <row r="11">
      <c r="A11" s="67" t="n"/>
      <c r="B11" s="75" t="n"/>
      <c r="C11" s="76" t="n"/>
      <c r="D11" s="75" t="n"/>
      <c r="E11" s="76" t="n"/>
      <c r="F11" s="75" t="n"/>
      <c r="G11" s="76" t="n"/>
      <c r="H11" s="75" t="n"/>
      <c r="I11" s="76" t="n"/>
      <c r="J11" s="77">
        <f>IF($A11="","",B11+D11+F11)</f>
        <v/>
      </c>
      <c r="K11" s="78">
        <f>IF($A11="","",C11+E11+G11)</f>
        <v/>
      </c>
      <c r="L11" s="79">
        <f>IF($A11="","",J11+H11)</f>
        <v/>
      </c>
      <c r="M11" s="80">
        <f>IF($A11="","",K11+I11)</f>
        <v/>
      </c>
      <c r="N11" s="77">
        <f>IF($A11="","",SUMIFS($J$5:$J$800,$A$5:$A$800,"&gt;="&amp;DATE(YEAR($A11),MONTH($A11),1),$A$5:$A$800,"&lt;="&amp;$A11)+IF(AND(YEAR($A11)=YEAR(Settings!$B$3),MONTH($A11)=MONTH(Settings!$B$3)),Settings!$B$10,0))</f>
        <v/>
      </c>
      <c r="O11" s="78">
        <f>IF($A11="","",SUMIFS($K$5:$K$800,$A$5:$A$800,"&gt;="&amp;DATE(YEAR($A11),MONTH($A11),1),$A$5:$A$800,"&lt;="&amp;$A11)+IF(AND(YEAR($A11)=YEAR(Settings!$B$3),MONTH($A11)=MONTH(Settings!$B$3)),Settings!$B$11,0))</f>
        <v/>
      </c>
      <c r="P11" s="77">
        <f>IF($A11="","",SUMIFS($H$5:$H$800,$A$5:$A$800,"&gt;="&amp;DATE(YEAR($A11),MONTH($A11),1),$A$5:$A$800,"&lt;="&amp;$A11)+IF(AND(YEAR($A11)=YEAR(Settings!$B$3),MONTH($A11)=MONTH(Settings!$B$3)),Settings!$B$12,0))</f>
        <v/>
      </c>
      <c r="Q11" s="78">
        <f>IF($A11="","",SUMIFS($I$5:$I$800,$A$5:$A$800,"&gt;="&amp;DATE(YEAR($A11),MONTH($A11),1),$A$5:$A$800,"&lt;="&amp;$A11)+IF(AND(YEAR($A11)=YEAR(Settings!$B$3),MONTH($A11)=MONTH(Settings!$B$3)),Settings!$B$13,0))</f>
        <v/>
      </c>
      <c r="R11" s="77">
        <f>IF($A11="","",N11+P11)</f>
        <v/>
      </c>
      <c r="S11" s="78">
        <f>IF($A11="","",O11+Q11)</f>
        <v/>
      </c>
    </row>
    <row r="12">
      <c r="A12" s="67" t="n"/>
      <c r="B12" s="75" t="n"/>
      <c r="C12" s="76" t="n"/>
      <c r="D12" s="75" t="n"/>
      <c r="E12" s="76" t="n"/>
      <c r="F12" s="75" t="n"/>
      <c r="G12" s="76" t="n"/>
      <c r="H12" s="75" t="n"/>
      <c r="I12" s="76" t="n"/>
      <c r="J12" s="77">
        <f>IF($A12="","",B12+D12+F12)</f>
        <v/>
      </c>
      <c r="K12" s="78">
        <f>IF($A12="","",C12+E12+G12)</f>
        <v/>
      </c>
      <c r="L12" s="79">
        <f>IF($A12="","",J12+H12)</f>
        <v/>
      </c>
      <c r="M12" s="80">
        <f>IF($A12="","",K12+I12)</f>
        <v/>
      </c>
      <c r="N12" s="77">
        <f>IF($A12="","",SUMIFS($J$5:$J$800,$A$5:$A$800,"&gt;="&amp;DATE(YEAR($A12),MONTH($A12),1),$A$5:$A$800,"&lt;="&amp;$A12)+IF(AND(YEAR($A12)=YEAR(Settings!$B$3),MONTH($A12)=MONTH(Settings!$B$3)),Settings!$B$10,0))</f>
        <v/>
      </c>
      <c r="O12" s="78">
        <f>IF($A12="","",SUMIFS($K$5:$K$800,$A$5:$A$800,"&gt;="&amp;DATE(YEAR($A12),MONTH($A12),1),$A$5:$A$800,"&lt;="&amp;$A12)+IF(AND(YEAR($A12)=YEAR(Settings!$B$3),MONTH($A12)=MONTH(Settings!$B$3)),Settings!$B$11,0))</f>
        <v/>
      </c>
      <c r="P12" s="77">
        <f>IF($A12="","",SUMIFS($H$5:$H$800,$A$5:$A$800,"&gt;="&amp;DATE(YEAR($A12),MONTH($A12),1),$A$5:$A$800,"&lt;="&amp;$A12)+IF(AND(YEAR($A12)=YEAR(Settings!$B$3),MONTH($A12)=MONTH(Settings!$B$3)),Settings!$B$12,0))</f>
        <v/>
      </c>
      <c r="Q12" s="78">
        <f>IF($A12="","",SUMIFS($I$5:$I$800,$A$5:$A$800,"&gt;="&amp;DATE(YEAR($A12),MONTH($A12),1),$A$5:$A$800,"&lt;="&amp;$A12)+IF(AND(YEAR($A12)=YEAR(Settings!$B$3),MONTH($A12)=MONTH(Settings!$B$3)),Settings!$B$13,0))</f>
        <v/>
      </c>
      <c r="R12" s="77">
        <f>IF($A12="","",N12+P12)</f>
        <v/>
      </c>
      <c r="S12" s="78">
        <f>IF($A12="","",O12+Q12)</f>
        <v/>
      </c>
    </row>
    <row r="13">
      <c r="A13" s="67" t="n"/>
      <c r="B13" s="75" t="n"/>
      <c r="C13" s="76" t="n"/>
      <c r="D13" s="75" t="n"/>
      <c r="E13" s="76" t="n"/>
      <c r="F13" s="75" t="n"/>
      <c r="G13" s="76" t="n"/>
      <c r="H13" s="75" t="n"/>
      <c r="I13" s="76" t="n"/>
      <c r="J13" s="77">
        <f>IF($A13="","",B13+D13+F13)</f>
        <v/>
      </c>
      <c r="K13" s="78">
        <f>IF($A13="","",C13+E13+G13)</f>
        <v/>
      </c>
      <c r="L13" s="79">
        <f>IF($A13="","",J13+H13)</f>
        <v/>
      </c>
      <c r="M13" s="80">
        <f>IF($A13="","",K13+I13)</f>
        <v/>
      </c>
      <c r="N13" s="77">
        <f>IF($A13="","",SUMIFS($J$5:$J$800,$A$5:$A$800,"&gt;="&amp;DATE(YEAR($A13),MONTH($A13),1),$A$5:$A$800,"&lt;="&amp;$A13)+IF(AND(YEAR($A13)=YEAR(Settings!$B$3),MONTH($A13)=MONTH(Settings!$B$3)),Settings!$B$10,0))</f>
        <v/>
      </c>
      <c r="O13" s="78">
        <f>IF($A13="","",SUMIFS($K$5:$K$800,$A$5:$A$800,"&gt;="&amp;DATE(YEAR($A13),MONTH($A13),1),$A$5:$A$800,"&lt;="&amp;$A13)+IF(AND(YEAR($A13)=YEAR(Settings!$B$3),MONTH($A13)=MONTH(Settings!$B$3)),Settings!$B$11,0))</f>
        <v/>
      </c>
      <c r="P13" s="77">
        <f>IF($A13="","",SUMIFS($H$5:$H$800,$A$5:$A$800,"&gt;="&amp;DATE(YEAR($A13),MONTH($A13),1),$A$5:$A$800,"&lt;="&amp;$A13)+IF(AND(YEAR($A13)=YEAR(Settings!$B$3),MONTH($A13)=MONTH(Settings!$B$3)),Settings!$B$12,0))</f>
        <v/>
      </c>
      <c r="Q13" s="78">
        <f>IF($A13="","",SUMIFS($I$5:$I$800,$A$5:$A$800,"&gt;="&amp;DATE(YEAR($A13),MONTH($A13),1),$A$5:$A$800,"&lt;="&amp;$A13)+IF(AND(YEAR($A13)=YEAR(Settings!$B$3),MONTH($A13)=MONTH(Settings!$B$3)),Settings!$B$13,0))</f>
        <v/>
      </c>
      <c r="R13" s="77">
        <f>IF($A13="","",N13+P13)</f>
        <v/>
      </c>
      <c r="S13" s="78">
        <f>IF($A13="","",O13+Q13)</f>
        <v/>
      </c>
    </row>
    <row r="14">
      <c r="A14" s="67" t="n"/>
      <c r="B14" s="75" t="n"/>
      <c r="C14" s="76" t="n"/>
      <c r="D14" s="75" t="n"/>
      <c r="E14" s="76" t="n"/>
      <c r="F14" s="75" t="n"/>
      <c r="G14" s="76" t="n"/>
      <c r="H14" s="75" t="n"/>
      <c r="I14" s="76" t="n"/>
      <c r="J14" s="77">
        <f>IF($A14="","",B14+D14+F14)</f>
        <v/>
      </c>
      <c r="K14" s="78">
        <f>IF($A14="","",C14+E14+G14)</f>
        <v/>
      </c>
      <c r="L14" s="79">
        <f>IF($A14="","",J14+H14)</f>
        <v/>
      </c>
      <c r="M14" s="80">
        <f>IF($A14="","",K14+I14)</f>
        <v/>
      </c>
      <c r="N14" s="77">
        <f>IF($A14="","",SUMIFS($J$5:$J$800,$A$5:$A$800,"&gt;="&amp;DATE(YEAR($A14),MONTH($A14),1),$A$5:$A$800,"&lt;="&amp;$A14)+IF(AND(YEAR($A14)=YEAR(Settings!$B$3),MONTH($A14)=MONTH(Settings!$B$3)),Settings!$B$10,0))</f>
        <v/>
      </c>
      <c r="O14" s="78">
        <f>IF($A14="","",SUMIFS($K$5:$K$800,$A$5:$A$800,"&gt;="&amp;DATE(YEAR($A14),MONTH($A14),1),$A$5:$A$800,"&lt;="&amp;$A14)+IF(AND(YEAR($A14)=YEAR(Settings!$B$3),MONTH($A14)=MONTH(Settings!$B$3)),Settings!$B$11,0))</f>
        <v/>
      </c>
      <c r="P14" s="77">
        <f>IF($A14="","",SUMIFS($H$5:$H$800,$A$5:$A$800,"&gt;="&amp;DATE(YEAR($A14),MONTH($A14),1),$A$5:$A$800,"&lt;="&amp;$A14)+IF(AND(YEAR($A14)=YEAR(Settings!$B$3),MONTH($A14)=MONTH(Settings!$B$3)),Settings!$B$12,0))</f>
        <v/>
      </c>
      <c r="Q14" s="78">
        <f>IF($A14="","",SUMIFS($I$5:$I$800,$A$5:$A$800,"&gt;="&amp;DATE(YEAR($A14),MONTH($A14),1),$A$5:$A$800,"&lt;="&amp;$A14)+IF(AND(YEAR($A14)=YEAR(Settings!$B$3),MONTH($A14)=MONTH(Settings!$B$3)),Settings!$B$13,0))</f>
        <v/>
      </c>
      <c r="R14" s="77">
        <f>IF($A14="","",N14+P14)</f>
        <v/>
      </c>
      <c r="S14" s="78">
        <f>IF($A14="","",O14+Q14)</f>
        <v/>
      </c>
    </row>
    <row r="15">
      <c r="A15" s="67" t="n"/>
      <c r="B15" s="75" t="n"/>
      <c r="C15" s="76" t="n"/>
      <c r="D15" s="75" t="n"/>
      <c r="E15" s="76" t="n"/>
      <c r="F15" s="75" t="n"/>
      <c r="G15" s="76" t="n"/>
      <c r="H15" s="75" t="n"/>
      <c r="I15" s="76" t="n"/>
      <c r="J15" s="77">
        <f>IF($A15="","",B15+D15+F15)</f>
        <v/>
      </c>
      <c r="K15" s="78">
        <f>IF($A15="","",C15+E15+G15)</f>
        <v/>
      </c>
      <c r="L15" s="79">
        <f>IF($A15="","",J15+H15)</f>
        <v/>
      </c>
      <c r="M15" s="80">
        <f>IF($A15="","",K15+I15)</f>
        <v/>
      </c>
      <c r="N15" s="77">
        <f>IF($A15="","",SUMIFS($J$5:$J$800,$A$5:$A$800,"&gt;="&amp;DATE(YEAR($A15),MONTH($A15),1),$A$5:$A$800,"&lt;="&amp;$A15)+IF(AND(YEAR($A15)=YEAR(Settings!$B$3),MONTH($A15)=MONTH(Settings!$B$3)),Settings!$B$10,0))</f>
        <v/>
      </c>
      <c r="O15" s="78">
        <f>IF($A15="","",SUMIFS($K$5:$K$800,$A$5:$A$800,"&gt;="&amp;DATE(YEAR($A15),MONTH($A15),1),$A$5:$A$800,"&lt;="&amp;$A15)+IF(AND(YEAR($A15)=YEAR(Settings!$B$3),MONTH($A15)=MONTH(Settings!$B$3)),Settings!$B$11,0))</f>
        <v/>
      </c>
      <c r="P15" s="77">
        <f>IF($A15="","",SUMIFS($H$5:$H$800,$A$5:$A$800,"&gt;="&amp;DATE(YEAR($A15),MONTH($A15),1),$A$5:$A$800,"&lt;="&amp;$A15)+IF(AND(YEAR($A15)=YEAR(Settings!$B$3),MONTH($A15)=MONTH(Settings!$B$3)),Settings!$B$12,0))</f>
        <v/>
      </c>
      <c r="Q15" s="78">
        <f>IF($A15="","",SUMIFS($I$5:$I$800,$A$5:$A$800,"&gt;="&amp;DATE(YEAR($A15),MONTH($A15),1),$A$5:$A$800,"&lt;="&amp;$A15)+IF(AND(YEAR($A15)=YEAR(Settings!$B$3),MONTH($A15)=MONTH(Settings!$B$3)),Settings!$B$13,0))</f>
        <v/>
      </c>
      <c r="R15" s="77">
        <f>IF($A15="","",N15+P15)</f>
        <v/>
      </c>
      <c r="S15" s="78">
        <f>IF($A15="","",O15+Q15)</f>
        <v/>
      </c>
    </row>
    <row r="16">
      <c r="A16" s="67" t="n"/>
      <c r="B16" s="75" t="n"/>
      <c r="C16" s="76" t="n"/>
      <c r="D16" s="75" t="n"/>
      <c r="E16" s="76" t="n"/>
      <c r="F16" s="75" t="n"/>
      <c r="G16" s="76" t="n"/>
      <c r="H16" s="75" t="n"/>
      <c r="I16" s="76" t="n"/>
      <c r="J16" s="77">
        <f>IF($A16="","",B16+D16+F16)</f>
        <v/>
      </c>
      <c r="K16" s="78">
        <f>IF($A16="","",C16+E16+G16)</f>
        <v/>
      </c>
      <c r="L16" s="79">
        <f>IF($A16="","",J16+H16)</f>
        <v/>
      </c>
      <c r="M16" s="80">
        <f>IF($A16="","",K16+I16)</f>
        <v/>
      </c>
      <c r="N16" s="77">
        <f>IF($A16="","",SUMIFS($J$5:$J$800,$A$5:$A$800,"&gt;="&amp;DATE(YEAR($A16),MONTH($A16),1),$A$5:$A$800,"&lt;="&amp;$A16)+IF(AND(YEAR($A16)=YEAR(Settings!$B$3),MONTH($A16)=MONTH(Settings!$B$3)),Settings!$B$10,0))</f>
        <v/>
      </c>
      <c r="O16" s="78">
        <f>IF($A16="","",SUMIFS($K$5:$K$800,$A$5:$A$800,"&gt;="&amp;DATE(YEAR($A16),MONTH($A16),1),$A$5:$A$800,"&lt;="&amp;$A16)+IF(AND(YEAR($A16)=YEAR(Settings!$B$3),MONTH($A16)=MONTH(Settings!$B$3)),Settings!$B$11,0))</f>
        <v/>
      </c>
      <c r="P16" s="77">
        <f>IF($A16="","",SUMIFS($H$5:$H$800,$A$5:$A$800,"&gt;="&amp;DATE(YEAR($A16),MONTH($A16),1),$A$5:$A$800,"&lt;="&amp;$A16)+IF(AND(YEAR($A16)=YEAR(Settings!$B$3),MONTH($A16)=MONTH(Settings!$B$3)),Settings!$B$12,0))</f>
        <v/>
      </c>
      <c r="Q16" s="78">
        <f>IF($A16="","",SUMIFS($I$5:$I$800,$A$5:$A$800,"&gt;="&amp;DATE(YEAR($A16),MONTH($A16),1),$A$5:$A$800,"&lt;="&amp;$A16)+IF(AND(YEAR($A16)=YEAR(Settings!$B$3),MONTH($A16)=MONTH(Settings!$B$3)),Settings!$B$13,0))</f>
        <v/>
      </c>
      <c r="R16" s="77">
        <f>IF($A16="","",N16+P16)</f>
        <v/>
      </c>
      <c r="S16" s="78">
        <f>IF($A16="","",O16+Q16)</f>
        <v/>
      </c>
    </row>
    <row r="17">
      <c r="A17" s="67" t="n"/>
      <c r="B17" s="75" t="n"/>
      <c r="C17" s="76" t="n"/>
      <c r="D17" s="75" t="n"/>
      <c r="E17" s="76" t="n"/>
      <c r="F17" s="75" t="n"/>
      <c r="G17" s="76" t="n"/>
      <c r="H17" s="75" t="n"/>
      <c r="I17" s="76" t="n"/>
      <c r="J17" s="77">
        <f>IF($A17="","",B17+D17+F17)</f>
        <v/>
      </c>
      <c r="K17" s="78">
        <f>IF($A17="","",C17+E17+G17)</f>
        <v/>
      </c>
      <c r="L17" s="79">
        <f>IF($A17="","",J17+H17)</f>
        <v/>
      </c>
      <c r="M17" s="80">
        <f>IF($A17="","",K17+I17)</f>
        <v/>
      </c>
      <c r="N17" s="77">
        <f>IF($A17="","",SUMIFS($J$5:$J$800,$A$5:$A$800,"&gt;="&amp;DATE(YEAR($A17),MONTH($A17),1),$A$5:$A$800,"&lt;="&amp;$A17)+IF(AND(YEAR($A17)=YEAR(Settings!$B$3),MONTH($A17)=MONTH(Settings!$B$3)),Settings!$B$10,0))</f>
        <v/>
      </c>
      <c r="O17" s="78">
        <f>IF($A17="","",SUMIFS($K$5:$K$800,$A$5:$A$800,"&gt;="&amp;DATE(YEAR($A17),MONTH($A17),1),$A$5:$A$800,"&lt;="&amp;$A17)+IF(AND(YEAR($A17)=YEAR(Settings!$B$3),MONTH($A17)=MONTH(Settings!$B$3)),Settings!$B$11,0))</f>
        <v/>
      </c>
      <c r="P17" s="77">
        <f>IF($A17="","",SUMIFS($H$5:$H$800,$A$5:$A$800,"&gt;="&amp;DATE(YEAR($A17),MONTH($A17),1),$A$5:$A$800,"&lt;="&amp;$A17)+IF(AND(YEAR($A17)=YEAR(Settings!$B$3),MONTH($A17)=MONTH(Settings!$B$3)),Settings!$B$12,0))</f>
        <v/>
      </c>
      <c r="Q17" s="78">
        <f>IF($A17="","",SUMIFS($I$5:$I$800,$A$5:$A$800,"&gt;="&amp;DATE(YEAR($A17),MONTH($A17),1),$A$5:$A$800,"&lt;="&amp;$A17)+IF(AND(YEAR($A17)=YEAR(Settings!$B$3),MONTH($A17)=MONTH(Settings!$B$3)),Settings!$B$13,0))</f>
        <v/>
      </c>
      <c r="R17" s="77">
        <f>IF($A17="","",N17+P17)</f>
        <v/>
      </c>
      <c r="S17" s="78">
        <f>IF($A17="","",O17+Q17)</f>
        <v/>
      </c>
    </row>
    <row r="18">
      <c r="A18" s="67" t="n"/>
      <c r="B18" s="75" t="n"/>
      <c r="C18" s="76" t="n"/>
      <c r="D18" s="75" t="n"/>
      <c r="E18" s="76" t="n"/>
      <c r="F18" s="75" t="n"/>
      <c r="G18" s="76" t="n"/>
      <c r="H18" s="75" t="n"/>
      <c r="I18" s="76" t="n"/>
      <c r="J18" s="77">
        <f>IF($A18="","",B18+D18+F18)</f>
        <v/>
      </c>
      <c r="K18" s="78">
        <f>IF($A18="","",C18+E18+G18)</f>
        <v/>
      </c>
      <c r="L18" s="79">
        <f>IF($A18="","",J18+H18)</f>
        <v/>
      </c>
      <c r="M18" s="80">
        <f>IF($A18="","",K18+I18)</f>
        <v/>
      </c>
      <c r="N18" s="77">
        <f>IF($A18="","",SUMIFS($J$5:$J$800,$A$5:$A$800,"&gt;="&amp;DATE(YEAR($A18),MONTH($A18),1),$A$5:$A$800,"&lt;="&amp;$A18)+IF(AND(YEAR($A18)=YEAR(Settings!$B$3),MONTH($A18)=MONTH(Settings!$B$3)),Settings!$B$10,0))</f>
        <v/>
      </c>
      <c r="O18" s="78">
        <f>IF($A18="","",SUMIFS($K$5:$K$800,$A$5:$A$800,"&gt;="&amp;DATE(YEAR($A18),MONTH($A18),1),$A$5:$A$800,"&lt;="&amp;$A18)+IF(AND(YEAR($A18)=YEAR(Settings!$B$3),MONTH($A18)=MONTH(Settings!$B$3)),Settings!$B$11,0))</f>
        <v/>
      </c>
      <c r="P18" s="77">
        <f>IF($A18="","",SUMIFS($H$5:$H$800,$A$5:$A$800,"&gt;="&amp;DATE(YEAR($A18),MONTH($A18),1),$A$5:$A$800,"&lt;="&amp;$A18)+IF(AND(YEAR($A18)=YEAR(Settings!$B$3),MONTH($A18)=MONTH(Settings!$B$3)),Settings!$B$12,0))</f>
        <v/>
      </c>
      <c r="Q18" s="78">
        <f>IF($A18="","",SUMIFS($I$5:$I$800,$A$5:$A$800,"&gt;="&amp;DATE(YEAR($A18),MONTH($A18),1),$A$5:$A$800,"&lt;="&amp;$A18)+IF(AND(YEAR($A18)=YEAR(Settings!$B$3),MONTH($A18)=MONTH(Settings!$B$3)),Settings!$B$13,0))</f>
        <v/>
      </c>
      <c r="R18" s="77">
        <f>IF($A18="","",N18+P18)</f>
        <v/>
      </c>
      <c r="S18" s="78">
        <f>IF($A18="","",O18+Q18)</f>
        <v/>
      </c>
    </row>
    <row r="19">
      <c r="A19" s="67" t="n"/>
      <c r="B19" s="75" t="n"/>
      <c r="C19" s="76" t="n"/>
      <c r="D19" s="75" t="n"/>
      <c r="E19" s="76" t="n"/>
      <c r="F19" s="75" t="n"/>
      <c r="G19" s="76" t="n"/>
      <c r="H19" s="75" t="n"/>
      <c r="I19" s="76" t="n"/>
      <c r="J19" s="77">
        <f>IF($A19="","",B19+D19+F19)</f>
        <v/>
      </c>
      <c r="K19" s="78">
        <f>IF($A19="","",C19+E19+G19)</f>
        <v/>
      </c>
      <c r="L19" s="79">
        <f>IF($A19="","",J19+H19)</f>
        <v/>
      </c>
      <c r="M19" s="80">
        <f>IF($A19="","",K19+I19)</f>
        <v/>
      </c>
      <c r="N19" s="77">
        <f>IF($A19="","",SUMIFS($J$5:$J$800,$A$5:$A$800,"&gt;="&amp;DATE(YEAR($A19),MONTH($A19),1),$A$5:$A$800,"&lt;="&amp;$A19)+IF(AND(YEAR($A19)=YEAR(Settings!$B$3),MONTH($A19)=MONTH(Settings!$B$3)),Settings!$B$10,0))</f>
        <v/>
      </c>
      <c r="O19" s="78">
        <f>IF($A19="","",SUMIFS($K$5:$K$800,$A$5:$A$800,"&gt;="&amp;DATE(YEAR($A19),MONTH($A19),1),$A$5:$A$800,"&lt;="&amp;$A19)+IF(AND(YEAR($A19)=YEAR(Settings!$B$3),MONTH($A19)=MONTH(Settings!$B$3)),Settings!$B$11,0))</f>
        <v/>
      </c>
      <c r="P19" s="77">
        <f>IF($A19="","",SUMIFS($H$5:$H$800,$A$5:$A$800,"&gt;="&amp;DATE(YEAR($A19),MONTH($A19),1),$A$5:$A$800,"&lt;="&amp;$A19)+IF(AND(YEAR($A19)=YEAR(Settings!$B$3),MONTH($A19)=MONTH(Settings!$B$3)),Settings!$B$12,0))</f>
        <v/>
      </c>
      <c r="Q19" s="78">
        <f>IF($A19="","",SUMIFS($I$5:$I$800,$A$5:$A$800,"&gt;="&amp;DATE(YEAR($A19),MONTH($A19),1),$A$5:$A$800,"&lt;="&amp;$A19)+IF(AND(YEAR($A19)=YEAR(Settings!$B$3),MONTH($A19)=MONTH(Settings!$B$3)),Settings!$B$13,0))</f>
        <v/>
      </c>
      <c r="R19" s="77">
        <f>IF($A19="","",N19+P19)</f>
        <v/>
      </c>
      <c r="S19" s="78">
        <f>IF($A19="","",O19+Q19)</f>
        <v/>
      </c>
    </row>
    <row r="20">
      <c r="A20" s="67" t="n"/>
      <c r="B20" s="75" t="n"/>
      <c r="C20" s="76" t="n"/>
      <c r="D20" s="75" t="n"/>
      <c r="E20" s="76" t="n"/>
      <c r="F20" s="75" t="n"/>
      <c r="G20" s="76" t="n"/>
      <c r="H20" s="75" t="n"/>
      <c r="I20" s="76" t="n"/>
      <c r="J20" s="77">
        <f>IF($A20="","",B20+D20+F20)</f>
        <v/>
      </c>
      <c r="K20" s="78">
        <f>IF($A20="","",C20+E20+G20)</f>
        <v/>
      </c>
      <c r="L20" s="79">
        <f>IF($A20="","",J20+H20)</f>
        <v/>
      </c>
      <c r="M20" s="80">
        <f>IF($A20="","",K20+I20)</f>
        <v/>
      </c>
      <c r="N20" s="77">
        <f>IF($A20="","",SUMIFS($J$5:$J$800,$A$5:$A$800,"&gt;="&amp;DATE(YEAR($A20),MONTH($A20),1),$A$5:$A$800,"&lt;="&amp;$A20)+IF(AND(YEAR($A20)=YEAR(Settings!$B$3),MONTH($A20)=MONTH(Settings!$B$3)),Settings!$B$10,0))</f>
        <v/>
      </c>
      <c r="O20" s="78">
        <f>IF($A20="","",SUMIFS($K$5:$K$800,$A$5:$A$800,"&gt;="&amp;DATE(YEAR($A20),MONTH($A20),1),$A$5:$A$800,"&lt;="&amp;$A20)+IF(AND(YEAR($A20)=YEAR(Settings!$B$3),MONTH($A20)=MONTH(Settings!$B$3)),Settings!$B$11,0))</f>
        <v/>
      </c>
      <c r="P20" s="77">
        <f>IF($A20="","",SUMIFS($H$5:$H$800,$A$5:$A$800,"&gt;="&amp;DATE(YEAR($A20),MONTH($A20),1),$A$5:$A$800,"&lt;="&amp;$A20)+IF(AND(YEAR($A20)=YEAR(Settings!$B$3),MONTH($A20)=MONTH(Settings!$B$3)),Settings!$B$12,0))</f>
        <v/>
      </c>
      <c r="Q20" s="78">
        <f>IF($A20="","",SUMIFS($I$5:$I$800,$A$5:$A$800,"&gt;="&amp;DATE(YEAR($A20),MONTH($A20),1),$A$5:$A$800,"&lt;="&amp;$A20)+IF(AND(YEAR($A20)=YEAR(Settings!$B$3),MONTH($A20)=MONTH(Settings!$B$3)),Settings!$B$13,0))</f>
        <v/>
      </c>
      <c r="R20" s="77">
        <f>IF($A20="","",N20+P20)</f>
        <v/>
      </c>
      <c r="S20" s="78">
        <f>IF($A20="","",O20+Q20)</f>
        <v/>
      </c>
    </row>
    <row r="21">
      <c r="A21" s="67" t="n"/>
      <c r="B21" s="75" t="n"/>
      <c r="C21" s="76" t="n"/>
      <c r="D21" s="75" t="n"/>
      <c r="E21" s="76" t="n"/>
      <c r="F21" s="75" t="n"/>
      <c r="G21" s="76" t="n"/>
      <c r="H21" s="75" t="n"/>
      <c r="I21" s="76" t="n"/>
      <c r="J21" s="77">
        <f>IF($A21="","",B21+D21+F21)</f>
        <v/>
      </c>
      <c r="K21" s="78">
        <f>IF($A21="","",C21+E21+G21)</f>
        <v/>
      </c>
      <c r="L21" s="79">
        <f>IF($A21="","",J21+H21)</f>
        <v/>
      </c>
      <c r="M21" s="80">
        <f>IF($A21="","",K21+I21)</f>
        <v/>
      </c>
      <c r="N21" s="77">
        <f>IF($A21="","",SUMIFS($J$5:$J$800,$A$5:$A$800,"&gt;="&amp;DATE(YEAR($A21),MONTH($A21),1),$A$5:$A$800,"&lt;="&amp;$A21)+IF(AND(YEAR($A21)=YEAR(Settings!$B$3),MONTH($A21)=MONTH(Settings!$B$3)),Settings!$B$10,0))</f>
        <v/>
      </c>
      <c r="O21" s="78">
        <f>IF($A21="","",SUMIFS($K$5:$K$800,$A$5:$A$800,"&gt;="&amp;DATE(YEAR($A21),MONTH($A21),1),$A$5:$A$800,"&lt;="&amp;$A21)+IF(AND(YEAR($A21)=YEAR(Settings!$B$3),MONTH($A21)=MONTH(Settings!$B$3)),Settings!$B$11,0))</f>
        <v/>
      </c>
      <c r="P21" s="77">
        <f>IF($A21="","",SUMIFS($H$5:$H$800,$A$5:$A$800,"&gt;="&amp;DATE(YEAR($A21),MONTH($A21),1),$A$5:$A$800,"&lt;="&amp;$A21)+IF(AND(YEAR($A21)=YEAR(Settings!$B$3),MONTH($A21)=MONTH(Settings!$B$3)),Settings!$B$12,0))</f>
        <v/>
      </c>
      <c r="Q21" s="78">
        <f>IF($A21="","",SUMIFS($I$5:$I$800,$A$5:$A$800,"&gt;="&amp;DATE(YEAR($A21),MONTH($A21),1),$A$5:$A$800,"&lt;="&amp;$A21)+IF(AND(YEAR($A21)=YEAR(Settings!$B$3),MONTH($A21)=MONTH(Settings!$B$3)),Settings!$B$13,0))</f>
        <v/>
      </c>
      <c r="R21" s="77">
        <f>IF($A21="","",N21+P21)</f>
        <v/>
      </c>
      <c r="S21" s="78">
        <f>IF($A21="","",O21+Q21)</f>
        <v/>
      </c>
    </row>
    <row r="22">
      <c r="A22" s="67" t="n"/>
      <c r="B22" s="75" t="n"/>
      <c r="C22" s="76" t="n"/>
      <c r="D22" s="75" t="n"/>
      <c r="E22" s="76" t="n"/>
      <c r="F22" s="75" t="n"/>
      <c r="G22" s="76" t="n"/>
      <c r="H22" s="75" t="n"/>
      <c r="I22" s="76" t="n"/>
      <c r="J22" s="77">
        <f>IF($A22="","",B22+D22+F22)</f>
        <v/>
      </c>
      <c r="K22" s="78">
        <f>IF($A22="","",C22+E22+G22)</f>
        <v/>
      </c>
      <c r="L22" s="79">
        <f>IF($A22="","",J22+H22)</f>
        <v/>
      </c>
      <c r="M22" s="80">
        <f>IF($A22="","",K22+I22)</f>
        <v/>
      </c>
      <c r="N22" s="77">
        <f>IF($A22="","",SUMIFS($J$5:$J$800,$A$5:$A$800,"&gt;="&amp;DATE(YEAR($A22),MONTH($A22),1),$A$5:$A$800,"&lt;="&amp;$A22)+IF(AND(YEAR($A22)=YEAR(Settings!$B$3),MONTH($A22)=MONTH(Settings!$B$3)),Settings!$B$10,0))</f>
        <v/>
      </c>
      <c r="O22" s="78">
        <f>IF($A22="","",SUMIFS($K$5:$K$800,$A$5:$A$800,"&gt;="&amp;DATE(YEAR($A22),MONTH($A22),1),$A$5:$A$800,"&lt;="&amp;$A22)+IF(AND(YEAR($A22)=YEAR(Settings!$B$3),MONTH($A22)=MONTH(Settings!$B$3)),Settings!$B$11,0))</f>
        <v/>
      </c>
      <c r="P22" s="77">
        <f>IF($A22="","",SUMIFS($H$5:$H$800,$A$5:$A$800,"&gt;="&amp;DATE(YEAR($A22),MONTH($A22),1),$A$5:$A$800,"&lt;="&amp;$A22)+IF(AND(YEAR($A22)=YEAR(Settings!$B$3),MONTH($A22)=MONTH(Settings!$B$3)),Settings!$B$12,0))</f>
        <v/>
      </c>
      <c r="Q22" s="78">
        <f>IF($A22="","",SUMIFS($I$5:$I$800,$A$5:$A$800,"&gt;="&amp;DATE(YEAR($A22),MONTH($A22),1),$A$5:$A$800,"&lt;="&amp;$A22)+IF(AND(YEAR($A22)=YEAR(Settings!$B$3),MONTH($A22)=MONTH(Settings!$B$3)),Settings!$B$13,0))</f>
        <v/>
      </c>
      <c r="R22" s="77">
        <f>IF($A22="","",N22+P22)</f>
        <v/>
      </c>
      <c r="S22" s="78">
        <f>IF($A22="","",O22+Q22)</f>
        <v/>
      </c>
    </row>
    <row r="23">
      <c r="A23" s="67" t="n"/>
      <c r="B23" s="75" t="n"/>
      <c r="C23" s="76" t="n"/>
      <c r="D23" s="75" t="n"/>
      <c r="E23" s="76" t="n"/>
      <c r="F23" s="75" t="n"/>
      <c r="G23" s="76" t="n"/>
      <c r="H23" s="75" t="n"/>
      <c r="I23" s="76" t="n"/>
      <c r="J23" s="77">
        <f>IF($A23="","",B23+D23+F23)</f>
        <v/>
      </c>
      <c r="K23" s="78">
        <f>IF($A23="","",C23+E23+G23)</f>
        <v/>
      </c>
      <c r="L23" s="79">
        <f>IF($A23="","",J23+H23)</f>
        <v/>
      </c>
      <c r="M23" s="80">
        <f>IF($A23="","",K23+I23)</f>
        <v/>
      </c>
      <c r="N23" s="77">
        <f>IF($A23="","",SUMIFS($J$5:$J$800,$A$5:$A$800,"&gt;="&amp;DATE(YEAR($A23),MONTH($A23),1),$A$5:$A$800,"&lt;="&amp;$A23)+IF(AND(YEAR($A23)=YEAR(Settings!$B$3),MONTH($A23)=MONTH(Settings!$B$3)),Settings!$B$10,0))</f>
        <v/>
      </c>
      <c r="O23" s="78">
        <f>IF($A23="","",SUMIFS($K$5:$K$800,$A$5:$A$800,"&gt;="&amp;DATE(YEAR($A23),MONTH($A23),1),$A$5:$A$800,"&lt;="&amp;$A23)+IF(AND(YEAR($A23)=YEAR(Settings!$B$3),MONTH($A23)=MONTH(Settings!$B$3)),Settings!$B$11,0))</f>
        <v/>
      </c>
      <c r="P23" s="77">
        <f>IF($A23="","",SUMIFS($H$5:$H$800,$A$5:$A$800,"&gt;="&amp;DATE(YEAR($A23),MONTH($A23),1),$A$5:$A$800,"&lt;="&amp;$A23)+IF(AND(YEAR($A23)=YEAR(Settings!$B$3),MONTH($A23)=MONTH(Settings!$B$3)),Settings!$B$12,0))</f>
        <v/>
      </c>
      <c r="Q23" s="78">
        <f>IF($A23="","",SUMIFS($I$5:$I$800,$A$5:$A$800,"&gt;="&amp;DATE(YEAR($A23),MONTH($A23),1),$A$5:$A$800,"&lt;="&amp;$A23)+IF(AND(YEAR($A23)=YEAR(Settings!$B$3),MONTH($A23)=MONTH(Settings!$B$3)),Settings!$B$13,0))</f>
        <v/>
      </c>
      <c r="R23" s="77">
        <f>IF($A23="","",N23+P23)</f>
        <v/>
      </c>
      <c r="S23" s="78">
        <f>IF($A23="","",O23+Q23)</f>
        <v/>
      </c>
    </row>
    <row r="24">
      <c r="A24" s="67" t="n"/>
      <c r="B24" s="75" t="n"/>
      <c r="C24" s="76" t="n"/>
      <c r="D24" s="75" t="n"/>
      <c r="E24" s="76" t="n"/>
      <c r="F24" s="75" t="n"/>
      <c r="G24" s="76" t="n"/>
      <c r="H24" s="75" t="n"/>
      <c r="I24" s="76" t="n"/>
      <c r="J24" s="77">
        <f>IF($A24="","",B24+D24+F24)</f>
        <v/>
      </c>
      <c r="K24" s="78">
        <f>IF($A24="","",C24+E24+G24)</f>
        <v/>
      </c>
      <c r="L24" s="79">
        <f>IF($A24="","",J24+H24)</f>
        <v/>
      </c>
      <c r="M24" s="80">
        <f>IF($A24="","",K24+I24)</f>
        <v/>
      </c>
      <c r="N24" s="77">
        <f>IF($A24="","",SUMIFS($J$5:$J$800,$A$5:$A$800,"&gt;="&amp;DATE(YEAR($A24),MONTH($A24),1),$A$5:$A$800,"&lt;="&amp;$A24)+IF(AND(YEAR($A24)=YEAR(Settings!$B$3),MONTH($A24)=MONTH(Settings!$B$3)),Settings!$B$10,0))</f>
        <v/>
      </c>
      <c r="O24" s="78">
        <f>IF($A24="","",SUMIFS($K$5:$K$800,$A$5:$A$800,"&gt;="&amp;DATE(YEAR($A24),MONTH($A24),1),$A$5:$A$800,"&lt;="&amp;$A24)+IF(AND(YEAR($A24)=YEAR(Settings!$B$3),MONTH($A24)=MONTH(Settings!$B$3)),Settings!$B$11,0))</f>
        <v/>
      </c>
      <c r="P24" s="77">
        <f>IF($A24="","",SUMIFS($H$5:$H$800,$A$5:$A$800,"&gt;="&amp;DATE(YEAR($A24),MONTH($A24),1),$A$5:$A$800,"&lt;="&amp;$A24)+IF(AND(YEAR($A24)=YEAR(Settings!$B$3),MONTH($A24)=MONTH(Settings!$B$3)),Settings!$B$12,0))</f>
        <v/>
      </c>
      <c r="Q24" s="78">
        <f>IF($A24="","",SUMIFS($I$5:$I$800,$A$5:$A$800,"&gt;="&amp;DATE(YEAR($A24),MONTH($A24),1),$A$5:$A$800,"&lt;="&amp;$A24)+IF(AND(YEAR($A24)=YEAR(Settings!$B$3),MONTH($A24)=MONTH(Settings!$B$3)),Settings!$B$13,0))</f>
        <v/>
      </c>
      <c r="R24" s="77">
        <f>IF($A24="","",N24+P24)</f>
        <v/>
      </c>
      <c r="S24" s="78">
        <f>IF($A24="","",O24+Q24)</f>
        <v/>
      </c>
    </row>
    <row r="25">
      <c r="A25" s="67" t="n"/>
      <c r="B25" s="75" t="n"/>
      <c r="C25" s="76" t="n"/>
      <c r="D25" s="75" t="n"/>
      <c r="E25" s="76" t="n"/>
      <c r="F25" s="75" t="n"/>
      <c r="G25" s="76" t="n"/>
      <c r="H25" s="75" t="n"/>
      <c r="I25" s="76" t="n"/>
      <c r="J25" s="77">
        <f>IF($A25="","",B25+D25+F25)</f>
        <v/>
      </c>
      <c r="K25" s="78">
        <f>IF($A25="","",C25+E25+G25)</f>
        <v/>
      </c>
      <c r="L25" s="79">
        <f>IF($A25="","",J25+H25)</f>
        <v/>
      </c>
      <c r="M25" s="80">
        <f>IF($A25="","",K25+I25)</f>
        <v/>
      </c>
      <c r="N25" s="77">
        <f>IF($A25="","",SUMIFS($J$5:$J$800,$A$5:$A$800,"&gt;="&amp;DATE(YEAR($A25),MONTH($A25),1),$A$5:$A$800,"&lt;="&amp;$A25)+IF(AND(YEAR($A25)=YEAR(Settings!$B$3),MONTH($A25)=MONTH(Settings!$B$3)),Settings!$B$10,0))</f>
        <v/>
      </c>
      <c r="O25" s="78">
        <f>IF($A25="","",SUMIFS($K$5:$K$800,$A$5:$A$800,"&gt;="&amp;DATE(YEAR($A25),MONTH($A25),1),$A$5:$A$800,"&lt;="&amp;$A25)+IF(AND(YEAR($A25)=YEAR(Settings!$B$3),MONTH($A25)=MONTH(Settings!$B$3)),Settings!$B$11,0))</f>
        <v/>
      </c>
      <c r="P25" s="77">
        <f>IF($A25="","",SUMIFS($H$5:$H$800,$A$5:$A$800,"&gt;="&amp;DATE(YEAR($A25),MONTH($A25),1),$A$5:$A$800,"&lt;="&amp;$A25)+IF(AND(YEAR($A25)=YEAR(Settings!$B$3),MONTH($A25)=MONTH(Settings!$B$3)),Settings!$B$12,0))</f>
        <v/>
      </c>
      <c r="Q25" s="78">
        <f>IF($A25="","",SUMIFS($I$5:$I$800,$A$5:$A$800,"&gt;="&amp;DATE(YEAR($A25),MONTH($A25),1),$A$5:$A$800,"&lt;="&amp;$A25)+IF(AND(YEAR($A25)=YEAR(Settings!$B$3),MONTH($A25)=MONTH(Settings!$B$3)),Settings!$B$13,0))</f>
        <v/>
      </c>
      <c r="R25" s="77">
        <f>IF($A25="","",N25+P25)</f>
        <v/>
      </c>
      <c r="S25" s="78">
        <f>IF($A25="","",O25+Q25)</f>
        <v/>
      </c>
    </row>
    <row r="26">
      <c r="A26" s="67" t="n"/>
      <c r="B26" s="75" t="n"/>
      <c r="C26" s="76" t="n"/>
      <c r="D26" s="75" t="n"/>
      <c r="E26" s="76" t="n"/>
      <c r="F26" s="75" t="n"/>
      <c r="G26" s="76" t="n"/>
      <c r="H26" s="75" t="n"/>
      <c r="I26" s="76" t="n"/>
      <c r="J26" s="77">
        <f>IF($A26="","",B26+D26+F26)</f>
        <v/>
      </c>
      <c r="K26" s="78">
        <f>IF($A26="","",C26+E26+G26)</f>
        <v/>
      </c>
      <c r="L26" s="79">
        <f>IF($A26="","",J26+H26)</f>
        <v/>
      </c>
      <c r="M26" s="80">
        <f>IF($A26="","",K26+I26)</f>
        <v/>
      </c>
      <c r="N26" s="77">
        <f>IF($A26="","",SUMIFS($J$5:$J$800,$A$5:$A$800,"&gt;="&amp;DATE(YEAR($A26),MONTH($A26),1),$A$5:$A$800,"&lt;="&amp;$A26)+IF(AND(YEAR($A26)=YEAR(Settings!$B$3),MONTH($A26)=MONTH(Settings!$B$3)),Settings!$B$10,0))</f>
        <v/>
      </c>
      <c r="O26" s="78">
        <f>IF($A26="","",SUMIFS($K$5:$K$800,$A$5:$A$800,"&gt;="&amp;DATE(YEAR($A26),MONTH($A26),1),$A$5:$A$800,"&lt;="&amp;$A26)+IF(AND(YEAR($A26)=YEAR(Settings!$B$3),MONTH($A26)=MONTH(Settings!$B$3)),Settings!$B$11,0))</f>
        <v/>
      </c>
      <c r="P26" s="77">
        <f>IF($A26="","",SUMIFS($H$5:$H$800,$A$5:$A$800,"&gt;="&amp;DATE(YEAR($A26),MONTH($A26),1),$A$5:$A$800,"&lt;="&amp;$A26)+IF(AND(YEAR($A26)=YEAR(Settings!$B$3),MONTH($A26)=MONTH(Settings!$B$3)),Settings!$B$12,0))</f>
        <v/>
      </c>
      <c r="Q26" s="78">
        <f>IF($A26="","",SUMIFS($I$5:$I$800,$A$5:$A$800,"&gt;="&amp;DATE(YEAR($A26),MONTH($A26),1),$A$5:$A$800,"&lt;="&amp;$A26)+IF(AND(YEAR($A26)=YEAR(Settings!$B$3),MONTH($A26)=MONTH(Settings!$B$3)),Settings!$B$13,0))</f>
        <v/>
      </c>
      <c r="R26" s="77">
        <f>IF($A26="","",N26+P26)</f>
        <v/>
      </c>
      <c r="S26" s="78">
        <f>IF($A26="","",O26+Q26)</f>
        <v/>
      </c>
    </row>
    <row r="27">
      <c r="A27" s="67" t="n"/>
      <c r="B27" s="75" t="n"/>
      <c r="C27" s="76" t="n"/>
      <c r="D27" s="75" t="n"/>
      <c r="E27" s="76" t="n"/>
      <c r="F27" s="75" t="n"/>
      <c r="G27" s="76" t="n"/>
      <c r="H27" s="75" t="n"/>
      <c r="I27" s="76" t="n"/>
      <c r="J27" s="77">
        <f>IF($A27="","",B27+D27+F27)</f>
        <v/>
      </c>
      <c r="K27" s="78">
        <f>IF($A27="","",C27+E27+G27)</f>
        <v/>
      </c>
      <c r="L27" s="79">
        <f>IF($A27="","",J27+H27)</f>
        <v/>
      </c>
      <c r="M27" s="80">
        <f>IF($A27="","",K27+I27)</f>
        <v/>
      </c>
      <c r="N27" s="77">
        <f>IF($A27="","",SUMIFS($J$5:$J$800,$A$5:$A$800,"&gt;="&amp;DATE(YEAR($A27),MONTH($A27),1),$A$5:$A$800,"&lt;="&amp;$A27)+IF(AND(YEAR($A27)=YEAR(Settings!$B$3),MONTH($A27)=MONTH(Settings!$B$3)),Settings!$B$10,0))</f>
        <v/>
      </c>
      <c r="O27" s="78">
        <f>IF($A27="","",SUMIFS($K$5:$K$800,$A$5:$A$800,"&gt;="&amp;DATE(YEAR($A27),MONTH($A27),1),$A$5:$A$800,"&lt;="&amp;$A27)+IF(AND(YEAR($A27)=YEAR(Settings!$B$3),MONTH($A27)=MONTH(Settings!$B$3)),Settings!$B$11,0))</f>
        <v/>
      </c>
      <c r="P27" s="77">
        <f>IF($A27="","",SUMIFS($H$5:$H$800,$A$5:$A$800,"&gt;="&amp;DATE(YEAR($A27),MONTH($A27),1),$A$5:$A$800,"&lt;="&amp;$A27)+IF(AND(YEAR($A27)=YEAR(Settings!$B$3),MONTH($A27)=MONTH(Settings!$B$3)),Settings!$B$12,0))</f>
        <v/>
      </c>
      <c r="Q27" s="78">
        <f>IF($A27="","",SUMIFS($I$5:$I$800,$A$5:$A$800,"&gt;="&amp;DATE(YEAR($A27),MONTH($A27),1),$A$5:$A$800,"&lt;="&amp;$A27)+IF(AND(YEAR($A27)=YEAR(Settings!$B$3),MONTH($A27)=MONTH(Settings!$B$3)),Settings!$B$13,0))</f>
        <v/>
      </c>
      <c r="R27" s="77">
        <f>IF($A27="","",N27+P27)</f>
        <v/>
      </c>
      <c r="S27" s="78">
        <f>IF($A27="","",O27+Q27)</f>
        <v/>
      </c>
    </row>
    <row r="28">
      <c r="A28" s="67" t="n"/>
      <c r="B28" s="75" t="n"/>
      <c r="C28" s="76" t="n"/>
      <c r="D28" s="75" t="n"/>
      <c r="E28" s="76" t="n"/>
      <c r="F28" s="75" t="n"/>
      <c r="G28" s="76" t="n"/>
      <c r="H28" s="75" t="n"/>
      <c r="I28" s="76" t="n"/>
      <c r="J28" s="77">
        <f>IF($A28="","",B28+D28+F28)</f>
        <v/>
      </c>
      <c r="K28" s="78">
        <f>IF($A28="","",C28+E28+G28)</f>
        <v/>
      </c>
      <c r="L28" s="79">
        <f>IF($A28="","",J28+H28)</f>
        <v/>
      </c>
      <c r="M28" s="80">
        <f>IF($A28="","",K28+I28)</f>
        <v/>
      </c>
      <c r="N28" s="77">
        <f>IF($A28="","",SUMIFS($J$5:$J$800,$A$5:$A$800,"&gt;="&amp;DATE(YEAR($A28),MONTH($A28),1),$A$5:$A$800,"&lt;="&amp;$A28)+IF(AND(YEAR($A28)=YEAR(Settings!$B$3),MONTH($A28)=MONTH(Settings!$B$3)),Settings!$B$10,0))</f>
        <v/>
      </c>
      <c r="O28" s="78">
        <f>IF($A28="","",SUMIFS($K$5:$K$800,$A$5:$A$800,"&gt;="&amp;DATE(YEAR($A28),MONTH($A28),1),$A$5:$A$800,"&lt;="&amp;$A28)+IF(AND(YEAR($A28)=YEAR(Settings!$B$3),MONTH($A28)=MONTH(Settings!$B$3)),Settings!$B$11,0))</f>
        <v/>
      </c>
      <c r="P28" s="77">
        <f>IF($A28="","",SUMIFS($H$5:$H$800,$A$5:$A$800,"&gt;="&amp;DATE(YEAR($A28),MONTH($A28),1),$A$5:$A$800,"&lt;="&amp;$A28)+IF(AND(YEAR($A28)=YEAR(Settings!$B$3),MONTH($A28)=MONTH(Settings!$B$3)),Settings!$B$12,0))</f>
        <v/>
      </c>
      <c r="Q28" s="78">
        <f>IF($A28="","",SUMIFS($I$5:$I$800,$A$5:$A$800,"&gt;="&amp;DATE(YEAR($A28),MONTH($A28),1),$A$5:$A$800,"&lt;="&amp;$A28)+IF(AND(YEAR($A28)=YEAR(Settings!$B$3),MONTH($A28)=MONTH(Settings!$B$3)),Settings!$B$13,0))</f>
        <v/>
      </c>
      <c r="R28" s="77">
        <f>IF($A28="","",N28+P28)</f>
        <v/>
      </c>
      <c r="S28" s="78">
        <f>IF($A28="","",O28+Q28)</f>
        <v/>
      </c>
    </row>
    <row r="29">
      <c r="A29" s="67" t="n"/>
      <c r="B29" s="75" t="n"/>
      <c r="C29" s="76" t="n"/>
      <c r="D29" s="75" t="n"/>
      <c r="E29" s="76" t="n"/>
      <c r="F29" s="75" t="n"/>
      <c r="G29" s="76" t="n"/>
      <c r="H29" s="75" t="n"/>
      <c r="I29" s="76" t="n"/>
      <c r="J29" s="77">
        <f>IF($A29="","",B29+D29+F29)</f>
        <v/>
      </c>
      <c r="K29" s="78">
        <f>IF($A29="","",C29+E29+G29)</f>
        <v/>
      </c>
      <c r="L29" s="79">
        <f>IF($A29="","",J29+H29)</f>
        <v/>
      </c>
      <c r="M29" s="80">
        <f>IF($A29="","",K29+I29)</f>
        <v/>
      </c>
      <c r="N29" s="77">
        <f>IF($A29="","",SUMIFS($J$5:$J$800,$A$5:$A$800,"&gt;="&amp;DATE(YEAR($A29),MONTH($A29),1),$A$5:$A$800,"&lt;="&amp;$A29)+IF(AND(YEAR($A29)=YEAR(Settings!$B$3),MONTH($A29)=MONTH(Settings!$B$3)),Settings!$B$10,0))</f>
        <v/>
      </c>
      <c r="O29" s="78">
        <f>IF($A29="","",SUMIFS($K$5:$K$800,$A$5:$A$800,"&gt;="&amp;DATE(YEAR($A29),MONTH($A29),1),$A$5:$A$800,"&lt;="&amp;$A29)+IF(AND(YEAR($A29)=YEAR(Settings!$B$3),MONTH($A29)=MONTH(Settings!$B$3)),Settings!$B$11,0))</f>
        <v/>
      </c>
      <c r="P29" s="77">
        <f>IF($A29="","",SUMIFS($H$5:$H$800,$A$5:$A$800,"&gt;="&amp;DATE(YEAR($A29),MONTH($A29),1),$A$5:$A$800,"&lt;="&amp;$A29)+IF(AND(YEAR($A29)=YEAR(Settings!$B$3),MONTH($A29)=MONTH(Settings!$B$3)),Settings!$B$12,0))</f>
        <v/>
      </c>
      <c r="Q29" s="78">
        <f>IF($A29="","",SUMIFS($I$5:$I$800,$A$5:$A$800,"&gt;="&amp;DATE(YEAR($A29),MONTH($A29),1),$A$5:$A$800,"&lt;="&amp;$A29)+IF(AND(YEAR($A29)=YEAR(Settings!$B$3),MONTH($A29)=MONTH(Settings!$B$3)),Settings!$B$13,0))</f>
        <v/>
      </c>
      <c r="R29" s="77">
        <f>IF($A29="","",N29+P29)</f>
        <v/>
      </c>
      <c r="S29" s="78">
        <f>IF($A29="","",O29+Q29)</f>
        <v/>
      </c>
    </row>
    <row r="30">
      <c r="A30" s="67" t="n"/>
      <c r="B30" s="75" t="n"/>
      <c r="C30" s="76" t="n"/>
      <c r="D30" s="75" t="n"/>
      <c r="E30" s="76" t="n"/>
      <c r="F30" s="75" t="n"/>
      <c r="G30" s="76" t="n"/>
      <c r="H30" s="75" t="n"/>
      <c r="I30" s="76" t="n"/>
      <c r="J30" s="77">
        <f>IF($A30="","",B30+D30+F30)</f>
        <v/>
      </c>
      <c r="K30" s="78">
        <f>IF($A30="","",C30+E30+G30)</f>
        <v/>
      </c>
      <c r="L30" s="79">
        <f>IF($A30="","",J30+H30)</f>
        <v/>
      </c>
      <c r="M30" s="80">
        <f>IF($A30="","",K30+I30)</f>
        <v/>
      </c>
      <c r="N30" s="77">
        <f>IF($A30="","",SUMIFS($J$5:$J$800,$A$5:$A$800,"&gt;="&amp;DATE(YEAR($A30),MONTH($A30),1),$A$5:$A$800,"&lt;="&amp;$A30)+IF(AND(YEAR($A30)=YEAR(Settings!$B$3),MONTH($A30)=MONTH(Settings!$B$3)),Settings!$B$10,0))</f>
        <v/>
      </c>
      <c r="O30" s="78">
        <f>IF($A30="","",SUMIFS($K$5:$K$800,$A$5:$A$800,"&gt;="&amp;DATE(YEAR($A30),MONTH($A30),1),$A$5:$A$800,"&lt;="&amp;$A30)+IF(AND(YEAR($A30)=YEAR(Settings!$B$3),MONTH($A30)=MONTH(Settings!$B$3)),Settings!$B$11,0))</f>
        <v/>
      </c>
      <c r="P30" s="77">
        <f>IF($A30="","",SUMIFS($H$5:$H$800,$A$5:$A$800,"&gt;="&amp;DATE(YEAR($A30),MONTH($A30),1),$A$5:$A$800,"&lt;="&amp;$A30)+IF(AND(YEAR($A30)=YEAR(Settings!$B$3),MONTH($A30)=MONTH(Settings!$B$3)),Settings!$B$12,0))</f>
        <v/>
      </c>
      <c r="Q30" s="78">
        <f>IF($A30="","",SUMIFS($I$5:$I$800,$A$5:$A$800,"&gt;="&amp;DATE(YEAR($A30),MONTH($A30),1),$A$5:$A$800,"&lt;="&amp;$A30)+IF(AND(YEAR($A30)=YEAR(Settings!$B$3),MONTH($A30)=MONTH(Settings!$B$3)),Settings!$B$13,0))</f>
        <v/>
      </c>
      <c r="R30" s="77">
        <f>IF($A30="","",N30+P30)</f>
        <v/>
      </c>
      <c r="S30" s="78">
        <f>IF($A30="","",O30+Q30)</f>
        <v/>
      </c>
    </row>
    <row r="31">
      <c r="A31" s="67" t="n"/>
      <c r="B31" s="75" t="n"/>
      <c r="C31" s="76" t="n"/>
      <c r="D31" s="75" t="n"/>
      <c r="E31" s="76" t="n"/>
      <c r="F31" s="75" t="n"/>
      <c r="G31" s="76" t="n"/>
      <c r="H31" s="75" t="n"/>
      <c r="I31" s="76" t="n"/>
      <c r="J31" s="77">
        <f>IF($A31="","",B31+D31+F31)</f>
        <v/>
      </c>
      <c r="K31" s="78">
        <f>IF($A31="","",C31+E31+G31)</f>
        <v/>
      </c>
      <c r="L31" s="79">
        <f>IF($A31="","",J31+H31)</f>
        <v/>
      </c>
      <c r="M31" s="80">
        <f>IF($A31="","",K31+I31)</f>
        <v/>
      </c>
      <c r="N31" s="77">
        <f>IF($A31="","",SUMIFS($J$5:$J$800,$A$5:$A$800,"&gt;="&amp;DATE(YEAR($A31),MONTH($A31),1),$A$5:$A$800,"&lt;="&amp;$A31)+IF(AND(YEAR($A31)=YEAR(Settings!$B$3),MONTH($A31)=MONTH(Settings!$B$3)),Settings!$B$10,0))</f>
        <v/>
      </c>
      <c r="O31" s="78">
        <f>IF($A31="","",SUMIFS($K$5:$K$800,$A$5:$A$800,"&gt;="&amp;DATE(YEAR($A31),MONTH($A31),1),$A$5:$A$800,"&lt;="&amp;$A31)+IF(AND(YEAR($A31)=YEAR(Settings!$B$3),MONTH($A31)=MONTH(Settings!$B$3)),Settings!$B$11,0))</f>
        <v/>
      </c>
      <c r="P31" s="77">
        <f>IF($A31="","",SUMIFS($H$5:$H$800,$A$5:$A$800,"&gt;="&amp;DATE(YEAR($A31),MONTH($A31),1),$A$5:$A$800,"&lt;="&amp;$A31)+IF(AND(YEAR($A31)=YEAR(Settings!$B$3),MONTH($A31)=MONTH(Settings!$B$3)),Settings!$B$12,0))</f>
        <v/>
      </c>
      <c r="Q31" s="78">
        <f>IF($A31="","",SUMIFS($I$5:$I$800,$A$5:$A$800,"&gt;="&amp;DATE(YEAR($A31),MONTH($A31),1),$A$5:$A$800,"&lt;="&amp;$A31)+IF(AND(YEAR($A31)=YEAR(Settings!$B$3),MONTH($A31)=MONTH(Settings!$B$3)),Settings!$B$13,0))</f>
        <v/>
      </c>
      <c r="R31" s="77">
        <f>IF($A31="","",N31+P31)</f>
        <v/>
      </c>
      <c r="S31" s="78">
        <f>IF($A31="","",O31+Q31)</f>
        <v/>
      </c>
    </row>
    <row r="32">
      <c r="A32" s="67" t="n"/>
      <c r="B32" s="75" t="n"/>
      <c r="C32" s="76" t="n"/>
      <c r="D32" s="75" t="n"/>
      <c r="E32" s="76" t="n"/>
      <c r="F32" s="75" t="n"/>
      <c r="G32" s="76" t="n"/>
      <c r="H32" s="75" t="n"/>
      <c r="I32" s="76" t="n"/>
      <c r="J32" s="77">
        <f>IF($A32="","",B32+D32+F32)</f>
        <v/>
      </c>
      <c r="K32" s="78">
        <f>IF($A32="","",C32+E32+G32)</f>
        <v/>
      </c>
      <c r="L32" s="79">
        <f>IF($A32="","",J32+H32)</f>
        <v/>
      </c>
      <c r="M32" s="80">
        <f>IF($A32="","",K32+I32)</f>
        <v/>
      </c>
      <c r="N32" s="77">
        <f>IF($A32="","",SUMIFS($J$5:$J$800,$A$5:$A$800,"&gt;="&amp;DATE(YEAR($A32),MONTH($A32),1),$A$5:$A$800,"&lt;="&amp;$A32)+IF(AND(YEAR($A32)=YEAR(Settings!$B$3),MONTH($A32)=MONTH(Settings!$B$3)),Settings!$B$10,0))</f>
        <v/>
      </c>
      <c r="O32" s="78">
        <f>IF($A32="","",SUMIFS($K$5:$K$800,$A$5:$A$800,"&gt;="&amp;DATE(YEAR($A32),MONTH($A32),1),$A$5:$A$800,"&lt;="&amp;$A32)+IF(AND(YEAR($A32)=YEAR(Settings!$B$3),MONTH($A32)=MONTH(Settings!$B$3)),Settings!$B$11,0))</f>
        <v/>
      </c>
      <c r="P32" s="77">
        <f>IF($A32="","",SUMIFS($H$5:$H$800,$A$5:$A$800,"&gt;="&amp;DATE(YEAR($A32),MONTH($A32),1),$A$5:$A$800,"&lt;="&amp;$A32)+IF(AND(YEAR($A32)=YEAR(Settings!$B$3),MONTH($A32)=MONTH(Settings!$B$3)),Settings!$B$12,0))</f>
        <v/>
      </c>
      <c r="Q32" s="78">
        <f>IF($A32="","",SUMIFS($I$5:$I$800,$A$5:$A$800,"&gt;="&amp;DATE(YEAR($A32),MONTH($A32),1),$A$5:$A$800,"&lt;="&amp;$A32)+IF(AND(YEAR($A32)=YEAR(Settings!$B$3),MONTH($A32)=MONTH(Settings!$B$3)),Settings!$B$13,0))</f>
        <v/>
      </c>
      <c r="R32" s="77">
        <f>IF($A32="","",N32+P32)</f>
        <v/>
      </c>
      <c r="S32" s="78">
        <f>IF($A32="","",O32+Q32)</f>
        <v/>
      </c>
    </row>
    <row r="33">
      <c r="A33" s="67" t="n"/>
      <c r="B33" s="75" t="n"/>
      <c r="C33" s="76" t="n"/>
      <c r="D33" s="75" t="n"/>
      <c r="E33" s="76" t="n"/>
      <c r="F33" s="75" t="n"/>
      <c r="G33" s="76" t="n"/>
      <c r="H33" s="75" t="n"/>
      <c r="I33" s="76" t="n"/>
      <c r="J33" s="77">
        <f>IF($A33="","",B33+D33+F33)</f>
        <v/>
      </c>
      <c r="K33" s="78">
        <f>IF($A33="","",C33+E33+G33)</f>
        <v/>
      </c>
      <c r="L33" s="79">
        <f>IF($A33="","",J33+H33)</f>
        <v/>
      </c>
      <c r="M33" s="80">
        <f>IF($A33="","",K33+I33)</f>
        <v/>
      </c>
      <c r="N33" s="77">
        <f>IF($A33="","",SUMIFS($J$5:$J$800,$A$5:$A$800,"&gt;="&amp;DATE(YEAR($A33),MONTH($A33),1),$A$5:$A$800,"&lt;="&amp;$A33)+IF(AND(YEAR($A33)=YEAR(Settings!$B$3),MONTH($A33)=MONTH(Settings!$B$3)),Settings!$B$10,0))</f>
        <v/>
      </c>
      <c r="O33" s="78">
        <f>IF($A33="","",SUMIFS($K$5:$K$800,$A$5:$A$800,"&gt;="&amp;DATE(YEAR($A33),MONTH($A33),1),$A$5:$A$800,"&lt;="&amp;$A33)+IF(AND(YEAR($A33)=YEAR(Settings!$B$3),MONTH($A33)=MONTH(Settings!$B$3)),Settings!$B$11,0))</f>
        <v/>
      </c>
      <c r="P33" s="77">
        <f>IF($A33="","",SUMIFS($H$5:$H$800,$A$5:$A$800,"&gt;="&amp;DATE(YEAR($A33),MONTH($A33),1),$A$5:$A$800,"&lt;="&amp;$A33)+IF(AND(YEAR($A33)=YEAR(Settings!$B$3),MONTH($A33)=MONTH(Settings!$B$3)),Settings!$B$12,0))</f>
        <v/>
      </c>
      <c r="Q33" s="78">
        <f>IF($A33="","",SUMIFS($I$5:$I$800,$A$5:$A$800,"&gt;="&amp;DATE(YEAR($A33),MONTH($A33),1),$A$5:$A$800,"&lt;="&amp;$A33)+IF(AND(YEAR($A33)=YEAR(Settings!$B$3),MONTH($A33)=MONTH(Settings!$B$3)),Settings!$B$13,0))</f>
        <v/>
      </c>
      <c r="R33" s="77">
        <f>IF($A33="","",N33+P33)</f>
        <v/>
      </c>
      <c r="S33" s="78">
        <f>IF($A33="","",O33+Q33)</f>
        <v/>
      </c>
    </row>
    <row r="34">
      <c r="A34" s="67" t="n"/>
      <c r="B34" s="75" t="n"/>
      <c r="C34" s="76" t="n"/>
      <c r="D34" s="75" t="n"/>
      <c r="E34" s="76" t="n"/>
      <c r="F34" s="75" t="n"/>
      <c r="G34" s="76" t="n"/>
      <c r="H34" s="75" t="n"/>
      <c r="I34" s="76" t="n"/>
      <c r="J34" s="77">
        <f>IF($A34="","",B34+D34+F34)</f>
        <v/>
      </c>
      <c r="K34" s="78">
        <f>IF($A34="","",C34+E34+G34)</f>
        <v/>
      </c>
      <c r="L34" s="79">
        <f>IF($A34="","",J34+H34)</f>
        <v/>
      </c>
      <c r="M34" s="80">
        <f>IF($A34="","",K34+I34)</f>
        <v/>
      </c>
      <c r="N34" s="77">
        <f>IF($A34="","",SUMIFS($J$5:$J$800,$A$5:$A$800,"&gt;="&amp;DATE(YEAR($A34),MONTH($A34),1),$A$5:$A$800,"&lt;="&amp;$A34)+IF(AND(YEAR($A34)=YEAR(Settings!$B$3),MONTH($A34)=MONTH(Settings!$B$3)),Settings!$B$10,0))</f>
        <v/>
      </c>
      <c r="O34" s="78">
        <f>IF($A34="","",SUMIFS($K$5:$K$800,$A$5:$A$800,"&gt;="&amp;DATE(YEAR($A34),MONTH($A34),1),$A$5:$A$800,"&lt;="&amp;$A34)+IF(AND(YEAR($A34)=YEAR(Settings!$B$3),MONTH($A34)=MONTH(Settings!$B$3)),Settings!$B$11,0))</f>
        <v/>
      </c>
      <c r="P34" s="77">
        <f>IF($A34="","",SUMIFS($H$5:$H$800,$A$5:$A$800,"&gt;="&amp;DATE(YEAR($A34),MONTH($A34),1),$A$5:$A$800,"&lt;="&amp;$A34)+IF(AND(YEAR($A34)=YEAR(Settings!$B$3),MONTH($A34)=MONTH(Settings!$B$3)),Settings!$B$12,0))</f>
        <v/>
      </c>
      <c r="Q34" s="78">
        <f>IF($A34="","",SUMIFS($I$5:$I$800,$A$5:$A$800,"&gt;="&amp;DATE(YEAR($A34),MONTH($A34),1),$A$5:$A$800,"&lt;="&amp;$A34)+IF(AND(YEAR($A34)=YEAR(Settings!$B$3),MONTH($A34)=MONTH(Settings!$B$3)),Settings!$B$13,0))</f>
        <v/>
      </c>
      <c r="R34" s="77">
        <f>IF($A34="","",N34+P34)</f>
        <v/>
      </c>
      <c r="S34" s="78">
        <f>IF($A34="","",O34+Q34)</f>
        <v/>
      </c>
    </row>
    <row r="35">
      <c r="A35" s="67" t="n"/>
      <c r="B35" s="75" t="n"/>
      <c r="C35" s="76" t="n"/>
      <c r="D35" s="75" t="n"/>
      <c r="E35" s="76" t="n"/>
      <c r="F35" s="75" t="n"/>
      <c r="G35" s="76" t="n"/>
      <c r="H35" s="75" t="n"/>
      <c r="I35" s="76" t="n"/>
      <c r="J35" s="77">
        <f>IF($A35="","",B35+D35+F35)</f>
        <v/>
      </c>
      <c r="K35" s="78">
        <f>IF($A35="","",C35+E35+G35)</f>
        <v/>
      </c>
      <c r="L35" s="79">
        <f>IF($A35="","",J35+H35)</f>
        <v/>
      </c>
      <c r="M35" s="80">
        <f>IF($A35="","",K35+I35)</f>
        <v/>
      </c>
      <c r="N35" s="77">
        <f>IF($A35="","",SUMIFS($J$5:$J$800,$A$5:$A$800,"&gt;="&amp;DATE(YEAR($A35),MONTH($A35),1),$A$5:$A$800,"&lt;="&amp;$A35)+IF(AND(YEAR($A35)=YEAR(Settings!$B$3),MONTH($A35)=MONTH(Settings!$B$3)),Settings!$B$10,0))</f>
        <v/>
      </c>
      <c r="O35" s="78">
        <f>IF($A35="","",SUMIFS($K$5:$K$800,$A$5:$A$800,"&gt;="&amp;DATE(YEAR($A35),MONTH($A35),1),$A$5:$A$800,"&lt;="&amp;$A35)+IF(AND(YEAR($A35)=YEAR(Settings!$B$3),MONTH($A35)=MONTH(Settings!$B$3)),Settings!$B$11,0))</f>
        <v/>
      </c>
      <c r="P35" s="77">
        <f>IF($A35="","",SUMIFS($H$5:$H$800,$A$5:$A$800,"&gt;="&amp;DATE(YEAR($A35),MONTH($A35),1),$A$5:$A$800,"&lt;="&amp;$A35)+IF(AND(YEAR($A35)=YEAR(Settings!$B$3),MONTH($A35)=MONTH(Settings!$B$3)),Settings!$B$12,0))</f>
        <v/>
      </c>
      <c r="Q35" s="78">
        <f>IF($A35="","",SUMIFS($I$5:$I$800,$A$5:$A$800,"&gt;="&amp;DATE(YEAR($A35),MONTH($A35),1),$A$5:$A$800,"&lt;="&amp;$A35)+IF(AND(YEAR($A35)=YEAR(Settings!$B$3),MONTH($A35)=MONTH(Settings!$B$3)),Settings!$B$13,0))</f>
        <v/>
      </c>
      <c r="R35" s="77">
        <f>IF($A35="","",N35+P35)</f>
        <v/>
      </c>
      <c r="S35" s="78">
        <f>IF($A35="","",O35+Q35)</f>
        <v/>
      </c>
    </row>
    <row r="36">
      <c r="A36" s="67" t="n"/>
      <c r="B36" s="75" t="n"/>
      <c r="C36" s="76" t="n"/>
      <c r="D36" s="75" t="n"/>
      <c r="E36" s="76" t="n"/>
      <c r="F36" s="75" t="n"/>
      <c r="G36" s="76" t="n"/>
      <c r="H36" s="75" t="n"/>
      <c r="I36" s="76" t="n"/>
      <c r="J36" s="77">
        <f>IF($A36="","",B36+D36+F36)</f>
        <v/>
      </c>
      <c r="K36" s="78">
        <f>IF($A36="","",C36+E36+G36)</f>
        <v/>
      </c>
      <c r="L36" s="79">
        <f>IF($A36="","",J36+H36)</f>
        <v/>
      </c>
      <c r="M36" s="80">
        <f>IF($A36="","",K36+I36)</f>
        <v/>
      </c>
      <c r="N36" s="77">
        <f>IF($A36="","",SUMIFS($J$5:$J$800,$A$5:$A$800,"&gt;="&amp;DATE(YEAR($A36),MONTH($A36),1),$A$5:$A$800,"&lt;="&amp;$A36)+IF(AND(YEAR($A36)=YEAR(Settings!$B$3),MONTH($A36)=MONTH(Settings!$B$3)),Settings!$B$10,0))</f>
        <v/>
      </c>
      <c r="O36" s="78">
        <f>IF($A36="","",SUMIFS($K$5:$K$800,$A$5:$A$800,"&gt;="&amp;DATE(YEAR($A36),MONTH($A36),1),$A$5:$A$800,"&lt;="&amp;$A36)+IF(AND(YEAR($A36)=YEAR(Settings!$B$3),MONTH($A36)=MONTH(Settings!$B$3)),Settings!$B$11,0))</f>
        <v/>
      </c>
      <c r="P36" s="77">
        <f>IF($A36="","",SUMIFS($H$5:$H$800,$A$5:$A$800,"&gt;="&amp;DATE(YEAR($A36),MONTH($A36),1),$A$5:$A$800,"&lt;="&amp;$A36)+IF(AND(YEAR($A36)=YEAR(Settings!$B$3),MONTH($A36)=MONTH(Settings!$B$3)),Settings!$B$12,0))</f>
        <v/>
      </c>
      <c r="Q36" s="78">
        <f>IF($A36="","",SUMIFS($I$5:$I$800,$A$5:$A$800,"&gt;="&amp;DATE(YEAR($A36),MONTH($A36),1),$A$5:$A$800,"&lt;="&amp;$A36)+IF(AND(YEAR($A36)=YEAR(Settings!$B$3),MONTH($A36)=MONTH(Settings!$B$3)),Settings!$B$13,0))</f>
        <v/>
      </c>
      <c r="R36" s="77">
        <f>IF($A36="","",N36+P36)</f>
        <v/>
      </c>
      <c r="S36" s="78">
        <f>IF($A36="","",O36+Q36)</f>
        <v/>
      </c>
    </row>
    <row r="37">
      <c r="A37" s="67" t="n"/>
      <c r="B37" s="75" t="n"/>
      <c r="C37" s="76" t="n"/>
      <c r="D37" s="75" t="n"/>
      <c r="E37" s="76" t="n"/>
      <c r="F37" s="75" t="n"/>
      <c r="G37" s="76" t="n"/>
      <c r="H37" s="75" t="n"/>
      <c r="I37" s="76" t="n"/>
      <c r="J37" s="77">
        <f>IF($A37="","",B37+D37+F37)</f>
        <v/>
      </c>
      <c r="K37" s="78">
        <f>IF($A37="","",C37+E37+G37)</f>
        <v/>
      </c>
      <c r="L37" s="79">
        <f>IF($A37="","",J37+H37)</f>
        <v/>
      </c>
      <c r="M37" s="80">
        <f>IF($A37="","",K37+I37)</f>
        <v/>
      </c>
      <c r="N37" s="77">
        <f>IF($A37="","",SUMIFS($J$5:$J$800,$A$5:$A$800,"&gt;="&amp;DATE(YEAR($A37),MONTH($A37),1),$A$5:$A$800,"&lt;="&amp;$A37)+IF(AND(YEAR($A37)=YEAR(Settings!$B$3),MONTH($A37)=MONTH(Settings!$B$3)),Settings!$B$10,0))</f>
        <v/>
      </c>
      <c r="O37" s="78">
        <f>IF($A37="","",SUMIFS($K$5:$K$800,$A$5:$A$800,"&gt;="&amp;DATE(YEAR($A37),MONTH($A37),1),$A$5:$A$800,"&lt;="&amp;$A37)+IF(AND(YEAR($A37)=YEAR(Settings!$B$3),MONTH($A37)=MONTH(Settings!$B$3)),Settings!$B$11,0))</f>
        <v/>
      </c>
      <c r="P37" s="77">
        <f>IF($A37="","",SUMIFS($H$5:$H$800,$A$5:$A$800,"&gt;="&amp;DATE(YEAR($A37),MONTH($A37),1),$A$5:$A$800,"&lt;="&amp;$A37)+IF(AND(YEAR($A37)=YEAR(Settings!$B$3),MONTH($A37)=MONTH(Settings!$B$3)),Settings!$B$12,0))</f>
        <v/>
      </c>
      <c r="Q37" s="78">
        <f>IF($A37="","",SUMIFS($I$5:$I$800,$A$5:$A$800,"&gt;="&amp;DATE(YEAR($A37),MONTH($A37),1),$A$5:$A$800,"&lt;="&amp;$A37)+IF(AND(YEAR($A37)=YEAR(Settings!$B$3),MONTH($A37)=MONTH(Settings!$B$3)),Settings!$B$13,0))</f>
        <v/>
      </c>
      <c r="R37" s="77">
        <f>IF($A37="","",N37+P37)</f>
        <v/>
      </c>
      <c r="S37" s="78">
        <f>IF($A37="","",O37+Q37)</f>
        <v/>
      </c>
    </row>
    <row r="38">
      <c r="A38" s="67" t="n"/>
      <c r="B38" s="75" t="n"/>
      <c r="C38" s="76" t="n"/>
      <c r="D38" s="75" t="n"/>
      <c r="E38" s="76" t="n"/>
      <c r="F38" s="75" t="n"/>
      <c r="G38" s="76" t="n"/>
      <c r="H38" s="75" t="n"/>
      <c r="I38" s="76" t="n"/>
      <c r="J38" s="77">
        <f>IF($A38="","",B38+D38+F38)</f>
        <v/>
      </c>
      <c r="K38" s="78">
        <f>IF($A38="","",C38+E38+G38)</f>
        <v/>
      </c>
      <c r="L38" s="79">
        <f>IF($A38="","",J38+H38)</f>
        <v/>
      </c>
      <c r="M38" s="80">
        <f>IF($A38="","",K38+I38)</f>
        <v/>
      </c>
      <c r="N38" s="77">
        <f>IF($A38="","",SUMIFS($J$5:$J$800,$A$5:$A$800,"&gt;="&amp;DATE(YEAR($A38),MONTH($A38),1),$A$5:$A$800,"&lt;="&amp;$A38)+IF(AND(YEAR($A38)=YEAR(Settings!$B$3),MONTH($A38)=MONTH(Settings!$B$3)),Settings!$B$10,0))</f>
        <v/>
      </c>
      <c r="O38" s="78">
        <f>IF($A38="","",SUMIFS($K$5:$K$800,$A$5:$A$800,"&gt;="&amp;DATE(YEAR($A38),MONTH($A38),1),$A$5:$A$800,"&lt;="&amp;$A38)+IF(AND(YEAR($A38)=YEAR(Settings!$B$3),MONTH($A38)=MONTH(Settings!$B$3)),Settings!$B$11,0))</f>
        <v/>
      </c>
      <c r="P38" s="77">
        <f>IF($A38="","",SUMIFS($H$5:$H$800,$A$5:$A$800,"&gt;="&amp;DATE(YEAR($A38),MONTH($A38),1),$A$5:$A$800,"&lt;="&amp;$A38)+IF(AND(YEAR($A38)=YEAR(Settings!$B$3),MONTH($A38)=MONTH(Settings!$B$3)),Settings!$B$12,0))</f>
        <v/>
      </c>
      <c r="Q38" s="78">
        <f>IF($A38="","",SUMIFS($I$5:$I$800,$A$5:$A$800,"&gt;="&amp;DATE(YEAR($A38),MONTH($A38),1),$A$5:$A$800,"&lt;="&amp;$A38)+IF(AND(YEAR($A38)=YEAR(Settings!$B$3),MONTH($A38)=MONTH(Settings!$B$3)),Settings!$B$13,0))</f>
        <v/>
      </c>
      <c r="R38" s="77">
        <f>IF($A38="","",N38+P38)</f>
        <v/>
      </c>
      <c r="S38" s="78">
        <f>IF($A38="","",O38+Q38)</f>
        <v/>
      </c>
    </row>
    <row r="39">
      <c r="A39" s="67" t="n"/>
      <c r="B39" s="75" t="n"/>
      <c r="C39" s="76" t="n"/>
      <c r="D39" s="75" t="n"/>
      <c r="E39" s="76" t="n"/>
      <c r="F39" s="75" t="n"/>
      <c r="G39" s="76" t="n"/>
      <c r="H39" s="75" t="n"/>
      <c r="I39" s="76" t="n"/>
      <c r="J39" s="77">
        <f>IF($A39="","",B39+D39+F39)</f>
        <v/>
      </c>
      <c r="K39" s="78">
        <f>IF($A39="","",C39+E39+G39)</f>
        <v/>
      </c>
      <c r="L39" s="79">
        <f>IF($A39="","",J39+H39)</f>
        <v/>
      </c>
      <c r="M39" s="80">
        <f>IF($A39="","",K39+I39)</f>
        <v/>
      </c>
      <c r="N39" s="77">
        <f>IF($A39="","",SUMIFS($J$5:$J$800,$A$5:$A$800,"&gt;="&amp;DATE(YEAR($A39),MONTH($A39),1),$A$5:$A$800,"&lt;="&amp;$A39)+IF(AND(YEAR($A39)=YEAR(Settings!$B$3),MONTH($A39)=MONTH(Settings!$B$3)),Settings!$B$10,0))</f>
        <v/>
      </c>
      <c r="O39" s="78">
        <f>IF($A39="","",SUMIFS($K$5:$K$800,$A$5:$A$800,"&gt;="&amp;DATE(YEAR($A39),MONTH($A39),1),$A$5:$A$800,"&lt;="&amp;$A39)+IF(AND(YEAR($A39)=YEAR(Settings!$B$3),MONTH($A39)=MONTH(Settings!$B$3)),Settings!$B$11,0))</f>
        <v/>
      </c>
      <c r="P39" s="77">
        <f>IF($A39="","",SUMIFS($H$5:$H$800,$A$5:$A$800,"&gt;="&amp;DATE(YEAR($A39),MONTH($A39),1),$A$5:$A$800,"&lt;="&amp;$A39)+IF(AND(YEAR($A39)=YEAR(Settings!$B$3),MONTH($A39)=MONTH(Settings!$B$3)),Settings!$B$12,0))</f>
        <v/>
      </c>
      <c r="Q39" s="78">
        <f>IF($A39="","",SUMIFS($I$5:$I$800,$A$5:$A$800,"&gt;="&amp;DATE(YEAR($A39),MONTH($A39),1),$A$5:$A$800,"&lt;="&amp;$A39)+IF(AND(YEAR($A39)=YEAR(Settings!$B$3),MONTH($A39)=MONTH(Settings!$B$3)),Settings!$B$13,0))</f>
        <v/>
      </c>
      <c r="R39" s="77">
        <f>IF($A39="","",N39+P39)</f>
        <v/>
      </c>
      <c r="S39" s="78">
        <f>IF($A39="","",O39+Q39)</f>
        <v/>
      </c>
    </row>
    <row r="40">
      <c r="A40" s="67" t="n"/>
      <c r="B40" s="75" t="n"/>
      <c r="C40" s="76" t="n"/>
      <c r="D40" s="75" t="n"/>
      <c r="E40" s="76" t="n"/>
      <c r="F40" s="75" t="n"/>
      <c r="G40" s="76" t="n"/>
      <c r="H40" s="75" t="n"/>
      <c r="I40" s="76" t="n"/>
      <c r="J40" s="77">
        <f>IF($A40="","",B40+D40+F40)</f>
        <v/>
      </c>
      <c r="K40" s="78">
        <f>IF($A40="","",C40+E40+G40)</f>
        <v/>
      </c>
      <c r="L40" s="79">
        <f>IF($A40="","",J40+H40)</f>
        <v/>
      </c>
      <c r="M40" s="80">
        <f>IF($A40="","",K40+I40)</f>
        <v/>
      </c>
      <c r="N40" s="77">
        <f>IF($A40="","",SUMIFS($J$5:$J$800,$A$5:$A$800,"&gt;="&amp;DATE(YEAR($A40),MONTH($A40),1),$A$5:$A$800,"&lt;="&amp;$A40)+IF(AND(YEAR($A40)=YEAR(Settings!$B$3),MONTH($A40)=MONTH(Settings!$B$3)),Settings!$B$10,0))</f>
        <v/>
      </c>
      <c r="O40" s="78">
        <f>IF($A40="","",SUMIFS($K$5:$K$800,$A$5:$A$800,"&gt;="&amp;DATE(YEAR($A40),MONTH($A40),1),$A$5:$A$800,"&lt;="&amp;$A40)+IF(AND(YEAR($A40)=YEAR(Settings!$B$3),MONTH($A40)=MONTH(Settings!$B$3)),Settings!$B$11,0))</f>
        <v/>
      </c>
      <c r="P40" s="77">
        <f>IF($A40="","",SUMIFS($H$5:$H$800,$A$5:$A$800,"&gt;="&amp;DATE(YEAR($A40),MONTH($A40),1),$A$5:$A$800,"&lt;="&amp;$A40)+IF(AND(YEAR($A40)=YEAR(Settings!$B$3),MONTH($A40)=MONTH(Settings!$B$3)),Settings!$B$12,0))</f>
        <v/>
      </c>
      <c r="Q40" s="78">
        <f>IF($A40="","",SUMIFS($I$5:$I$800,$A$5:$A$800,"&gt;="&amp;DATE(YEAR($A40),MONTH($A40),1),$A$5:$A$800,"&lt;="&amp;$A40)+IF(AND(YEAR($A40)=YEAR(Settings!$B$3),MONTH($A40)=MONTH(Settings!$B$3)),Settings!$B$13,0))</f>
        <v/>
      </c>
      <c r="R40" s="77">
        <f>IF($A40="","",N40+P40)</f>
        <v/>
      </c>
      <c r="S40" s="78">
        <f>IF($A40="","",O40+Q40)</f>
        <v/>
      </c>
    </row>
    <row r="41">
      <c r="A41" s="67" t="n"/>
      <c r="B41" s="75" t="n"/>
      <c r="C41" s="76" t="n"/>
      <c r="D41" s="75" t="n"/>
      <c r="E41" s="76" t="n"/>
      <c r="F41" s="75" t="n"/>
      <c r="G41" s="76" t="n"/>
      <c r="H41" s="75" t="n"/>
      <c r="I41" s="76" t="n"/>
      <c r="J41" s="77">
        <f>IF($A41="","",B41+D41+F41)</f>
        <v/>
      </c>
      <c r="K41" s="78">
        <f>IF($A41="","",C41+E41+G41)</f>
        <v/>
      </c>
      <c r="L41" s="79">
        <f>IF($A41="","",J41+H41)</f>
        <v/>
      </c>
      <c r="M41" s="80">
        <f>IF($A41="","",K41+I41)</f>
        <v/>
      </c>
      <c r="N41" s="77">
        <f>IF($A41="","",SUMIFS($J$5:$J$800,$A$5:$A$800,"&gt;="&amp;DATE(YEAR($A41),MONTH($A41),1),$A$5:$A$800,"&lt;="&amp;$A41)+IF(AND(YEAR($A41)=YEAR(Settings!$B$3),MONTH($A41)=MONTH(Settings!$B$3)),Settings!$B$10,0))</f>
        <v/>
      </c>
      <c r="O41" s="78">
        <f>IF($A41="","",SUMIFS($K$5:$K$800,$A$5:$A$800,"&gt;="&amp;DATE(YEAR($A41),MONTH($A41),1),$A$5:$A$800,"&lt;="&amp;$A41)+IF(AND(YEAR($A41)=YEAR(Settings!$B$3),MONTH($A41)=MONTH(Settings!$B$3)),Settings!$B$11,0))</f>
        <v/>
      </c>
      <c r="P41" s="77">
        <f>IF($A41="","",SUMIFS($H$5:$H$800,$A$5:$A$800,"&gt;="&amp;DATE(YEAR($A41),MONTH($A41),1),$A$5:$A$800,"&lt;="&amp;$A41)+IF(AND(YEAR($A41)=YEAR(Settings!$B$3),MONTH($A41)=MONTH(Settings!$B$3)),Settings!$B$12,0))</f>
        <v/>
      </c>
      <c r="Q41" s="78">
        <f>IF($A41="","",SUMIFS($I$5:$I$800,$A$5:$A$800,"&gt;="&amp;DATE(YEAR($A41),MONTH($A41),1),$A$5:$A$800,"&lt;="&amp;$A41)+IF(AND(YEAR($A41)=YEAR(Settings!$B$3),MONTH($A41)=MONTH(Settings!$B$3)),Settings!$B$13,0))</f>
        <v/>
      </c>
      <c r="R41" s="77">
        <f>IF($A41="","",N41+P41)</f>
        <v/>
      </c>
      <c r="S41" s="78">
        <f>IF($A41="","",O41+Q41)</f>
        <v/>
      </c>
    </row>
    <row r="42">
      <c r="A42" s="67" t="n"/>
      <c r="B42" s="75" t="n"/>
      <c r="C42" s="76" t="n"/>
      <c r="D42" s="75" t="n"/>
      <c r="E42" s="76" t="n"/>
      <c r="F42" s="75" t="n"/>
      <c r="G42" s="76" t="n"/>
      <c r="H42" s="75" t="n"/>
      <c r="I42" s="76" t="n"/>
      <c r="J42" s="77">
        <f>IF($A42="","",B42+D42+F42)</f>
        <v/>
      </c>
      <c r="K42" s="78">
        <f>IF($A42="","",C42+E42+G42)</f>
        <v/>
      </c>
      <c r="L42" s="79">
        <f>IF($A42="","",J42+H42)</f>
        <v/>
      </c>
      <c r="M42" s="80">
        <f>IF($A42="","",K42+I42)</f>
        <v/>
      </c>
      <c r="N42" s="77">
        <f>IF($A42="","",SUMIFS($J$5:$J$800,$A$5:$A$800,"&gt;="&amp;DATE(YEAR($A42),MONTH($A42),1),$A$5:$A$800,"&lt;="&amp;$A42)+IF(AND(YEAR($A42)=YEAR(Settings!$B$3),MONTH($A42)=MONTH(Settings!$B$3)),Settings!$B$10,0))</f>
        <v/>
      </c>
      <c r="O42" s="78">
        <f>IF($A42="","",SUMIFS($K$5:$K$800,$A$5:$A$800,"&gt;="&amp;DATE(YEAR($A42),MONTH($A42),1),$A$5:$A$800,"&lt;="&amp;$A42)+IF(AND(YEAR($A42)=YEAR(Settings!$B$3),MONTH($A42)=MONTH(Settings!$B$3)),Settings!$B$11,0))</f>
        <v/>
      </c>
      <c r="P42" s="77">
        <f>IF($A42="","",SUMIFS($H$5:$H$800,$A$5:$A$800,"&gt;="&amp;DATE(YEAR($A42),MONTH($A42),1),$A$5:$A$800,"&lt;="&amp;$A42)+IF(AND(YEAR($A42)=YEAR(Settings!$B$3),MONTH($A42)=MONTH(Settings!$B$3)),Settings!$B$12,0))</f>
        <v/>
      </c>
      <c r="Q42" s="78">
        <f>IF($A42="","",SUMIFS($I$5:$I$800,$A$5:$A$800,"&gt;="&amp;DATE(YEAR($A42),MONTH($A42),1),$A$5:$A$800,"&lt;="&amp;$A42)+IF(AND(YEAR($A42)=YEAR(Settings!$B$3),MONTH($A42)=MONTH(Settings!$B$3)),Settings!$B$13,0))</f>
        <v/>
      </c>
      <c r="R42" s="77">
        <f>IF($A42="","",N42+P42)</f>
        <v/>
      </c>
      <c r="S42" s="78">
        <f>IF($A42="","",O42+Q42)</f>
        <v/>
      </c>
    </row>
    <row r="43">
      <c r="A43" s="67" t="n"/>
      <c r="B43" s="75" t="n"/>
      <c r="C43" s="76" t="n"/>
      <c r="D43" s="75" t="n"/>
      <c r="E43" s="76" t="n"/>
      <c r="F43" s="75" t="n"/>
      <c r="G43" s="76" t="n"/>
      <c r="H43" s="75" t="n"/>
      <c r="I43" s="76" t="n"/>
      <c r="J43" s="77">
        <f>IF($A43="","",B43+D43+F43)</f>
        <v/>
      </c>
      <c r="K43" s="78">
        <f>IF($A43="","",C43+E43+G43)</f>
        <v/>
      </c>
      <c r="L43" s="79">
        <f>IF($A43="","",J43+H43)</f>
        <v/>
      </c>
      <c r="M43" s="80">
        <f>IF($A43="","",K43+I43)</f>
        <v/>
      </c>
      <c r="N43" s="77">
        <f>IF($A43="","",SUMIFS($J$5:$J$800,$A$5:$A$800,"&gt;="&amp;DATE(YEAR($A43),MONTH($A43),1),$A$5:$A$800,"&lt;="&amp;$A43)+IF(AND(YEAR($A43)=YEAR(Settings!$B$3),MONTH($A43)=MONTH(Settings!$B$3)),Settings!$B$10,0))</f>
        <v/>
      </c>
      <c r="O43" s="78">
        <f>IF($A43="","",SUMIFS($K$5:$K$800,$A$5:$A$800,"&gt;="&amp;DATE(YEAR($A43),MONTH($A43),1),$A$5:$A$800,"&lt;="&amp;$A43)+IF(AND(YEAR($A43)=YEAR(Settings!$B$3),MONTH($A43)=MONTH(Settings!$B$3)),Settings!$B$11,0))</f>
        <v/>
      </c>
      <c r="P43" s="77">
        <f>IF($A43="","",SUMIFS($H$5:$H$800,$A$5:$A$800,"&gt;="&amp;DATE(YEAR($A43),MONTH($A43),1),$A$5:$A$800,"&lt;="&amp;$A43)+IF(AND(YEAR($A43)=YEAR(Settings!$B$3),MONTH($A43)=MONTH(Settings!$B$3)),Settings!$B$12,0))</f>
        <v/>
      </c>
      <c r="Q43" s="78">
        <f>IF($A43="","",SUMIFS($I$5:$I$800,$A$5:$A$800,"&gt;="&amp;DATE(YEAR($A43),MONTH($A43),1),$A$5:$A$800,"&lt;="&amp;$A43)+IF(AND(YEAR($A43)=YEAR(Settings!$B$3),MONTH($A43)=MONTH(Settings!$B$3)),Settings!$B$13,0))</f>
        <v/>
      </c>
      <c r="R43" s="77">
        <f>IF($A43="","",N43+P43)</f>
        <v/>
      </c>
      <c r="S43" s="78">
        <f>IF($A43="","",O43+Q43)</f>
        <v/>
      </c>
    </row>
    <row r="44">
      <c r="A44" s="67" t="n"/>
      <c r="B44" s="75" t="n"/>
      <c r="C44" s="76" t="n"/>
      <c r="D44" s="75" t="n"/>
      <c r="E44" s="76" t="n"/>
      <c r="F44" s="75" t="n"/>
      <c r="G44" s="76" t="n"/>
      <c r="H44" s="75" t="n"/>
      <c r="I44" s="76" t="n"/>
      <c r="J44" s="77">
        <f>IF($A44="","",B44+D44+F44)</f>
        <v/>
      </c>
      <c r="K44" s="78">
        <f>IF($A44="","",C44+E44+G44)</f>
        <v/>
      </c>
      <c r="L44" s="79">
        <f>IF($A44="","",J44+H44)</f>
        <v/>
      </c>
      <c r="M44" s="80">
        <f>IF($A44="","",K44+I44)</f>
        <v/>
      </c>
      <c r="N44" s="77">
        <f>IF($A44="","",SUMIFS($J$5:$J$800,$A$5:$A$800,"&gt;="&amp;DATE(YEAR($A44),MONTH($A44),1),$A$5:$A$800,"&lt;="&amp;$A44)+IF(AND(YEAR($A44)=YEAR(Settings!$B$3),MONTH($A44)=MONTH(Settings!$B$3)),Settings!$B$10,0))</f>
        <v/>
      </c>
      <c r="O44" s="78">
        <f>IF($A44="","",SUMIFS($K$5:$K$800,$A$5:$A$800,"&gt;="&amp;DATE(YEAR($A44),MONTH($A44),1),$A$5:$A$800,"&lt;="&amp;$A44)+IF(AND(YEAR($A44)=YEAR(Settings!$B$3),MONTH($A44)=MONTH(Settings!$B$3)),Settings!$B$11,0))</f>
        <v/>
      </c>
      <c r="P44" s="77">
        <f>IF($A44="","",SUMIFS($H$5:$H$800,$A$5:$A$800,"&gt;="&amp;DATE(YEAR($A44),MONTH($A44),1),$A$5:$A$800,"&lt;="&amp;$A44)+IF(AND(YEAR($A44)=YEAR(Settings!$B$3),MONTH($A44)=MONTH(Settings!$B$3)),Settings!$B$12,0))</f>
        <v/>
      </c>
      <c r="Q44" s="78">
        <f>IF($A44="","",SUMIFS($I$5:$I$800,$A$5:$A$800,"&gt;="&amp;DATE(YEAR($A44),MONTH($A44),1),$A$5:$A$800,"&lt;="&amp;$A44)+IF(AND(YEAR($A44)=YEAR(Settings!$B$3),MONTH($A44)=MONTH(Settings!$B$3)),Settings!$B$13,0))</f>
        <v/>
      </c>
      <c r="R44" s="77">
        <f>IF($A44="","",N44+P44)</f>
        <v/>
      </c>
      <c r="S44" s="78">
        <f>IF($A44="","",O44+Q44)</f>
        <v/>
      </c>
    </row>
    <row r="45">
      <c r="A45" s="67" t="n"/>
      <c r="B45" s="75" t="n"/>
      <c r="C45" s="76" t="n"/>
      <c r="D45" s="75" t="n"/>
      <c r="E45" s="76" t="n"/>
      <c r="F45" s="75" t="n"/>
      <c r="G45" s="76" t="n"/>
      <c r="H45" s="75" t="n"/>
      <c r="I45" s="76" t="n"/>
      <c r="J45" s="77">
        <f>IF($A45="","",B45+D45+F45)</f>
        <v/>
      </c>
      <c r="K45" s="78">
        <f>IF($A45="","",C45+E45+G45)</f>
        <v/>
      </c>
      <c r="L45" s="79">
        <f>IF($A45="","",J45+H45)</f>
        <v/>
      </c>
      <c r="M45" s="80">
        <f>IF($A45="","",K45+I45)</f>
        <v/>
      </c>
      <c r="N45" s="77">
        <f>IF($A45="","",SUMIFS($J$5:$J$800,$A$5:$A$800,"&gt;="&amp;DATE(YEAR($A45),MONTH($A45),1),$A$5:$A$800,"&lt;="&amp;$A45)+IF(AND(YEAR($A45)=YEAR(Settings!$B$3),MONTH($A45)=MONTH(Settings!$B$3)),Settings!$B$10,0))</f>
        <v/>
      </c>
      <c r="O45" s="78">
        <f>IF($A45="","",SUMIFS($K$5:$K$800,$A$5:$A$800,"&gt;="&amp;DATE(YEAR($A45),MONTH($A45),1),$A$5:$A$800,"&lt;="&amp;$A45)+IF(AND(YEAR($A45)=YEAR(Settings!$B$3),MONTH($A45)=MONTH(Settings!$B$3)),Settings!$B$11,0))</f>
        <v/>
      </c>
      <c r="P45" s="77">
        <f>IF($A45="","",SUMIFS($H$5:$H$800,$A$5:$A$800,"&gt;="&amp;DATE(YEAR($A45),MONTH($A45),1),$A$5:$A$800,"&lt;="&amp;$A45)+IF(AND(YEAR($A45)=YEAR(Settings!$B$3),MONTH($A45)=MONTH(Settings!$B$3)),Settings!$B$12,0))</f>
        <v/>
      </c>
      <c r="Q45" s="78">
        <f>IF($A45="","",SUMIFS($I$5:$I$800,$A$5:$A$800,"&gt;="&amp;DATE(YEAR($A45),MONTH($A45),1),$A$5:$A$800,"&lt;="&amp;$A45)+IF(AND(YEAR($A45)=YEAR(Settings!$B$3),MONTH($A45)=MONTH(Settings!$B$3)),Settings!$B$13,0))</f>
        <v/>
      </c>
      <c r="R45" s="77">
        <f>IF($A45="","",N45+P45)</f>
        <v/>
      </c>
      <c r="S45" s="78">
        <f>IF($A45="","",O45+Q45)</f>
        <v/>
      </c>
    </row>
    <row r="46">
      <c r="A46" s="67" t="n"/>
      <c r="B46" s="75" t="n"/>
      <c r="C46" s="76" t="n"/>
      <c r="D46" s="75" t="n"/>
      <c r="E46" s="76" t="n"/>
      <c r="F46" s="75" t="n"/>
      <c r="G46" s="76" t="n"/>
      <c r="H46" s="75" t="n"/>
      <c r="I46" s="76" t="n"/>
      <c r="J46" s="77">
        <f>IF($A46="","",B46+D46+F46)</f>
        <v/>
      </c>
      <c r="K46" s="78">
        <f>IF($A46="","",C46+E46+G46)</f>
        <v/>
      </c>
      <c r="L46" s="79">
        <f>IF($A46="","",J46+H46)</f>
        <v/>
      </c>
      <c r="M46" s="80">
        <f>IF($A46="","",K46+I46)</f>
        <v/>
      </c>
      <c r="N46" s="77">
        <f>IF($A46="","",SUMIFS($J$5:$J$800,$A$5:$A$800,"&gt;="&amp;DATE(YEAR($A46),MONTH($A46),1),$A$5:$A$800,"&lt;="&amp;$A46)+IF(AND(YEAR($A46)=YEAR(Settings!$B$3),MONTH($A46)=MONTH(Settings!$B$3)),Settings!$B$10,0))</f>
        <v/>
      </c>
      <c r="O46" s="78">
        <f>IF($A46="","",SUMIFS($K$5:$K$800,$A$5:$A$800,"&gt;="&amp;DATE(YEAR($A46),MONTH($A46),1),$A$5:$A$800,"&lt;="&amp;$A46)+IF(AND(YEAR($A46)=YEAR(Settings!$B$3),MONTH($A46)=MONTH(Settings!$B$3)),Settings!$B$11,0))</f>
        <v/>
      </c>
      <c r="P46" s="77">
        <f>IF($A46="","",SUMIFS($H$5:$H$800,$A$5:$A$800,"&gt;="&amp;DATE(YEAR($A46),MONTH($A46),1),$A$5:$A$800,"&lt;="&amp;$A46)+IF(AND(YEAR($A46)=YEAR(Settings!$B$3),MONTH($A46)=MONTH(Settings!$B$3)),Settings!$B$12,0))</f>
        <v/>
      </c>
      <c r="Q46" s="78">
        <f>IF($A46="","",SUMIFS($I$5:$I$800,$A$5:$A$800,"&gt;="&amp;DATE(YEAR($A46),MONTH($A46),1),$A$5:$A$800,"&lt;="&amp;$A46)+IF(AND(YEAR($A46)=YEAR(Settings!$B$3),MONTH($A46)=MONTH(Settings!$B$3)),Settings!$B$13,0))</f>
        <v/>
      </c>
      <c r="R46" s="77">
        <f>IF($A46="","",N46+P46)</f>
        <v/>
      </c>
      <c r="S46" s="78">
        <f>IF($A46="","",O46+Q46)</f>
        <v/>
      </c>
    </row>
    <row r="47">
      <c r="A47" s="67" t="n"/>
      <c r="B47" s="75" t="n"/>
      <c r="C47" s="76" t="n"/>
      <c r="D47" s="75" t="n"/>
      <c r="E47" s="76" t="n"/>
      <c r="F47" s="75" t="n"/>
      <c r="G47" s="76" t="n"/>
      <c r="H47" s="75" t="n"/>
      <c r="I47" s="76" t="n"/>
      <c r="J47" s="77">
        <f>IF($A47="","",B47+D47+F47)</f>
        <v/>
      </c>
      <c r="K47" s="78">
        <f>IF($A47="","",C47+E47+G47)</f>
        <v/>
      </c>
      <c r="L47" s="79">
        <f>IF($A47="","",J47+H47)</f>
        <v/>
      </c>
      <c r="M47" s="80">
        <f>IF($A47="","",K47+I47)</f>
        <v/>
      </c>
      <c r="N47" s="77">
        <f>IF($A47="","",SUMIFS($J$5:$J$800,$A$5:$A$800,"&gt;="&amp;DATE(YEAR($A47),MONTH($A47),1),$A$5:$A$800,"&lt;="&amp;$A47)+IF(AND(YEAR($A47)=YEAR(Settings!$B$3),MONTH($A47)=MONTH(Settings!$B$3)),Settings!$B$10,0))</f>
        <v/>
      </c>
      <c r="O47" s="78">
        <f>IF($A47="","",SUMIFS($K$5:$K$800,$A$5:$A$800,"&gt;="&amp;DATE(YEAR($A47),MONTH($A47),1),$A$5:$A$800,"&lt;="&amp;$A47)+IF(AND(YEAR($A47)=YEAR(Settings!$B$3),MONTH($A47)=MONTH(Settings!$B$3)),Settings!$B$11,0))</f>
        <v/>
      </c>
      <c r="P47" s="77">
        <f>IF($A47="","",SUMIFS($H$5:$H$800,$A$5:$A$800,"&gt;="&amp;DATE(YEAR($A47),MONTH($A47),1),$A$5:$A$800,"&lt;="&amp;$A47)+IF(AND(YEAR($A47)=YEAR(Settings!$B$3),MONTH($A47)=MONTH(Settings!$B$3)),Settings!$B$12,0))</f>
        <v/>
      </c>
      <c r="Q47" s="78">
        <f>IF($A47="","",SUMIFS($I$5:$I$800,$A$5:$A$800,"&gt;="&amp;DATE(YEAR($A47),MONTH($A47),1),$A$5:$A$800,"&lt;="&amp;$A47)+IF(AND(YEAR($A47)=YEAR(Settings!$B$3),MONTH($A47)=MONTH(Settings!$B$3)),Settings!$B$13,0))</f>
        <v/>
      </c>
      <c r="R47" s="77">
        <f>IF($A47="","",N47+P47)</f>
        <v/>
      </c>
      <c r="S47" s="78">
        <f>IF($A47="","",O47+Q47)</f>
        <v/>
      </c>
    </row>
    <row r="48">
      <c r="A48" s="67" t="n"/>
      <c r="B48" s="75" t="n"/>
      <c r="C48" s="76" t="n"/>
      <c r="D48" s="75" t="n"/>
      <c r="E48" s="76" t="n"/>
      <c r="F48" s="75" t="n"/>
      <c r="G48" s="76" t="n"/>
      <c r="H48" s="75" t="n"/>
      <c r="I48" s="76" t="n"/>
      <c r="J48" s="77">
        <f>IF($A48="","",B48+D48+F48)</f>
        <v/>
      </c>
      <c r="K48" s="78">
        <f>IF($A48="","",C48+E48+G48)</f>
        <v/>
      </c>
      <c r="L48" s="79">
        <f>IF($A48="","",J48+H48)</f>
        <v/>
      </c>
      <c r="M48" s="80">
        <f>IF($A48="","",K48+I48)</f>
        <v/>
      </c>
      <c r="N48" s="77">
        <f>IF($A48="","",SUMIFS($J$5:$J$800,$A$5:$A$800,"&gt;="&amp;DATE(YEAR($A48),MONTH($A48),1),$A$5:$A$800,"&lt;="&amp;$A48)+IF(AND(YEAR($A48)=YEAR(Settings!$B$3),MONTH($A48)=MONTH(Settings!$B$3)),Settings!$B$10,0))</f>
        <v/>
      </c>
      <c r="O48" s="78">
        <f>IF($A48="","",SUMIFS($K$5:$K$800,$A$5:$A$800,"&gt;="&amp;DATE(YEAR($A48),MONTH($A48),1),$A$5:$A$800,"&lt;="&amp;$A48)+IF(AND(YEAR($A48)=YEAR(Settings!$B$3),MONTH($A48)=MONTH(Settings!$B$3)),Settings!$B$11,0))</f>
        <v/>
      </c>
      <c r="P48" s="77">
        <f>IF($A48="","",SUMIFS($H$5:$H$800,$A$5:$A$800,"&gt;="&amp;DATE(YEAR($A48),MONTH($A48),1),$A$5:$A$800,"&lt;="&amp;$A48)+IF(AND(YEAR($A48)=YEAR(Settings!$B$3),MONTH($A48)=MONTH(Settings!$B$3)),Settings!$B$12,0))</f>
        <v/>
      </c>
      <c r="Q48" s="78">
        <f>IF($A48="","",SUMIFS($I$5:$I$800,$A$5:$A$800,"&gt;="&amp;DATE(YEAR($A48),MONTH($A48),1),$A$5:$A$800,"&lt;="&amp;$A48)+IF(AND(YEAR($A48)=YEAR(Settings!$B$3),MONTH($A48)=MONTH(Settings!$B$3)),Settings!$B$13,0))</f>
        <v/>
      </c>
      <c r="R48" s="77">
        <f>IF($A48="","",N48+P48)</f>
        <v/>
      </c>
      <c r="S48" s="78">
        <f>IF($A48="","",O48+Q48)</f>
        <v/>
      </c>
    </row>
    <row r="49">
      <c r="A49" s="67" t="n"/>
      <c r="B49" s="75" t="n"/>
      <c r="C49" s="76" t="n"/>
      <c r="D49" s="75" t="n"/>
      <c r="E49" s="76" t="n"/>
      <c r="F49" s="75" t="n"/>
      <c r="G49" s="76" t="n"/>
      <c r="H49" s="75" t="n"/>
      <c r="I49" s="76" t="n"/>
      <c r="J49" s="77">
        <f>IF($A49="","",B49+D49+F49)</f>
        <v/>
      </c>
      <c r="K49" s="78">
        <f>IF($A49="","",C49+E49+G49)</f>
        <v/>
      </c>
      <c r="L49" s="79">
        <f>IF($A49="","",J49+H49)</f>
        <v/>
      </c>
      <c r="M49" s="80">
        <f>IF($A49="","",K49+I49)</f>
        <v/>
      </c>
      <c r="N49" s="77">
        <f>IF($A49="","",SUMIFS($J$5:$J$800,$A$5:$A$800,"&gt;="&amp;DATE(YEAR($A49),MONTH($A49),1),$A$5:$A$800,"&lt;="&amp;$A49)+IF(AND(YEAR($A49)=YEAR(Settings!$B$3),MONTH($A49)=MONTH(Settings!$B$3)),Settings!$B$10,0))</f>
        <v/>
      </c>
      <c r="O49" s="78">
        <f>IF($A49="","",SUMIFS($K$5:$K$800,$A$5:$A$800,"&gt;="&amp;DATE(YEAR($A49),MONTH($A49),1),$A$5:$A$800,"&lt;="&amp;$A49)+IF(AND(YEAR($A49)=YEAR(Settings!$B$3),MONTH($A49)=MONTH(Settings!$B$3)),Settings!$B$11,0))</f>
        <v/>
      </c>
      <c r="P49" s="77">
        <f>IF($A49="","",SUMIFS($H$5:$H$800,$A$5:$A$800,"&gt;="&amp;DATE(YEAR($A49),MONTH($A49),1),$A$5:$A$800,"&lt;="&amp;$A49)+IF(AND(YEAR($A49)=YEAR(Settings!$B$3),MONTH($A49)=MONTH(Settings!$B$3)),Settings!$B$12,0))</f>
        <v/>
      </c>
      <c r="Q49" s="78">
        <f>IF($A49="","",SUMIFS($I$5:$I$800,$A$5:$A$800,"&gt;="&amp;DATE(YEAR($A49),MONTH($A49),1),$A$5:$A$800,"&lt;="&amp;$A49)+IF(AND(YEAR($A49)=YEAR(Settings!$B$3),MONTH($A49)=MONTH(Settings!$B$3)),Settings!$B$13,0))</f>
        <v/>
      </c>
      <c r="R49" s="77">
        <f>IF($A49="","",N49+P49)</f>
        <v/>
      </c>
      <c r="S49" s="78">
        <f>IF($A49="","",O49+Q49)</f>
        <v/>
      </c>
    </row>
    <row r="50">
      <c r="A50" s="67" t="n"/>
      <c r="B50" s="75" t="n"/>
      <c r="C50" s="76" t="n"/>
      <c r="D50" s="75" t="n"/>
      <c r="E50" s="76" t="n"/>
      <c r="F50" s="75" t="n"/>
      <c r="G50" s="76" t="n"/>
      <c r="H50" s="75" t="n"/>
      <c r="I50" s="76" t="n"/>
      <c r="J50" s="77">
        <f>IF($A50="","",B50+D50+F50)</f>
        <v/>
      </c>
      <c r="K50" s="78">
        <f>IF($A50="","",C50+E50+G50)</f>
        <v/>
      </c>
      <c r="L50" s="79">
        <f>IF($A50="","",J50+H50)</f>
        <v/>
      </c>
      <c r="M50" s="80">
        <f>IF($A50="","",K50+I50)</f>
        <v/>
      </c>
      <c r="N50" s="77">
        <f>IF($A50="","",SUMIFS($J$5:$J$800,$A$5:$A$800,"&gt;="&amp;DATE(YEAR($A50),MONTH($A50),1),$A$5:$A$800,"&lt;="&amp;$A50)+IF(AND(YEAR($A50)=YEAR(Settings!$B$3),MONTH($A50)=MONTH(Settings!$B$3)),Settings!$B$10,0))</f>
        <v/>
      </c>
      <c r="O50" s="78">
        <f>IF($A50="","",SUMIFS($K$5:$K$800,$A$5:$A$800,"&gt;="&amp;DATE(YEAR($A50),MONTH($A50),1),$A$5:$A$800,"&lt;="&amp;$A50)+IF(AND(YEAR($A50)=YEAR(Settings!$B$3),MONTH($A50)=MONTH(Settings!$B$3)),Settings!$B$11,0))</f>
        <v/>
      </c>
      <c r="P50" s="77">
        <f>IF($A50="","",SUMIFS($H$5:$H$800,$A$5:$A$800,"&gt;="&amp;DATE(YEAR($A50),MONTH($A50),1),$A$5:$A$800,"&lt;="&amp;$A50)+IF(AND(YEAR($A50)=YEAR(Settings!$B$3),MONTH($A50)=MONTH(Settings!$B$3)),Settings!$B$12,0))</f>
        <v/>
      </c>
      <c r="Q50" s="78">
        <f>IF($A50="","",SUMIFS($I$5:$I$800,$A$5:$A$800,"&gt;="&amp;DATE(YEAR($A50),MONTH($A50),1),$A$5:$A$800,"&lt;="&amp;$A50)+IF(AND(YEAR($A50)=YEAR(Settings!$B$3),MONTH($A50)=MONTH(Settings!$B$3)),Settings!$B$13,0))</f>
        <v/>
      </c>
      <c r="R50" s="77">
        <f>IF($A50="","",N50+P50)</f>
        <v/>
      </c>
      <c r="S50" s="78">
        <f>IF($A50="","",O50+Q50)</f>
        <v/>
      </c>
    </row>
    <row r="51">
      <c r="A51" s="67" t="n"/>
      <c r="B51" s="75" t="n"/>
      <c r="C51" s="76" t="n"/>
      <c r="D51" s="75" t="n"/>
      <c r="E51" s="76" t="n"/>
      <c r="F51" s="75" t="n"/>
      <c r="G51" s="76" t="n"/>
      <c r="H51" s="75" t="n"/>
      <c r="I51" s="76" t="n"/>
      <c r="J51" s="77">
        <f>IF($A51="","",B51+D51+F51)</f>
        <v/>
      </c>
      <c r="K51" s="78">
        <f>IF($A51="","",C51+E51+G51)</f>
        <v/>
      </c>
      <c r="L51" s="79">
        <f>IF($A51="","",J51+H51)</f>
        <v/>
      </c>
      <c r="M51" s="80">
        <f>IF($A51="","",K51+I51)</f>
        <v/>
      </c>
      <c r="N51" s="77">
        <f>IF($A51="","",SUMIFS($J$5:$J$800,$A$5:$A$800,"&gt;="&amp;DATE(YEAR($A51),MONTH($A51),1),$A$5:$A$800,"&lt;="&amp;$A51)+IF(AND(YEAR($A51)=YEAR(Settings!$B$3),MONTH($A51)=MONTH(Settings!$B$3)),Settings!$B$10,0))</f>
        <v/>
      </c>
      <c r="O51" s="78">
        <f>IF($A51="","",SUMIFS($K$5:$K$800,$A$5:$A$800,"&gt;="&amp;DATE(YEAR($A51),MONTH($A51),1),$A$5:$A$800,"&lt;="&amp;$A51)+IF(AND(YEAR($A51)=YEAR(Settings!$B$3),MONTH($A51)=MONTH(Settings!$B$3)),Settings!$B$11,0))</f>
        <v/>
      </c>
      <c r="P51" s="77">
        <f>IF($A51="","",SUMIFS($H$5:$H$800,$A$5:$A$800,"&gt;="&amp;DATE(YEAR($A51),MONTH($A51),1),$A$5:$A$800,"&lt;="&amp;$A51)+IF(AND(YEAR($A51)=YEAR(Settings!$B$3),MONTH($A51)=MONTH(Settings!$B$3)),Settings!$B$12,0))</f>
        <v/>
      </c>
      <c r="Q51" s="78">
        <f>IF($A51="","",SUMIFS($I$5:$I$800,$A$5:$A$800,"&gt;="&amp;DATE(YEAR($A51),MONTH($A51),1),$A$5:$A$800,"&lt;="&amp;$A51)+IF(AND(YEAR($A51)=YEAR(Settings!$B$3),MONTH($A51)=MONTH(Settings!$B$3)),Settings!$B$13,0))</f>
        <v/>
      </c>
      <c r="R51" s="77">
        <f>IF($A51="","",N51+P51)</f>
        <v/>
      </c>
      <c r="S51" s="78">
        <f>IF($A51="","",O51+Q51)</f>
        <v/>
      </c>
    </row>
    <row r="52">
      <c r="A52" s="67" t="n"/>
      <c r="B52" s="75" t="n"/>
      <c r="C52" s="76" t="n"/>
      <c r="D52" s="75" t="n"/>
      <c r="E52" s="76" t="n"/>
      <c r="F52" s="75" t="n"/>
      <c r="G52" s="76" t="n"/>
      <c r="H52" s="75" t="n"/>
      <c r="I52" s="76" t="n"/>
      <c r="J52" s="77">
        <f>IF($A52="","",B52+D52+F52)</f>
        <v/>
      </c>
      <c r="K52" s="78">
        <f>IF($A52="","",C52+E52+G52)</f>
        <v/>
      </c>
      <c r="L52" s="79">
        <f>IF($A52="","",J52+H52)</f>
        <v/>
      </c>
      <c r="M52" s="80">
        <f>IF($A52="","",K52+I52)</f>
        <v/>
      </c>
      <c r="N52" s="77">
        <f>IF($A52="","",SUMIFS($J$5:$J$800,$A$5:$A$800,"&gt;="&amp;DATE(YEAR($A52),MONTH($A52),1),$A$5:$A$800,"&lt;="&amp;$A52)+IF(AND(YEAR($A52)=YEAR(Settings!$B$3),MONTH($A52)=MONTH(Settings!$B$3)),Settings!$B$10,0))</f>
        <v/>
      </c>
      <c r="O52" s="78">
        <f>IF($A52="","",SUMIFS($K$5:$K$800,$A$5:$A$800,"&gt;="&amp;DATE(YEAR($A52),MONTH($A52),1),$A$5:$A$800,"&lt;="&amp;$A52)+IF(AND(YEAR($A52)=YEAR(Settings!$B$3),MONTH($A52)=MONTH(Settings!$B$3)),Settings!$B$11,0))</f>
        <v/>
      </c>
      <c r="P52" s="77">
        <f>IF($A52="","",SUMIFS($H$5:$H$800,$A$5:$A$800,"&gt;="&amp;DATE(YEAR($A52),MONTH($A52),1),$A$5:$A$800,"&lt;="&amp;$A52)+IF(AND(YEAR($A52)=YEAR(Settings!$B$3),MONTH($A52)=MONTH(Settings!$B$3)),Settings!$B$12,0))</f>
        <v/>
      </c>
      <c r="Q52" s="78">
        <f>IF($A52="","",SUMIFS($I$5:$I$800,$A$5:$A$800,"&gt;="&amp;DATE(YEAR($A52),MONTH($A52),1),$A$5:$A$800,"&lt;="&amp;$A52)+IF(AND(YEAR($A52)=YEAR(Settings!$B$3),MONTH($A52)=MONTH(Settings!$B$3)),Settings!$B$13,0))</f>
        <v/>
      </c>
      <c r="R52" s="77">
        <f>IF($A52="","",N52+P52)</f>
        <v/>
      </c>
      <c r="S52" s="78">
        <f>IF($A52="","",O52+Q52)</f>
        <v/>
      </c>
    </row>
    <row r="53">
      <c r="A53" s="67" t="n"/>
      <c r="B53" s="75" t="n"/>
      <c r="C53" s="76" t="n"/>
      <c r="D53" s="75" t="n"/>
      <c r="E53" s="76" t="n"/>
      <c r="F53" s="75" t="n"/>
      <c r="G53" s="76" t="n"/>
      <c r="H53" s="75" t="n"/>
      <c r="I53" s="76" t="n"/>
      <c r="J53" s="77">
        <f>IF($A53="","",B53+D53+F53)</f>
        <v/>
      </c>
      <c r="K53" s="78">
        <f>IF($A53="","",C53+E53+G53)</f>
        <v/>
      </c>
      <c r="L53" s="79">
        <f>IF($A53="","",J53+H53)</f>
        <v/>
      </c>
      <c r="M53" s="80">
        <f>IF($A53="","",K53+I53)</f>
        <v/>
      </c>
      <c r="N53" s="77">
        <f>IF($A53="","",SUMIFS($J$5:$J$800,$A$5:$A$800,"&gt;="&amp;DATE(YEAR($A53),MONTH($A53),1),$A$5:$A$800,"&lt;="&amp;$A53)+IF(AND(YEAR($A53)=YEAR(Settings!$B$3),MONTH($A53)=MONTH(Settings!$B$3)),Settings!$B$10,0))</f>
        <v/>
      </c>
      <c r="O53" s="78">
        <f>IF($A53="","",SUMIFS($K$5:$K$800,$A$5:$A$800,"&gt;="&amp;DATE(YEAR($A53),MONTH($A53),1),$A$5:$A$800,"&lt;="&amp;$A53)+IF(AND(YEAR($A53)=YEAR(Settings!$B$3),MONTH($A53)=MONTH(Settings!$B$3)),Settings!$B$11,0))</f>
        <v/>
      </c>
      <c r="P53" s="77">
        <f>IF($A53="","",SUMIFS($H$5:$H$800,$A$5:$A$800,"&gt;="&amp;DATE(YEAR($A53),MONTH($A53),1),$A$5:$A$800,"&lt;="&amp;$A53)+IF(AND(YEAR($A53)=YEAR(Settings!$B$3),MONTH($A53)=MONTH(Settings!$B$3)),Settings!$B$12,0))</f>
        <v/>
      </c>
      <c r="Q53" s="78">
        <f>IF($A53="","",SUMIFS($I$5:$I$800,$A$5:$A$800,"&gt;="&amp;DATE(YEAR($A53),MONTH($A53),1),$A$5:$A$800,"&lt;="&amp;$A53)+IF(AND(YEAR($A53)=YEAR(Settings!$B$3),MONTH($A53)=MONTH(Settings!$B$3)),Settings!$B$13,0))</f>
        <v/>
      </c>
      <c r="R53" s="77">
        <f>IF($A53="","",N53+P53)</f>
        <v/>
      </c>
      <c r="S53" s="78">
        <f>IF($A53="","",O53+Q53)</f>
        <v/>
      </c>
    </row>
    <row r="54">
      <c r="A54" s="67" t="n"/>
      <c r="B54" s="75" t="n"/>
      <c r="C54" s="76" t="n"/>
      <c r="D54" s="75" t="n"/>
      <c r="E54" s="76" t="n"/>
      <c r="F54" s="75" t="n"/>
      <c r="G54" s="76" t="n"/>
      <c r="H54" s="75" t="n"/>
      <c r="I54" s="76" t="n"/>
      <c r="J54" s="77">
        <f>IF($A54="","",B54+D54+F54)</f>
        <v/>
      </c>
      <c r="K54" s="78">
        <f>IF($A54="","",C54+E54+G54)</f>
        <v/>
      </c>
      <c r="L54" s="79">
        <f>IF($A54="","",J54+H54)</f>
        <v/>
      </c>
      <c r="M54" s="80">
        <f>IF($A54="","",K54+I54)</f>
        <v/>
      </c>
      <c r="N54" s="77">
        <f>IF($A54="","",SUMIFS($J$5:$J$800,$A$5:$A$800,"&gt;="&amp;DATE(YEAR($A54),MONTH($A54),1),$A$5:$A$800,"&lt;="&amp;$A54)+IF(AND(YEAR($A54)=YEAR(Settings!$B$3),MONTH($A54)=MONTH(Settings!$B$3)),Settings!$B$10,0))</f>
        <v/>
      </c>
      <c r="O54" s="78">
        <f>IF($A54="","",SUMIFS($K$5:$K$800,$A$5:$A$800,"&gt;="&amp;DATE(YEAR($A54),MONTH($A54),1),$A$5:$A$800,"&lt;="&amp;$A54)+IF(AND(YEAR($A54)=YEAR(Settings!$B$3),MONTH($A54)=MONTH(Settings!$B$3)),Settings!$B$11,0))</f>
        <v/>
      </c>
      <c r="P54" s="77">
        <f>IF($A54="","",SUMIFS($H$5:$H$800,$A$5:$A$800,"&gt;="&amp;DATE(YEAR($A54),MONTH($A54),1),$A$5:$A$800,"&lt;="&amp;$A54)+IF(AND(YEAR($A54)=YEAR(Settings!$B$3),MONTH($A54)=MONTH(Settings!$B$3)),Settings!$B$12,0))</f>
        <v/>
      </c>
      <c r="Q54" s="78">
        <f>IF($A54="","",SUMIFS($I$5:$I$800,$A$5:$A$800,"&gt;="&amp;DATE(YEAR($A54),MONTH($A54),1),$A$5:$A$800,"&lt;="&amp;$A54)+IF(AND(YEAR($A54)=YEAR(Settings!$B$3),MONTH($A54)=MONTH(Settings!$B$3)),Settings!$B$13,0))</f>
        <v/>
      </c>
      <c r="R54" s="77">
        <f>IF($A54="","",N54+P54)</f>
        <v/>
      </c>
      <c r="S54" s="78">
        <f>IF($A54="","",O54+Q54)</f>
        <v/>
      </c>
    </row>
    <row r="55">
      <c r="A55" s="67" t="n"/>
      <c r="B55" s="75" t="n"/>
      <c r="C55" s="76" t="n"/>
      <c r="D55" s="75" t="n"/>
      <c r="E55" s="76" t="n"/>
      <c r="F55" s="75" t="n"/>
      <c r="G55" s="76" t="n"/>
      <c r="H55" s="75" t="n"/>
      <c r="I55" s="76" t="n"/>
      <c r="J55" s="77">
        <f>IF($A55="","",B55+D55+F55)</f>
        <v/>
      </c>
      <c r="K55" s="78">
        <f>IF($A55="","",C55+E55+G55)</f>
        <v/>
      </c>
      <c r="L55" s="79">
        <f>IF($A55="","",J55+H55)</f>
        <v/>
      </c>
      <c r="M55" s="80">
        <f>IF($A55="","",K55+I55)</f>
        <v/>
      </c>
      <c r="N55" s="77">
        <f>IF($A55="","",SUMIFS($J$5:$J$800,$A$5:$A$800,"&gt;="&amp;DATE(YEAR($A55),MONTH($A55),1),$A$5:$A$800,"&lt;="&amp;$A55)+IF(AND(YEAR($A55)=YEAR(Settings!$B$3),MONTH($A55)=MONTH(Settings!$B$3)),Settings!$B$10,0))</f>
        <v/>
      </c>
      <c r="O55" s="78">
        <f>IF($A55="","",SUMIFS($K$5:$K$800,$A$5:$A$800,"&gt;="&amp;DATE(YEAR($A55),MONTH($A55),1),$A$5:$A$800,"&lt;="&amp;$A55)+IF(AND(YEAR($A55)=YEAR(Settings!$B$3),MONTH($A55)=MONTH(Settings!$B$3)),Settings!$B$11,0))</f>
        <v/>
      </c>
      <c r="P55" s="77">
        <f>IF($A55="","",SUMIFS($H$5:$H$800,$A$5:$A$800,"&gt;="&amp;DATE(YEAR($A55),MONTH($A55),1),$A$5:$A$800,"&lt;="&amp;$A55)+IF(AND(YEAR($A55)=YEAR(Settings!$B$3),MONTH($A55)=MONTH(Settings!$B$3)),Settings!$B$12,0))</f>
        <v/>
      </c>
      <c r="Q55" s="78">
        <f>IF($A55="","",SUMIFS($I$5:$I$800,$A$5:$A$800,"&gt;="&amp;DATE(YEAR($A55),MONTH($A55),1),$A$5:$A$800,"&lt;="&amp;$A55)+IF(AND(YEAR($A55)=YEAR(Settings!$B$3),MONTH($A55)=MONTH(Settings!$B$3)),Settings!$B$13,0))</f>
        <v/>
      </c>
      <c r="R55" s="77">
        <f>IF($A55="","",N55+P55)</f>
        <v/>
      </c>
      <c r="S55" s="78">
        <f>IF($A55="","",O55+Q55)</f>
        <v/>
      </c>
    </row>
    <row r="56">
      <c r="A56" s="67" t="n"/>
      <c r="B56" s="75" t="n"/>
      <c r="C56" s="76" t="n"/>
      <c r="D56" s="75" t="n"/>
      <c r="E56" s="76" t="n"/>
      <c r="F56" s="75" t="n"/>
      <c r="G56" s="76" t="n"/>
      <c r="H56" s="75" t="n"/>
      <c r="I56" s="76" t="n"/>
      <c r="J56" s="77">
        <f>IF($A56="","",B56+D56+F56)</f>
        <v/>
      </c>
      <c r="K56" s="78">
        <f>IF($A56="","",C56+E56+G56)</f>
        <v/>
      </c>
      <c r="L56" s="79">
        <f>IF($A56="","",J56+H56)</f>
        <v/>
      </c>
      <c r="M56" s="80">
        <f>IF($A56="","",K56+I56)</f>
        <v/>
      </c>
      <c r="N56" s="77">
        <f>IF($A56="","",SUMIFS($J$5:$J$800,$A$5:$A$800,"&gt;="&amp;DATE(YEAR($A56),MONTH($A56),1),$A$5:$A$800,"&lt;="&amp;$A56)+IF(AND(YEAR($A56)=YEAR(Settings!$B$3),MONTH($A56)=MONTH(Settings!$B$3)),Settings!$B$10,0))</f>
        <v/>
      </c>
      <c r="O56" s="78">
        <f>IF($A56="","",SUMIFS($K$5:$K$800,$A$5:$A$800,"&gt;="&amp;DATE(YEAR($A56),MONTH($A56),1),$A$5:$A$800,"&lt;="&amp;$A56)+IF(AND(YEAR($A56)=YEAR(Settings!$B$3),MONTH($A56)=MONTH(Settings!$B$3)),Settings!$B$11,0))</f>
        <v/>
      </c>
      <c r="P56" s="77">
        <f>IF($A56="","",SUMIFS($H$5:$H$800,$A$5:$A$800,"&gt;="&amp;DATE(YEAR($A56),MONTH($A56),1),$A$5:$A$800,"&lt;="&amp;$A56)+IF(AND(YEAR($A56)=YEAR(Settings!$B$3),MONTH($A56)=MONTH(Settings!$B$3)),Settings!$B$12,0))</f>
        <v/>
      </c>
      <c r="Q56" s="78">
        <f>IF($A56="","",SUMIFS($I$5:$I$800,$A$5:$A$800,"&gt;="&amp;DATE(YEAR($A56),MONTH($A56),1),$A$5:$A$800,"&lt;="&amp;$A56)+IF(AND(YEAR($A56)=YEAR(Settings!$B$3),MONTH($A56)=MONTH(Settings!$B$3)),Settings!$B$13,0))</f>
        <v/>
      </c>
      <c r="R56" s="77">
        <f>IF($A56="","",N56+P56)</f>
        <v/>
      </c>
      <c r="S56" s="78">
        <f>IF($A56="","",O56+Q56)</f>
        <v/>
      </c>
    </row>
    <row r="57">
      <c r="A57" s="67" t="n"/>
      <c r="B57" s="75" t="n"/>
      <c r="C57" s="76" t="n"/>
      <c r="D57" s="75" t="n"/>
      <c r="E57" s="76" t="n"/>
      <c r="F57" s="75" t="n"/>
      <c r="G57" s="76" t="n"/>
      <c r="H57" s="75" t="n"/>
      <c r="I57" s="76" t="n"/>
      <c r="J57" s="77">
        <f>IF($A57="","",B57+D57+F57)</f>
        <v/>
      </c>
      <c r="K57" s="78">
        <f>IF($A57="","",C57+E57+G57)</f>
        <v/>
      </c>
      <c r="L57" s="79">
        <f>IF($A57="","",J57+H57)</f>
        <v/>
      </c>
      <c r="M57" s="80">
        <f>IF($A57="","",K57+I57)</f>
        <v/>
      </c>
      <c r="N57" s="77">
        <f>IF($A57="","",SUMIFS($J$5:$J$800,$A$5:$A$800,"&gt;="&amp;DATE(YEAR($A57),MONTH($A57),1),$A$5:$A$800,"&lt;="&amp;$A57)+IF(AND(YEAR($A57)=YEAR(Settings!$B$3),MONTH($A57)=MONTH(Settings!$B$3)),Settings!$B$10,0))</f>
        <v/>
      </c>
      <c r="O57" s="78">
        <f>IF($A57="","",SUMIFS($K$5:$K$800,$A$5:$A$800,"&gt;="&amp;DATE(YEAR($A57),MONTH($A57),1),$A$5:$A$800,"&lt;="&amp;$A57)+IF(AND(YEAR($A57)=YEAR(Settings!$B$3),MONTH($A57)=MONTH(Settings!$B$3)),Settings!$B$11,0))</f>
        <v/>
      </c>
      <c r="P57" s="77">
        <f>IF($A57="","",SUMIFS($H$5:$H$800,$A$5:$A$800,"&gt;="&amp;DATE(YEAR($A57),MONTH($A57),1),$A$5:$A$800,"&lt;="&amp;$A57)+IF(AND(YEAR($A57)=YEAR(Settings!$B$3),MONTH($A57)=MONTH(Settings!$B$3)),Settings!$B$12,0))</f>
        <v/>
      </c>
      <c r="Q57" s="78">
        <f>IF($A57="","",SUMIFS($I$5:$I$800,$A$5:$A$800,"&gt;="&amp;DATE(YEAR($A57),MONTH($A57),1),$A$5:$A$800,"&lt;="&amp;$A57)+IF(AND(YEAR($A57)=YEAR(Settings!$B$3),MONTH($A57)=MONTH(Settings!$B$3)),Settings!$B$13,0))</f>
        <v/>
      </c>
      <c r="R57" s="77">
        <f>IF($A57="","",N57+P57)</f>
        <v/>
      </c>
      <c r="S57" s="78">
        <f>IF($A57="","",O57+Q57)</f>
        <v/>
      </c>
    </row>
    <row r="58">
      <c r="A58" s="67" t="n"/>
      <c r="B58" s="75" t="n"/>
      <c r="C58" s="76" t="n"/>
      <c r="D58" s="75" t="n"/>
      <c r="E58" s="76" t="n"/>
      <c r="F58" s="75" t="n"/>
      <c r="G58" s="76" t="n"/>
      <c r="H58" s="75" t="n"/>
      <c r="I58" s="76" t="n"/>
      <c r="J58" s="77">
        <f>IF($A58="","",B58+D58+F58)</f>
        <v/>
      </c>
      <c r="K58" s="78">
        <f>IF($A58="","",C58+E58+G58)</f>
        <v/>
      </c>
      <c r="L58" s="79">
        <f>IF($A58="","",J58+H58)</f>
        <v/>
      </c>
      <c r="M58" s="80">
        <f>IF($A58="","",K58+I58)</f>
        <v/>
      </c>
      <c r="N58" s="77">
        <f>IF($A58="","",SUMIFS($J$5:$J$800,$A$5:$A$800,"&gt;="&amp;DATE(YEAR($A58),MONTH($A58),1),$A$5:$A$800,"&lt;="&amp;$A58)+IF(AND(YEAR($A58)=YEAR(Settings!$B$3),MONTH($A58)=MONTH(Settings!$B$3)),Settings!$B$10,0))</f>
        <v/>
      </c>
      <c r="O58" s="78">
        <f>IF($A58="","",SUMIFS($K$5:$K$800,$A$5:$A$800,"&gt;="&amp;DATE(YEAR($A58),MONTH($A58),1),$A$5:$A$800,"&lt;="&amp;$A58)+IF(AND(YEAR($A58)=YEAR(Settings!$B$3),MONTH($A58)=MONTH(Settings!$B$3)),Settings!$B$11,0))</f>
        <v/>
      </c>
      <c r="P58" s="77">
        <f>IF($A58="","",SUMIFS($H$5:$H$800,$A$5:$A$800,"&gt;="&amp;DATE(YEAR($A58),MONTH($A58),1),$A$5:$A$800,"&lt;="&amp;$A58)+IF(AND(YEAR($A58)=YEAR(Settings!$B$3),MONTH($A58)=MONTH(Settings!$B$3)),Settings!$B$12,0))</f>
        <v/>
      </c>
      <c r="Q58" s="78">
        <f>IF($A58="","",SUMIFS($I$5:$I$800,$A$5:$A$800,"&gt;="&amp;DATE(YEAR($A58),MONTH($A58),1),$A$5:$A$800,"&lt;="&amp;$A58)+IF(AND(YEAR($A58)=YEAR(Settings!$B$3),MONTH($A58)=MONTH(Settings!$B$3)),Settings!$B$13,0))</f>
        <v/>
      </c>
      <c r="R58" s="77">
        <f>IF($A58="","",N58+P58)</f>
        <v/>
      </c>
      <c r="S58" s="78">
        <f>IF($A58="","",O58+Q58)</f>
        <v/>
      </c>
    </row>
    <row r="59">
      <c r="A59" s="67" t="n"/>
      <c r="B59" s="75" t="n"/>
      <c r="C59" s="76" t="n"/>
      <c r="D59" s="75" t="n"/>
      <c r="E59" s="76" t="n"/>
      <c r="F59" s="75" t="n"/>
      <c r="G59" s="76" t="n"/>
      <c r="H59" s="75" t="n"/>
      <c r="I59" s="76" t="n"/>
      <c r="J59" s="77">
        <f>IF($A59="","",B59+D59+F59)</f>
        <v/>
      </c>
      <c r="K59" s="78">
        <f>IF($A59="","",C59+E59+G59)</f>
        <v/>
      </c>
      <c r="L59" s="79">
        <f>IF($A59="","",J59+H59)</f>
        <v/>
      </c>
      <c r="M59" s="80">
        <f>IF($A59="","",K59+I59)</f>
        <v/>
      </c>
      <c r="N59" s="77">
        <f>IF($A59="","",SUMIFS($J$5:$J$800,$A$5:$A$800,"&gt;="&amp;DATE(YEAR($A59),MONTH($A59),1),$A$5:$A$800,"&lt;="&amp;$A59)+IF(AND(YEAR($A59)=YEAR(Settings!$B$3),MONTH($A59)=MONTH(Settings!$B$3)),Settings!$B$10,0))</f>
        <v/>
      </c>
      <c r="O59" s="78">
        <f>IF($A59="","",SUMIFS($K$5:$K$800,$A$5:$A$800,"&gt;="&amp;DATE(YEAR($A59),MONTH($A59),1),$A$5:$A$800,"&lt;="&amp;$A59)+IF(AND(YEAR($A59)=YEAR(Settings!$B$3),MONTH($A59)=MONTH(Settings!$B$3)),Settings!$B$11,0))</f>
        <v/>
      </c>
      <c r="P59" s="77">
        <f>IF($A59="","",SUMIFS($H$5:$H$800,$A$5:$A$800,"&gt;="&amp;DATE(YEAR($A59),MONTH($A59),1),$A$5:$A$800,"&lt;="&amp;$A59)+IF(AND(YEAR($A59)=YEAR(Settings!$B$3),MONTH($A59)=MONTH(Settings!$B$3)),Settings!$B$12,0))</f>
        <v/>
      </c>
      <c r="Q59" s="78">
        <f>IF($A59="","",SUMIFS($I$5:$I$800,$A$5:$A$800,"&gt;="&amp;DATE(YEAR($A59),MONTH($A59),1),$A$5:$A$800,"&lt;="&amp;$A59)+IF(AND(YEAR($A59)=YEAR(Settings!$B$3),MONTH($A59)=MONTH(Settings!$B$3)),Settings!$B$13,0))</f>
        <v/>
      </c>
      <c r="R59" s="77">
        <f>IF($A59="","",N59+P59)</f>
        <v/>
      </c>
      <c r="S59" s="78">
        <f>IF($A59="","",O59+Q59)</f>
        <v/>
      </c>
    </row>
    <row r="60">
      <c r="A60" s="67" t="n"/>
      <c r="B60" s="75" t="n"/>
      <c r="C60" s="76" t="n"/>
      <c r="D60" s="75" t="n"/>
      <c r="E60" s="76" t="n"/>
      <c r="F60" s="75" t="n"/>
      <c r="G60" s="76" t="n"/>
      <c r="H60" s="75" t="n"/>
      <c r="I60" s="76" t="n"/>
      <c r="J60" s="77">
        <f>IF($A60="","",B60+D60+F60)</f>
        <v/>
      </c>
      <c r="K60" s="78">
        <f>IF($A60="","",C60+E60+G60)</f>
        <v/>
      </c>
      <c r="L60" s="79">
        <f>IF($A60="","",J60+H60)</f>
        <v/>
      </c>
      <c r="M60" s="80">
        <f>IF($A60="","",K60+I60)</f>
        <v/>
      </c>
      <c r="N60" s="77">
        <f>IF($A60="","",SUMIFS($J$5:$J$800,$A$5:$A$800,"&gt;="&amp;DATE(YEAR($A60),MONTH($A60),1),$A$5:$A$800,"&lt;="&amp;$A60)+IF(AND(YEAR($A60)=YEAR(Settings!$B$3),MONTH($A60)=MONTH(Settings!$B$3)),Settings!$B$10,0))</f>
        <v/>
      </c>
      <c r="O60" s="78">
        <f>IF($A60="","",SUMIFS($K$5:$K$800,$A$5:$A$800,"&gt;="&amp;DATE(YEAR($A60),MONTH($A60),1),$A$5:$A$800,"&lt;="&amp;$A60)+IF(AND(YEAR($A60)=YEAR(Settings!$B$3),MONTH($A60)=MONTH(Settings!$B$3)),Settings!$B$11,0))</f>
        <v/>
      </c>
      <c r="P60" s="77">
        <f>IF($A60="","",SUMIFS($H$5:$H$800,$A$5:$A$800,"&gt;="&amp;DATE(YEAR($A60),MONTH($A60),1),$A$5:$A$800,"&lt;="&amp;$A60)+IF(AND(YEAR($A60)=YEAR(Settings!$B$3),MONTH($A60)=MONTH(Settings!$B$3)),Settings!$B$12,0))</f>
        <v/>
      </c>
      <c r="Q60" s="78">
        <f>IF($A60="","",SUMIFS($I$5:$I$800,$A$5:$A$800,"&gt;="&amp;DATE(YEAR($A60),MONTH($A60),1),$A$5:$A$800,"&lt;="&amp;$A60)+IF(AND(YEAR($A60)=YEAR(Settings!$B$3),MONTH($A60)=MONTH(Settings!$B$3)),Settings!$B$13,0))</f>
        <v/>
      </c>
      <c r="R60" s="77">
        <f>IF($A60="","",N60+P60)</f>
        <v/>
      </c>
      <c r="S60" s="78">
        <f>IF($A60="","",O60+Q60)</f>
        <v/>
      </c>
    </row>
    <row r="61">
      <c r="A61" s="67" t="n"/>
      <c r="B61" s="75" t="n"/>
      <c r="C61" s="76" t="n"/>
      <c r="D61" s="75" t="n"/>
      <c r="E61" s="76" t="n"/>
      <c r="F61" s="75" t="n"/>
      <c r="G61" s="76" t="n"/>
      <c r="H61" s="75" t="n"/>
      <c r="I61" s="76" t="n"/>
      <c r="J61" s="77">
        <f>IF($A61="","",B61+D61+F61)</f>
        <v/>
      </c>
      <c r="K61" s="78">
        <f>IF($A61="","",C61+E61+G61)</f>
        <v/>
      </c>
      <c r="L61" s="79">
        <f>IF($A61="","",J61+H61)</f>
        <v/>
      </c>
      <c r="M61" s="80">
        <f>IF($A61="","",K61+I61)</f>
        <v/>
      </c>
      <c r="N61" s="77">
        <f>IF($A61="","",SUMIFS($J$5:$J$800,$A$5:$A$800,"&gt;="&amp;DATE(YEAR($A61),MONTH($A61),1),$A$5:$A$800,"&lt;="&amp;$A61)+IF(AND(YEAR($A61)=YEAR(Settings!$B$3),MONTH($A61)=MONTH(Settings!$B$3)),Settings!$B$10,0))</f>
        <v/>
      </c>
      <c r="O61" s="78">
        <f>IF($A61="","",SUMIFS($K$5:$K$800,$A$5:$A$800,"&gt;="&amp;DATE(YEAR($A61),MONTH($A61),1),$A$5:$A$800,"&lt;="&amp;$A61)+IF(AND(YEAR($A61)=YEAR(Settings!$B$3),MONTH($A61)=MONTH(Settings!$B$3)),Settings!$B$11,0))</f>
        <v/>
      </c>
      <c r="P61" s="77">
        <f>IF($A61="","",SUMIFS($H$5:$H$800,$A$5:$A$800,"&gt;="&amp;DATE(YEAR($A61),MONTH($A61),1),$A$5:$A$800,"&lt;="&amp;$A61)+IF(AND(YEAR($A61)=YEAR(Settings!$B$3),MONTH($A61)=MONTH(Settings!$B$3)),Settings!$B$12,0))</f>
        <v/>
      </c>
      <c r="Q61" s="78">
        <f>IF($A61="","",SUMIFS($I$5:$I$800,$A$5:$A$800,"&gt;="&amp;DATE(YEAR($A61),MONTH($A61),1),$A$5:$A$800,"&lt;="&amp;$A61)+IF(AND(YEAR($A61)=YEAR(Settings!$B$3),MONTH($A61)=MONTH(Settings!$B$3)),Settings!$B$13,0))</f>
        <v/>
      </c>
      <c r="R61" s="77">
        <f>IF($A61="","",N61+P61)</f>
        <v/>
      </c>
      <c r="S61" s="78">
        <f>IF($A61="","",O61+Q61)</f>
        <v/>
      </c>
    </row>
    <row r="62">
      <c r="A62" s="67" t="n"/>
      <c r="B62" s="75" t="n"/>
      <c r="C62" s="76" t="n"/>
      <c r="D62" s="75" t="n"/>
      <c r="E62" s="76" t="n"/>
      <c r="F62" s="75" t="n"/>
      <c r="G62" s="76" t="n"/>
      <c r="H62" s="75" t="n"/>
      <c r="I62" s="76" t="n"/>
      <c r="J62" s="77">
        <f>IF($A62="","",B62+D62+F62)</f>
        <v/>
      </c>
      <c r="K62" s="78">
        <f>IF($A62="","",C62+E62+G62)</f>
        <v/>
      </c>
      <c r="L62" s="79">
        <f>IF($A62="","",J62+H62)</f>
        <v/>
      </c>
      <c r="M62" s="80">
        <f>IF($A62="","",K62+I62)</f>
        <v/>
      </c>
      <c r="N62" s="77">
        <f>IF($A62="","",SUMIFS($J$5:$J$800,$A$5:$A$800,"&gt;="&amp;DATE(YEAR($A62),MONTH($A62),1),$A$5:$A$800,"&lt;="&amp;$A62)+IF(AND(YEAR($A62)=YEAR(Settings!$B$3),MONTH($A62)=MONTH(Settings!$B$3)),Settings!$B$10,0))</f>
        <v/>
      </c>
      <c r="O62" s="78">
        <f>IF($A62="","",SUMIFS($K$5:$K$800,$A$5:$A$800,"&gt;="&amp;DATE(YEAR($A62),MONTH($A62),1),$A$5:$A$800,"&lt;="&amp;$A62)+IF(AND(YEAR($A62)=YEAR(Settings!$B$3),MONTH($A62)=MONTH(Settings!$B$3)),Settings!$B$11,0))</f>
        <v/>
      </c>
      <c r="P62" s="77">
        <f>IF($A62="","",SUMIFS($H$5:$H$800,$A$5:$A$800,"&gt;="&amp;DATE(YEAR($A62),MONTH($A62),1),$A$5:$A$800,"&lt;="&amp;$A62)+IF(AND(YEAR($A62)=YEAR(Settings!$B$3),MONTH($A62)=MONTH(Settings!$B$3)),Settings!$B$12,0))</f>
        <v/>
      </c>
      <c r="Q62" s="78">
        <f>IF($A62="","",SUMIFS($I$5:$I$800,$A$5:$A$800,"&gt;="&amp;DATE(YEAR($A62),MONTH($A62),1),$A$5:$A$800,"&lt;="&amp;$A62)+IF(AND(YEAR($A62)=YEAR(Settings!$B$3),MONTH($A62)=MONTH(Settings!$B$3)),Settings!$B$13,0))</f>
        <v/>
      </c>
      <c r="R62" s="77">
        <f>IF($A62="","",N62+P62)</f>
        <v/>
      </c>
      <c r="S62" s="78">
        <f>IF($A62="","",O62+Q62)</f>
        <v/>
      </c>
    </row>
    <row r="63">
      <c r="A63" s="67" t="n"/>
      <c r="B63" s="75" t="n"/>
      <c r="C63" s="76" t="n"/>
      <c r="D63" s="75" t="n"/>
      <c r="E63" s="76" t="n"/>
      <c r="F63" s="75" t="n"/>
      <c r="G63" s="76" t="n"/>
      <c r="H63" s="75" t="n"/>
      <c r="I63" s="76" t="n"/>
      <c r="J63" s="77">
        <f>IF($A63="","",B63+D63+F63)</f>
        <v/>
      </c>
      <c r="K63" s="78">
        <f>IF($A63="","",C63+E63+G63)</f>
        <v/>
      </c>
      <c r="L63" s="79">
        <f>IF($A63="","",J63+H63)</f>
        <v/>
      </c>
      <c r="M63" s="80">
        <f>IF($A63="","",K63+I63)</f>
        <v/>
      </c>
      <c r="N63" s="77">
        <f>IF($A63="","",SUMIFS($J$5:$J$800,$A$5:$A$800,"&gt;="&amp;DATE(YEAR($A63),MONTH($A63),1),$A$5:$A$800,"&lt;="&amp;$A63)+IF(AND(YEAR($A63)=YEAR(Settings!$B$3),MONTH($A63)=MONTH(Settings!$B$3)),Settings!$B$10,0))</f>
        <v/>
      </c>
      <c r="O63" s="78">
        <f>IF($A63="","",SUMIFS($K$5:$K$800,$A$5:$A$800,"&gt;="&amp;DATE(YEAR($A63),MONTH($A63),1),$A$5:$A$800,"&lt;="&amp;$A63)+IF(AND(YEAR($A63)=YEAR(Settings!$B$3),MONTH($A63)=MONTH(Settings!$B$3)),Settings!$B$11,0))</f>
        <v/>
      </c>
      <c r="P63" s="77">
        <f>IF($A63="","",SUMIFS($H$5:$H$800,$A$5:$A$800,"&gt;="&amp;DATE(YEAR($A63),MONTH($A63),1),$A$5:$A$800,"&lt;="&amp;$A63)+IF(AND(YEAR($A63)=YEAR(Settings!$B$3),MONTH($A63)=MONTH(Settings!$B$3)),Settings!$B$12,0))</f>
        <v/>
      </c>
      <c r="Q63" s="78">
        <f>IF($A63="","",SUMIFS($I$5:$I$800,$A$5:$A$800,"&gt;="&amp;DATE(YEAR($A63),MONTH($A63),1),$A$5:$A$800,"&lt;="&amp;$A63)+IF(AND(YEAR($A63)=YEAR(Settings!$B$3),MONTH($A63)=MONTH(Settings!$B$3)),Settings!$B$13,0))</f>
        <v/>
      </c>
      <c r="R63" s="77">
        <f>IF($A63="","",N63+P63)</f>
        <v/>
      </c>
      <c r="S63" s="78">
        <f>IF($A63="","",O63+Q63)</f>
        <v/>
      </c>
    </row>
    <row r="64">
      <c r="A64" s="67" t="n"/>
      <c r="B64" s="75" t="n"/>
      <c r="C64" s="76" t="n"/>
      <c r="D64" s="75" t="n"/>
      <c r="E64" s="76" t="n"/>
      <c r="F64" s="75" t="n"/>
      <c r="G64" s="76" t="n"/>
      <c r="H64" s="75" t="n"/>
      <c r="I64" s="76" t="n"/>
      <c r="J64" s="77">
        <f>IF($A64="","",B64+D64+F64)</f>
        <v/>
      </c>
      <c r="K64" s="78">
        <f>IF($A64="","",C64+E64+G64)</f>
        <v/>
      </c>
      <c r="L64" s="79">
        <f>IF($A64="","",J64+H64)</f>
        <v/>
      </c>
      <c r="M64" s="80">
        <f>IF($A64="","",K64+I64)</f>
        <v/>
      </c>
      <c r="N64" s="77">
        <f>IF($A64="","",SUMIFS($J$5:$J$800,$A$5:$A$800,"&gt;="&amp;DATE(YEAR($A64),MONTH($A64),1),$A$5:$A$800,"&lt;="&amp;$A64)+IF(AND(YEAR($A64)=YEAR(Settings!$B$3),MONTH($A64)=MONTH(Settings!$B$3)),Settings!$B$10,0))</f>
        <v/>
      </c>
      <c r="O64" s="78">
        <f>IF($A64="","",SUMIFS($K$5:$K$800,$A$5:$A$800,"&gt;="&amp;DATE(YEAR($A64),MONTH($A64),1),$A$5:$A$800,"&lt;="&amp;$A64)+IF(AND(YEAR($A64)=YEAR(Settings!$B$3),MONTH($A64)=MONTH(Settings!$B$3)),Settings!$B$11,0))</f>
        <v/>
      </c>
      <c r="P64" s="77">
        <f>IF($A64="","",SUMIFS($H$5:$H$800,$A$5:$A$800,"&gt;="&amp;DATE(YEAR($A64),MONTH($A64),1),$A$5:$A$800,"&lt;="&amp;$A64)+IF(AND(YEAR($A64)=YEAR(Settings!$B$3),MONTH($A64)=MONTH(Settings!$B$3)),Settings!$B$12,0))</f>
        <v/>
      </c>
      <c r="Q64" s="78">
        <f>IF($A64="","",SUMIFS($I$5:$I$800,$A$5:$A$800,"&gt;="&amp;DATE(YEAR($A64),MONTH($A64),1),$A$5:$A$800,"&lt;="&amp;$A64)+IF(AND(YEAR($A64)=YEAR(Settings!$B$3),MONTH($A64)=MONTH(Settings!$B$3)),Settings!$B$13,0))</f>
        <v/>
      </c>
      <c r="R64" s="77">
        <f>IF($A64="","",N64+P64)</f>
        <v/>
      </c>
      <c r="S64" s="78">
        <f>IF($A64="","",O64+Q64)</f>
        <v/>
      </c>
    </row>
    <row r="65">
      <c r="A65" s="67" t="n"/>
      <c r="B65" s="75" t="n"/>
      <c r="C65" s="76" t="n"/>
      <c r="D65" s="75" t="n"/>
      <c r="E65" s="76" t="n"/>
      <c r="F65" s="75" t="n"/>
      <c r="G65" s="76" t="n"/>
      <c r="H65" s="75" t="n"/>
      <c r="I65" s="76" t="n"/>
      <c r="J65" s="77">
        <f>IF($A65="","",B65+D65+F65)</f>
        <v/>
      </c>
      <c r="K65" s="78">
        <f>IF($A65="","",C65+E65+G65)</f>
        <v/>
      </c>
      <c r="L65" s="79">
        <f>IF($A65="","",J65+H65)</f>
        <v/>
      </c>
      <c r="M65" s="80">
        <f>IF($A65="","",K65+I65)</f>
        <v/>
      </c>
      <c r="N65" s="77">
        <f>IF($A65="","",SUMIFS($J$5:$J$800,$A$5:$A$800,"&gt;="&amp;DATE(YEAR($A65),MONTH($A65),1),$A$5:$A$800,"&lt;="&amp;$A65)+IF(AND(YEAR($A65)=YEAR(Settings!$B$3),MONTH($A65)=MONTH(Settings!$B$3)),Settings!$B$10,0))</f>
        <v/>
      </c>
      <c r="O65" s="78">
        <f>IF($A65="","",SUMIFS($K$5:$K$800,$A$5:$A$800,"&gt;="&amp;DATE(YEAR($A65),MONTH($A65),1),$A$5:$A$800,"&lt;="&amp;$A65)+IF(AND(YEAR($A65)=YEAR(Settings!$B$3),MONTH($A65)=MONTH(Settings!$B$3)),Settings!$B$11,0))</f>
        <v/>
      </c>
      <c r="P65" s="77">
        <f>IF($A65="","",SUMIFS($H$5:$H$800,$A$5:$A$800,"&gt;="&amp;DATE(YEAR($A65),MONTH($A65),1),$A$5:$A$800,"&lt;="&amp;$A65)+IF(AND(YEAR($A65)=YEAR(Settings!$B$3),MONTH($A65)=MONTH(Settings!$B$3)),Settings!$B$12,0))</f>
        <v/>
      </c>
      <c r="Q65" s="78">
        <f>IF($A65="","",SUMIFS($I$5:$I$800,$A$5:$A$800,"&gt;="&amp;DATE(YEAR($A65),MONTH($A65),1),$A$5:$A$800,"&lt;="&amp;$A65)+IF(AND(YEAR($A65)=YEAR(Settings!$B$3),MONTH($A65)=MONTH(Settings!$B$3)),Settings!$B$13,0))</f>
        <v/>
      </c>
      <c r="R65" s="77">
        <f>IF($A65="","",N65+P65)</f>
        <v/>
      </c>
      <c r="S65" s="78">
        <f>IF($A65="","",O65+Q65)</f>
        <v/>
      </c>
    </row>
    <row r="66">
      <c r="A66" s="67" t="n"/>
      <c r="B66" s="75" t="n"/>
      <c r="C66" s="76" t="n"/>
      <c r="D66" s="75" t="n"/>
      <c r="E66" s="76" t="n"/>
      <c r="F66" s="75" t="n"/>
      <c r="G66" s="76" t="n"/>
      <c r="H66" s="75" t="n"/>
      <c r="I66" s="76" t="n"/>
      <c r="J66" s="77">
        <f>IF($A66="","",B66+D66+F66)</f>
        <v/>
      </c>
      <c r="K66" s="78">
        <f>IF($A66="","",C66+E66+G66)</f>
        <v/>
      </c>
      <c r="L66" s="79">
        <f>IF($A66="","",J66+H66)</f>
        <v/>
      </c>
      <c r="M66" s="80">
        <f>IF($A66="","",K66+I66)</f>
        <v/>
      </c>
      <c r="N66" s="77">
        <f>IF($A66="","",SUMIFS($J$5:$J$800,$A$5:$A$800,"&gt;="&amp;DATE(YEAR($A66),MONTH($A66),1),$A$5:$A$800,"&lt;="&amp;$A66)+IF(AND(YEAR($A66)=YEAR(Settings!$B$3),MONTH($A66)=MONTH(Settings!$B$3)),Settings!$B$10,0))</f>
        <v/>
      </c>
      <c r="O66" s="78">
        <f>IF($A66="","",SUMIFS($K$5:$K$800,$A$5:$A$800,"&gt;="&amp;DATE(YEAR($A66),MONTH($A66),1),$A$5:$A$800,"&lt;="&amp;$A66)+IF(AND(YEAR($A66)=YEAR(Settings!$B$3),MONTH($A66)=MONTH(Settings!$B$3)),Settings!$B$11,0))</f>
        <v/>
      </c>
      <c r="P66" s="77">
        <f>IF($A66="","",SUMIFS($H$5:$H$800,$A$5:$A$800,"&gt;="&amp;DATE(YEAR($A66),MONTH($A66),1),$A$5:$A$800,"&lt;="&amp;$A66)+IF(AND(YEAR($A66)=YEAR(Settings!$B$3),MONTH($A66)=MONTH(Settings!$B$3)),Settings!$B$12,0))</f>
        <v/>
      </c>
      <c r="Q66" s="78">
        <f>IF($A66="","",SUMIFS($I$5:$I$800,$A$5:$A$800,"&gt;="&amp;DATE(YEAR($A66),MONTH($A66),1),$A$5:$A$800,"&lt;="&amp;$A66)+IF(AND(YEAR($A66)=YEAR(Settings!$B$3),MONTH($A66)=MONTH(Settings!$B$3)),Settings!$B$13,0))</f>
        <v/>
      </c>
      <c r="R66" s="77">
        <f>IF($A66="","",N66+P66)</f>
        <v/>
      </c>
      <c r="S66" s="78">
        <f>IF($A66="","",O66+Q66)</f>
        <v/>
      </c>
    </row>
    <row r="67">
      <c r="A67" s="67" t="n"/>
      <c r="B67" s="75" t="n"/>
      <c r="C67" s="76" t="n"/>
      <c r="D67" s="75" t="n"/>
      <c r="E67" s="76" t="n"/>
      <c r="F67" s="75" t="n"/>
      <c r="G67" s="76" t="n"/>
      <c r="H67" s="75" t="n"/>
      <c r="I67" s="76" t="n"/>
      <c r="J67" s="77">
        <f>IF($A67="","",B67+D67+F67)</f>
        <v/>
      </c>
      <c r="K67" s="78">
        <f>IF($A67="","",C67+E67+G67)</f>
        <v/>
      </c>
      <c r="L67" s="79">
        <f>IF($A67="","",J67+H67)</f>
        <v/>
      </c>
      <c r="M67" s="80">
        <f>IF($A67="","",K67+I67)</f>
        <v/>
      </c>
      <c r="N67" s="77">
        <f>IF($A67="","",SUMIFS($J$5:$J$800,$A$5:$A$800,"&gt;="&amp;DATE(YEAR($A67),MONTH($A67),1),$A$5:$A$800,"&lt;="&amp;$A67)+IF(AND(YEAR($A67)=YEAR(Settings!$B$3),MONTH($A67)=MONTH(Settings!$B$3)),Settings!$B$10,0))</f>
        <v/>
      </c>
      <c r="O67" s="78">
        <f>IF($A67="","",SUMIFS($K$5:$K$800,$A$5:$A$800,"&gt;="&amp;DATE(YEAR($A67),MONTH($A67),1),$A$5:$A$800,"&lt;="&amp;$A67)+IF(AND(YEAR($A67)=YEAR(Settings!$B$3),MONTH($A67)=MONTH(Settings!$B$3)),Settings!$B$11,0))</f>
        <v/>
      </c>
      <c r="P67" s="77">
        <f>IF($A67="","",SUMIFS($H$5:$H$800,$A$5:$A$800,"&gt;="&amp;DATE(YEAR($A67),MONTH($A67),1),$A$5:$A$800,"&lt;="&amp;$A67)+IF(AND(YEAR($A67)=YEAR(Settings!$B$3),MONTH($A67)=MONTH(Settings!$B$3)),Settings!$B$12,0))</f>
        <v/>
      </c>
      <c r="Q67" s="78">
        <f>IF($A67="","",SUMIFS($I$5:$I$800,$A$5:$A$800,"&gt;="&amp;DATE(YEAR($A67),MONTH($A67),1),$A$5:$A$800,"&lt;="&amp;$A67)+IF(AND(YEAR($A67)=YEAR(Settings!$B$3),MONTH($A67)=MONTH(Settings!$B$3)),Settings!$B$13,0))</f>
        <v/>
      </c>
      <c r="R67" s="77">
        <f>IF($A67="","",N67+P67)</f>
        <v/>
      </c>
      <c r="S67" s="78">
        <f>IF($A67="","",O67+Q67)</f>
        <v/>
      </c>
    </row>
    <row r="68">
      <c r="A68" s="67" t="n"/>
      <c r="B68" s="75" t="n"/>
      <c r="C68" s="76" t="n"/>
      <c r="D68" s="75" t="n"/>
      <c r="E68" s="76" t="n"/>
      <c r="F68" s="75" t="n"/>
      <c r="G68" s="76" t="n"/>
      <c r="H68" s="75" t="n"/>
      <c r="I68" s="76" t="n"/>
      <c r="J68" s="77">
        <f>IF($A68="","",B68+D68+F68)</f>
        <v/>
      </c>
      <c r="K68" s="78">
        <f>IF($A68="","",C68+E68+G68)</f>
        <v/>
      </c>
      <c r="L68" s="79">
        <f>IF($A68="","",J68+H68)</f>
        <v/>
      </c>
      <c r="M68" s="80">
        <f>IF($A68="","",K68+I68)</f>
        <v/>
      </c>
      <c r="N68" s="77">
        <f>IF($A68="","",SUMIFS($J$5:$J$800,$A$5:$A$800,"&gt;="&amp;DATE(YEAR($A68),MONTH($A68),1),$A$5:$A$800,"&lt;="&amp;$A68)+IF(AND(YEAR($A68)=YEAR(Settings!$B$3),MONTH($A68)=MONTH(Settings!$B$3)),Settings!$B$10,0))</f>
        <v/>
      </c>
      <c r="O68" s="78">
        <f>IF($A68="","",SUMIFS($K$5:$K$800,$A$5:$A$800,"&gt;="&amp;DATE(YEAR($A68),MONTH($A68),1),$A$5:$A$800,"&lt;="&amp;$A68)+IF(AND(YEAR($A68)=YEAR(Settings!$B$3),MONTH($A68)=MONTH(Settings!$B$3)),Settings!$B$11,0))</f>
        <v/>
      </c>
      <c r="P68" s="77">
        <f>IF($A68="","",SUMIFS($H$5:$H$800,$A$5:$A$800,"&gt;="&amp;DATE(YEAR($A68),MONTH($A68),1),$A$5:$A$800,"&lt;="&amp;$A68)+IF(AND(YEAR($A68)=YEAR(Settings!$B$3),MONTH($A68)=MONTH(Settings!$B$3)),Settings!$B$12,0))</f>
        <v/>
      </c>
      <c r="Q68" s="78">
        <f>IF($A68="","",SUMIFS($I$5:$I$800,$A$5:$A$800,"&gt;="&amp;DATE(YEAR($A68),MONTH($A68),1),$A$5:$A$800,"&lt;="&amp;$A68)+IF(AND(YEAR($A68)=YEAR(Settings!$B$3),MONTH($A68)=MONTH(Settings!$B$3)),Settings!$B$13,0))</f>
        <v/>
      </c>
      <c r="R68" s="77">
        <f>IF($A68="","",N68+P68)</f>
        <v/>
      </c>
      <c r="S68" s="78">
        <f>IF($A68="","",O68+Q68)</f>
        <v/>
      </c>
    </row>
    <row r="69">
      <c r="A69" s="67" t="n"/>
      <c r="B69" s="75" t="n"/>
      <c r="C69" s="76" t="n"/>
      <c r="D69" s="75" t="n"/>
      <c r="E69" s="76" t="n"/>
      <c r="F69" s="75" t="n"/>
      <c r="G69" s="76" t="n"/>
      <c r="H69" s="75" t="n"/>
      <c r="I69" s="76" t="n"/>
      <c r="J69" s="77">
        <f>IF($A69="","",B69+D69+F69)</f>
        <v/>
      </c>
      <c r="K69" s="78">
        <f>IF($A69="","",C69+E69+G69)</f>
        <v/>
      </c>
      <c r="L69" s="79">
        <f>IF($A69="","",J69+H69)</f>
        <v/>
      </c>
      <c r="M69" s="80">
        <f>IF($A69="","",K69+I69)</f>
        <v/>
      </c>
      <c r="N69" s="77">
        <f>IF($A69="","",SUMIFS($J$5:$J$800,$A$5:$A$800,"&gt;="&amp;DATE(YEAR($A69),MONTH($A69),1),$A$5:$A$800,"&lt;="&amp;$A69)+IF(AND(YEAR($A69)=YEAR(Settings!$B$3),MONTH($A69)=MONTH(Settings!$B$3)),Settings!$B$10,0))</f>
        <v/>
      </c>
      <c r="O69" s="78">
        <f>IF($A69="","",SUMIFS($K$5:$K$800,$A$5:$A$800,"&gt;="&amp;DATE(YEAR($A69),MONTH($A69),1),$A$5:$A$800,"&lt;="&amp;$A69)+IF(AND(YEAR($A69)=YEAR(Settings!$B$3),MONTH($A69)=MONTH(Settings!$B$3)),Settings!$B$11,0))</f>
        <v/>
      </c>
      <c r="P69" s="77">
        <f>IF($A69="","",SUMIFS($H$5:$H$800,$A$5:$A$800,"&gt;="&amp;DATE(YEAR($A69),MONTH($A69),1),$A$5:$A$800,"&lt;="&amp;$A69)+IF(AND(YEAR($A69)=YEAR(Settings!$B$3),MONTH($A69)=MONTH(Settings!$B$3)),Settings!$B$12,0))</f>
        <v/>
      </c>
      <c r="Q69" s="78">
        <f>IF($A69="","",SUMIFS($I$5:$I$800,$A$5:$A$800,"&gt;="&amp;DATE(YEAR($A69),MONTH($A69),1),$A$5:$A$800,"&lt;="&amp;$A69)+IF(AND(YEAR($A69)=YEAR(Settings!$B$3),MONTH($A69)=MONTH(Settings!$B$3)),Settings!$B$13,0))</f>
        <v/>
      </c>
      <c r="R69" s="77">
        <f>IF($A69="","",N69+P69)</f>
        <v/>
      </c>
      <c r="S69" s="78">
        <f>IF($A69="","",O69+Q69)</f>
        <v/>
      </c>
    </row>
    <row r="70">
      <c r="A70" s="67" t="n"/>
      <c r="B70" s="75" t="n"/>
      <c r="C70" s="76" t="n"/>
      <c r="D70" s="75" t="n"/>
      <c r="E70" s="76" t="n"/>
      <c r="F70" s="75" t="n"/>
      <c r="G70" s="76" t="n"/>
      <c r="H70" s="75" t="n"/>
      <c r="I70" s="76" t="n"/>
      <c r="J70" s="77">
        <f>IF($A70="","",B70+D70+F70)</f>
        <v/>
      </c>
      <c r="K70" s="78">
        <f>IF($A70="","",C70+E70+G70)</f>
        <v/>
      </c>
      <c r="L70" s="79">
        <f>IF($A70="","",J70+H70)</f>
        <v/>
      </c>
      <c r="M70" s="80">
        <f>IF($A70="","",K70+I70)</f>
        <v/>
      </c>
      <c r="N70" s="77">
        <f>IF($A70="","",SUMIFS($J$5:$J$800,$A$5:$A$800,"&gt;="&amp;DATE(YEAR($A70),MONTH($A70),1),$A$5:$A$800,"&lt;="&amp;$A70)+IF(AND(YEAR($A70)=YEAR(Settings!$B$3),MONTH($A70)=MONTH(Settings!$B$3)),Settings!$B$10,0))</f>
        <v/>
      </c>
      <c r="O70" s="78">
        <f>IF($A70="","",SUMIFS($K$5:$K$800,$A$5:$A$800,"&gt;="&amp;DATE(YEAR($A70),MONTH($A70),1),$A$5:$A$800,"&lt;="&amp;$A70)+IF(AND(YEAR($A70)=YEAR(Settings!$B$3),MONTH($A70)=MONTH(Settings!$B$3)),Settings!$B$11,0))</f>
        <v/>
      </c>
      <c r="P70" s="77">
        <f>IF($A70="","",SUMIFS($H$5:$H$800,$A$5:$A$800,"&gt;="&amp;DATE(YEAR($A70),MONTH($A70),1),$A$5:$A$800,"&lt;="&amp;$A70)+IF(AND(YEAR($A70)=YEAR(Settings!$B$3),MONTH($A70)=MONTH(Settings!$B$3)),Settings!$B$12,0))</f>
        <v/>
      </c>
      <c r="Q70" s="78">
        <f>IF($A70="","",SUMIFS($I$5:$I$800,$A$5:$A$800,"&gt;="&amp;DATE(YEAR($A70),MONTH($A70),1),$A$5:$A$800,"&lt;="&amp;$A70)+IF(AND(YEAR($A70)=YEAR(Settings!$B$3),MONTH($A70)=MONTH(Settings!$B$3)),Settings!$B$13,0))</f>
        <v/>
      </c>
      <c r="R70" s="77">
        <f>IF($A70="","",N70+P70)</f>
        <v/>
      </c>
      <c r="S70" s="78">
        <f>IF($A70="","",O70+Q70)</f>
        <v/>
      </c>
    </row>
    <row r="71">
      <c r="A71" s="67" t="n"/>
      <c r="B71" s="75" t="n"/>
      <c r="C71" s="76" t="n"/>
      <c r="D71" s="75" t="n"/>
      <c r="E71" s="76" t="n"/>
      <c r="F71" s="75" t="n"/>
      <c r="G71" s="76" t="n"/>
      <c r="H71" s="75" t="n"/>
      <c r="I71" s="76" t="n"/>
      <c r="J71" s="77">
        <f>IF($A71="","",B71+D71+F71)</f>
        <v/>
      </c>
      <c r="K71" s="78">
        <f>IF($A71="","",C71+E71+G71)</f>
        <v/>
      </c>
      <c r="L71" s="79">
        <f>IF($A71="","",J71+H71)</f>
        <v/>
      </c>
      <c r="M71" s="80">
        <f>IF($A71="","",K71+I71)</f>
        <v/>
      </c>
      <c r="N71" s="77">
        <f>IF($A71="","",SUMIFS($J$5:$J$800,$A$5:$A$800,"&gt;="&amp;DATE(YEAR($A71),MONTH($A71),1),$A$5:$A$800,"&lt;="&amp;$A71)+IF(AND(YEAR($A71)=YEAR(Settings!$B$3),MONTH($A71)=MONTH(Settings!$B$3)),Settings!$B$10,0))</f>
        <v/>
      </c>
      <c r="O71" s="78">
        <f>IF($A71="","",SUMIFS($K$5:$K$800,$A$5:$A$800,"&gt;="&amp;DATE(YEAR($A71),MONTH($A71),1),$A$5:$A$800,"&lt;="&amp;$A71)+IF(AND(YEAR($A71)=YEAR(Settings!$B$3),MONTH($A71)=MONTH(Settings!$B$3)),Settings!$B$11,0))</f>
        <v/>
      </c>
      <c r="P71" s="77">
        <f>IF($A71="","",SUMIFS($H$5:$H$800,$A$5:$A$800,"&gt;="&amp;DATE(YEAR($A71),MONTH($A71),1),$A$5:$A$800,"&lt;="&amp;$A71)+IF(AND(YEAR($A71)=YEAR(Settings!$B$3),MONTH($A71)=MONTH(Settings!$B$3)),Settings!$B$12,0))</f>
        <v/>
      </c>
      <c r="Q71" s="78">
        <f>IF($A71="","",SUMIFS($I$5:$I$800,$A$5:$A$800,"&gt;="&amp;DATE(YEAR($A71),MONTH($A71),1),$A$5:$A$800,"&lt;="&amp;$A71)+IF(AND(YEAR($A71)=YEAR(Settings!$B$3),MONTH($A71)=MONTH(Settings!$B$3)),Settings!$B$13,0))</f>
        <v/>
      </c>
      <c r="R71" s="77">
        <f>IF($A71="","",N71+P71)</f>
        <v/>
      </c>
      <c r="S71" s="78">
        <f>IF($A71="","",O71+Q71)</f>
        <v/>
      </c>
    </row>
    <row r="72">
      <c r="A72" s="67" t="n"/>
      <c r="B72" s="75" t="n"/>
      <c r="C72" s="76" t="n"/>
      <c r="D72" s="75" t="n"/>
      <c r="E72" s="76" t="n"/>
      <c r="F72" s="75" t="n"/>
      <c r="G72" s="76" t="n"/>
      <c r="H72" s="75" t="n"/>
      <c r="I72" s="76" t="n"/>
      <c r="J72" s="77">
        <f>IF($A72="","",B72+D72+F72)</f>
        <v/>
      </c>
      <c r="K72" s="78">
        <f>IF($A72="","",C72+E72+G72)</f>
        <v/>
      </c>
      <c r="L72" s="79">
        <f>IF($A72="","",J72+H72)</f>
        <v/>
      </c>
      <c r="M72" s="80">
        <f>IF($A72="","",K72+I72)</f>
        <v/>
      </c>
      <c r="N72" s="77">
        <f>IF($A72="","",SUMIFS($J$5:$J$800,$A$5:$A$800,"&gt;="&amp;DATE(YEAR($A72),MONTH($A72),1),$A$5:$A$800,"&lt;="&amp;$A72)+IF(AND(YEAR($A72)=YEAR(Settings!$B$3),MONTH($A72)=MONTH(Settings!$B$3)),Settings!$B$10,0))</f>
        <v/>
      </c>
      <c r="O72" s="78">
        <f>IF($A72="","",SUMIFS($K$5:$K$800,$A$5:$A$800,"&gt;="&amp;DATE(YEAR($A72),MONTH($A72),1),$A$5:$A$800,"&lt;="&amp;$A72)+IF(AND(YEAR($A72)=YEAR(Settings!$B$3),MONTH($A72)=MONTH(Settings!$B$3)),Settings!$B$11,0))</f>
        <v/>
      </c>
      <c r="P72" s="77">
        <f>IF($A72="","",SUMIFS($H$5:$H$800,$A$5:$A$800,"&gt;="&amp;DATE(YEAR($A72),MONTH($A72),1),$A$5:$A$800,"&lt;="&amp;$A72)+IF(AND(YEAR($A72)=YEAR(Settings!$B$3),MONTH($A72)=MONTH(Settings!$B$3)),Settings!$B$12,0))</f>
        <v/>
      </c>
      <c r="Q72" s="78">
        <f>IF($A72="","",SUMIFS($I$5:$I$800,$A$5:$A$800,"&gt;="&amp;DATE(YEAR($A72),MONTH($A72),1),$A$5:$A$800,"&lt;="&amp;$A72)+IF(AND(YEAR($A72)=YEAR(Settings!$B$3),MONTH($A72)=MONTH(Settings!$B$3)),Settings!$B$13,0))</f>
        <v/>
      </c>
      <c r="R72" s="77">
        <f>IF($A72="","",N72+P72)</f>
        <v/>
      </c>
      <c r="S72" s="78">
        <f>IF($A72="","",O72+Q72)</f>
        <v/>
      </c>
    </row>
    <row r="73">
      <c r="A73" s="67" t="n"/>
      <c r="B73" s="75" t="n"/>
      <c r="C73" s="76" t="n"/>
      <c r="D73" s="75" t="n"/>
      <c r="E73" s="76" t="n"/>
      <c r="F73" s="75" t="n"/>
      <c r="G73" s="76" t="n"/>
      <c r="H73" s="75" t="n"/>
      <c r="I73" s="76" t="n"/>
      <c r="J73" s="77">
        <f>IF($A73="","",B73+D73+F73)</f>
        <v/>
      </c>
      <c r="K73" s="78">
        <f>IF($A73="","",C73+E73+G73)</f>
        <v/>
      </c>
      <c r="L73" s="79">
        <f>IF($A73="","",J73+H73)</f>
        <v/>
      </c>
      <c r="M73" s="80">
        <f>IF($A73="","",K73+I73)</f>
        <v/>
      </c>
      <c r="N73" s="77">
        <f>IF($A73="","",SUMIFS($J$5:$J$800,$A$5:$A$800,"&gt;="&amp;DATE(YEAR($A73),MONTH($A73),1),$A$5:$A$800,"&lt;="&amp;$A73)+IF(AND(YEAR($A73)=YEAR(Settings!$B$3),MONTH($A73)=MONTH(Settings!$B$3)),Settings!$B$10,0))</f>
        <v/>
      </c>
      <c r="O73" s="78">
        <f>IF($A73="","",SUMIFS($K$5:$K$800,$A$5:$A$800,"&gt;="&amp;DATE(YEAR($A73),MONTH($A73),1),$A$5:$A$800,"&lt;="&amp;$A73)+IF(AND(YEAR($A73)=YEAR(Settings!$B$3),MONTH($A73)=MONTH(Settings!$B$3)),Settings!$B$11,0))</f>
        <v/>
      </c>
      <c r="P73" s="77">
        <f>IF($A73="","",SUMIFS($H$5:$H$800,$A$5:$A$800,"&gt;="&amp;DATE(YEAR($A73),MONTH($A73),1),$A$5:$A$800,"&lt;="&amp;$A73)+IF(AND(YEAR($A73)=YEAR(Settings!$B$3),MONTH($A73)=MONTH(Settings!$B$3)),Settings!$B$12,0))</f>
        <v/>
      </c>
      <c r="Q73" s="78">
        <f>IF($A73="","",SUMIFS($I$5:$I$800,$A$5:$A$800,"&gt;="&amp;DATE(YEAR($A73),MONTH($A73),1),$A$5:$A$800,"&lt;="&amp;$A73)+IF(AND(YEAR($A73)=YEAR(Settings!$B$3),MONTH($A73)=MONTH(Settings!$B$3)),Settings!$B$13,0))</f>
        <v/>
      </c>
      <c r="R73" s="77">
        <f>IF($A73="","",N73+P73)</f>
        <v/>
      </c>
      <c r="S73" s="78">
        <f>IF($A73="","",O73+Q73)</f>
        <v/>
      </c>
    </row>
    <row r="74">
      <c r="A74" s="67" t="n"/>
      <c r="B74" s="75" t="n"/>
      <c r="C74" s="76" t="n"/>
      <c r="D74" s="75" t="n"/>
      <c r="E74" s="76" t="n"/>
      <c r="F74" s="75" t="n"/>
      <c r="G74" s="76" t="n"/>
      <c r="H74" s="75" t="n"/>
      <c r="I74" s="76" t="n"/>
      <c r="J74" s="77">
        <f>IF($A74="","",B74+D74+F74)</f>
        <v/>
      </c>
      <c r="K74" s="78">
        <f>IF($A74="","",C74+E74+G74)</f>
        <v/>
      </c>
      <c r="L74" s="79">
        <f>IF($A74="","",J74+H74)</f>
        <v/>
      </c>
      <c r="M74" s="80">
        <f>IF($A74="","",K74+I74)</f>
        <v/>
      </c>
      <c r="N74" s="77">
        <f>IF($A74="","",SUMIFS($J$5:$J$800,$A$5:$A$800,"&gt;="&amp;DATE(YEAR($A74),MONTH($A74),1),$A$5:$A$800,"&lt;="&amp;$A74)+IF(AND(YEAR($A74)=YEAR(Settings!$B$3),MONTH($A74)=MONTH(Settings!$B$3)),Settings!$B$10,0))</f>
        <v/>
      </c>
      <c r="O74" s="78">
        <f>IF($A74="","",SUMIFS($K$5:$K$800,$A$5:$A$800,"&gt;="&amp;DATE(YEAR($A74),MONTH($A74),1),$A$5:$A$800,"&lt;="&amp;$A74)+IF(AND(YEAR($A74)=YEAR(Settings!$B$3),MONTH($A74)=MONTH(Settings!$B$3)),Settings!$B$11,0))</f>
        <v/>
      </c>
      <c r="P74" s="77">
        <f>IF($A74="","",SUMIFS($H$5:$H$800,$A$5:$A$800,"&gt;="&amp;DATE(YEAR($A74),MONTH($A74),1),$A$5:$A$800,"&lt;="&amp;$A74)+IF(AND(YEAR($A74)=YEAR(Settings!$B$3),MONTH($A74)=MONTH(Settings!$B$3)),Settings!$B$12,0))</f>
        <v/>
      </c>
      <c r="Q74" s="78">
        <f>IF($A74="","",SUMIFS($I$5:$I$800,$A$5:$A$800,"&gt;="&amp;DATE(YEAR($A74),MONTH($A74),1),$A$5:$A$800,"&lt;="&amp;$A74)+IF(AND(YEAR($A74)=YEAR(Settings!$B$3),MONTH($A74)=MONTH(Settings!$B$3)),Settings!$B$13,0))</f>
        <v/>
      </c>
      <c r="R74" s="77">
        <f>IF($A74="","",N74+P74)</f>
        <v/>
      </c>
      <c r="S74" s="78">
        <f>IF($A74="","",O74+Q74)</f>
        <v/>
      </c>
    </row>
    <row r="75">
      <c r="A75" s="67" t="n"/>
      <c r="B75" s="75" t="n"/>
      <c r="C75" s="76" t="n"/>
      <c r="D75" s="75" t="n"/>
      <c r="E75" s="76" t="n"/>
      <c r="F75" s="75" t="n"/>
      <c r="G75" s="76" t="n"/>
      <c r="H75" s="75" t="n"/>
      <c r="I75" s="76" t="n"/>
      <c r="J75" s="77">
        <f>IF($A75="","",B75+D75+F75)</f>
        <v/>
      </c>
      <c r="K75" s="78">
        <f>IF($A75="","",C75+E75+G75)</f>
        <v/>
      </c>
      <c r="L75" s="79">
        <f>IF($A75="","",J75+H75)</f>
        <v/>
      </c>
      <c r="M75" s="80">
        <f>IF($A75="","",K75+I75)</f>
        <v/>
      </c>
      <c r="N75" s="77">
        <f>IF($A75="","",SUMIFS($J$5:$J$800,$A$5:$A$800,"&gt;="&amp;DATE(YEAR($A75),MONTH($A75),1),$A$5:$A$800,"&lt;="&amp;$A75)+IF(AND(YEAR($A75)=YEAR(Settings!$B$3),MONTH($A75)=MONTH(Settings!$B$3)),Settings!$B$10,0))</f>
        <v/>
      </c>
      <c r="O75" s="78">
        <f>IF($A75="","",SUMIFS($K$5:$K$800,$A$5:$A$800,"&gt;="&amp;DATE(YEAR($A75),MONTH($A75),1),$A$5:$A$800,"&lt;="&amp;$A75)+IF(AND(YEAR($A75)=YEAR(Settings!$B$3),MONTH($A75)=MONTH(Settings!$B$3)),Settings!$B$11,0))</f>
        <v/>
      </c>
      <c r="P75" s="77">
        <f>IF($A75="","",SUMIFS($H$5:$H$800,$A$5:$A$800,"&gt;="&amp;DATE(YEAR($A75),MONTH($A75),1),$A$5:$A$800,"&lt;="&amp;$A75)+IF(AND(YEAR($A75)=YEAR(Settings!$B$3),MONTH($A75)=MONTH(Settings!$B$3)),Settings!$B$12,0))</f>
        <v/>
      </c>
      <c r="Q75" s="78">
        <f>IF($A75="","",SUMIFS($I$5:$I$800,$A$5:$A$800,"&gt;="&amp;DATE(YEAR($A75),MONTH($A75),1),$A$5:$A$800,"&lt;="&amp;$A75)+IF(AND(YEAR($A75)=YEAR(Settings!$B$3),MONTH($A75)=MONTH(Settings!$B$3)),Settings!$B$13,0))</f>
        <v/>
      </c>
      <c r="R75" s="77">
        <f>IF($A75="","",N75+P75)</f>
        <v/>
      </c>
      <c r="S75" s="78">
        <f>IF($A75="","",O75+Q75)</f>
        <v/>
      </c>
    </row>
    <row r="76">
      <c r="A76" s="67" t="n"/>
      <c r="B76" s="75" t="n"/>
      <c r="C76" s="76" t="n"/>
      <c r="D76" s="75" t="n"/>
      <c r="E76" s="76" t="n"/>
      <c r="F76" s="75" t="n"/>
      <c r="G76" s="76" t="n"/>
      <c r="H76" s="75" t="n"/>
      <c r="I76" s="76" t="n"/>
      <c r="J76" s="77">
        <f>IF($A76="","",B76+D76+F76)</f>
        <v/>
      </c>
      <c r="K76" s="78">
        <f>IF($A76="","",C76+E76+G76)</f>
        <v/>
      </c>
      <c r="L76" s="79">
        <f>IF($A76="","",J76+H76)</f>
        <v/>
      </c>
      <c r="M76" s="80">
        <f>IF($A76="","",K76+I76)</f>
        <v/>
      </c>
      <c r="N76" s="77">
        <f>IF($A76="","",SUMIFS($J$5:$J$800,$A$5:$A$800,"&gt;="&amp;DATE(YEAR($A76),MONTH($A76),1),$A$5:$A$800,"&lt;="&amp;$A76)+IF(AND(YEAR($A76)=YEAR(Settings!$B$3),MONTH($A76)=MONTH(Settings!$B$3)),Settings!$B$10,0))</f>
        <v/>
      </c>
      <c r="O76" s="78">
        <f>IF($A76="","",SUMIFS($K$5:$K$800,$A$5:$A$800,"&gt;="&amp;DATE(YEAR($A76),MONTH($A76),1),$A$5:$A$800,"&lt;="&amp;$A76)+IF(AND(YEAR($A76)=YEAR(Settings!$B$3),MONTH($A76)=MONTH(Settings!$B$3)),Settings!$B$11,0))</f>
        <v/>
      </c>
      <c r="P76" s="77">
        <f>IF($A76="","",SUMIFS($H$5:$H$800,$A$5:$A$800,"&gt;="&amp;DATE(YEAR($A76),MONTH($A76),1),$A$5:$A$800,"&lt;="&amp;$A76)+IF(AND(YEAR($A76)=YEAR(Settings!$B$3),MONTH($A76)=MONTH(Settings!$B$3)),Settings!$B$12,0))</f>
        <v/>
      </c>
      <c r="Q76" s="78">
        <f>IF($A76="","",SUMIFS($I$5:$I$800,$A$5:$A$800,"&gt;="&amp;DATE(YEAR($A76),MONTH($A76),1),$A$5:$A$800,"&lt;="&amp;$A76)+IF(AND(YEAR($A76)=YEAR(Settings!$B$3),MONTH($A76)=MONTH(Settings!$B$3)),Settings!$B$13,0))</f>
        <v/>
      </c>
      <c r="R76" s="77">
        <f>IF($A76="","",N76+P76)</f>
        <v/>
      </c>
      <c r="S76" s="78">
        <f>IF($A76="","",O76+Q76)</f>
        <v/>
      </c>
    </row>
    <row r="77">
      <c r="A77" s="67" t="n"/>
      <c r="B77" s="75" t="n"/>
      <c r="C77" s="76" t="n"/>
      <c r="D77" s="75" t="n"/>
      <c r="E77" s="76" t="n"/>
      <c r="F77" s="75" t="n"/>
      <c r="G77" s="76" t="n"/>
      <c r="H77" s="75" t="n"/>
      <c r="I77" s="76" t="n"/>
      <c r="J77" s="77">
        <f>IF($A77="","",B77+D77+F77)</f>
        <v/>
      </c>
      <c r="K77" s="78">
        <f>IF($A77="","",C77+E77+G77)</f>
        <v/>
      </c>
      <c r="L77" s="79">
        <f>IF($A77="","",J77+H77)</f>
        <v/>
      </c>
      <c r="M77" s="80">
        <f>IF($A77="","",K77+I77)</f>
        <v/>
      </c>
      <c r="N77" s="77">
        <f>IF($A77="","",SUMIFS($J$5:$J$800,$A$5:$A$800,"&gt;="&amp;DATE(YEAR($A77),MONTH($A77),1),$A$5:$A$800,"&lt;="&amp;$A77)+IF(AND(YEAR($A77)=YEAR(Settings!$B$3),MONTH($A77)=MONTH(Settings!$B$3)),Settings!$B$10,0))</f>
        <v/>
      </c>
      <c r="O77" s="78">
        <f>IF($A77="","",SUMIFS($K$5:$K$800,$A$5:$A$800,"&gt;="&amp;DATE(YEAR($A77),MONTH($A77),1),$A$5:$A$800,"&lt;="&amp;$A77)+IF(AND(YEAR($A77)=YEAR(Settings!$B$3),MONTH($A77)=MONTH(Settings!$B$3)),Settings!$B$11,0))</f>
        <v/>
      </c>
      <c r="P77" s="77">
        <f>IF($A77="","",SUMIFS($H$5:$H$800,$A$5:$A$800,"&gt;="&amp;DATE(YEAR($A77),MONTH($A77),1),$A$5:$A$800,"&lt;="&amp;$A77)+IF(AND(YEAR($A77)=YEAR(Settings!$B$3),MONTH($A77)=MONTH(Settings!$B$3)),Settings!$B$12,0))</f>
        <v/>
      </c>
      <c r="Q77" s="78">
        <f>IF($A77="","",SUMIFS($I$5:$I$800,$A$5:$A$800,"&gt;="&amp;DATE(YEAR($A77),MONTH($A77),1),$A$5:$A$800,"&lt;="&amp;$A77)+IF(AND(YEAR($A77)=YEAR(Settings!$B$3),MONTH($A77)=MONTH(Settings!$B$3)),Settings!$B$13,0))</f>
        <v/>
      </c>
      <c r="R77" s="77">
        <f>IF($A77="","",N77+P77)</f>
        <v/>
      </c>
      <c r="S77" s="78">
        <f>IF($A77="","",O77+Q77)</f>
        <v/>
      </c>
    </row>
    <row r="78">
      <c r="A78" s="67" t="n"/>
      <c r="B78" s="75" t="n"/>
      <c r="C78" s="76" t="n"/>
      <c r="D78" s="75" t="n"/>
      <c r="E78" s="76" t="n"/>
      <c r="F78" s="75" t="n"/>
      <c r="G78" s="76" t="n"/>
      <c r="H78" s="75" t="n"/>
      <c r="I78" s="76" t="n"/>
      <c r="J78" s="77">
        <f>IF($A78="","",B78+D78+F78)</f>
        <v/>
      </c>
      <c r="K78" s="78">
        <f>IF($A78="","",C78+E78+G78)</f>
        <v/>
      </c>
      <c r="L78" s="79">
        <f>IF($A78="","",J78+H78)</f>
        <v/>
      </c>
      <c r="M78" s="80">
        <f>IF($A78="","",K78+I78)</f>
        <v/>
      </c>
      <c r="N78" s="77">
        <f>IF($A78="","",SUMIFS($J$5:$J$800,$A$5:$A$800,"&gt;="&amp;DATE(YEAR($A78),MONTH($A78),1),$A$5:$A$800,"&lt;="&amp;$A78)+IF(AND(YEAR($A78)=YEAR(Settings!$B$3),MONTH($A78)=MONTH(Settings!$B$3)),Settings!$B$10,0))</f>
        <v/>
      </c>
      <c r="O78" s="78">
        <f>IF($A78="","",SUMIFS($K$5:$K$800,$A$5:$A$800,"&gt;="&amp;DATE(YEAR($A78),MONTH($A78),1),$A$5:$A$800,"&lt;="&amp;$A78)+IF(AND(YEAR($A78)=YEAR(Settings!$B$3),MONTH($A78)=MONTH(Settings!$B$3)),Settings!$B$11,0))</f>
        <v/>
      </c>
      <c r="P78" s="77">
        <f>IF($A78="","",SUMIFS($H$5:$H$800,$A$5:$A$800,"&gt;="&amp;DATE(YEAR($A78),MONTH($A78),1),$A$5:$A$800,"&lt;="&amp;$A78)+IF(AND(YEAR($A78)=YEAR(Settings!$B$3),MONTH($A78)=MONTH(Settings!$B$3)),Settings!$B$12,0))</f>
        <v/>
      </c>
      <c r="Q78" s="78">
        <f>IF($A78="","",SUMIFS($I$5:$I$800,$A$5:$A$800,"&gt;="&amp;DATE(YEAR($A78),MONTH($A78),1),$A$5:$A$800,"&lt;="&amp;$A78)+IF(AND(YEAR($A78)=YEAR(Settings!$B$3),MONTH($A78)=MONTH(Settings!$B$3)),Settings!$B$13,0))</f>
        <v/>
      </c>
      <c r="R78" s="77">
        <f>IF($A78="","",N78+P78)</f>
        <v/>
      </c>
      <c r="S78" s="78">
        <f>IF($A78="","",O78+Q78)</f>
        <v/>
      </c>
    </row>
    <row r="79">
      <c r="A79" s="67" t="n"/>
      <c r="B79" s="75" t="n"/>
      <c r="C79" s="76" t="n"/>
      <c r="D79" s="75" t="n"/>
      <c r="E79" s="76" t="n"/>
      <c r="F79" s="75" t="n"/>
      <c r="G79" s="76" t="n"/>
      <c r="H79" s="75" t="n"/>
      <c r="I79" s="76" t="n"/>
      <c r="J79" s="77">
        <f>IF($A79="","",B79+D79+F79)</f>
        <v/>
      </c>
      <c r="K79" s="78">
        <f>IF($A79="","",C79+E79+G79)</f>
        <v/>
      </c>
      <c r="L79" s="79">
        <f>IF($A79="","",J79+H79)</f>
        <v/>
      </c>
      <c r="M79" s="80">
        <f>IF($A79="","",K79+I79)</f>
        <v/>
      </c>
      <c r="N79" s="77">
        <f>IF($A79="","",SUMIFS($J$5:$J$800,$A$5:$A$800,"&gt;="&amp;DATE(YEAR($A79),MONTH($A79),1),$A$5:$A$800,"&lt;="&amp;$A79)+IF(AND(YEAR($A79)=YEAR(Settings!$B$3),MONTH($A79)=MONTH(Settings!$B$3)),Settings!$B$10,0))</f>
        <v/>
      </c>
      <c r="O79" s="78">
        <f>IF($A79="","",SUMIFS($K$5:$K$800,$A$5:$A$800,"&gt;="&amp;DATE(YEAR($A79),MONTH($A79),1),$A$5:$A$800,"&lt;="&amp;$A79)+IF(AND(YEAR($A79)=YEAR(Settings!$B$3),MONTH($A79)=MONTH(Settings!$B$3)),Settings!$B$11,0))</f>
        <v/>
      </c>
      <c r="P79" s="77">
        <f>IF($A79="","",SUMIFS($H$5:$H$800,$A$5:$A$800,"&gt;="&amp;DATE(YEAR($A79),MONTH($A79),1),$A$5:$A$800,"&lt;="&amp;$A79)+IF(AND(YEAR($A79)=YEAR(Settings!$B$3),MONTH($A79)=MONTH(Settings!$B$3)),Settings!$B$12,0))</f>
        <v/>
      </c>
      <c r="Q79" s="78">
        <f>IF($A79="","",SUMIFS($I$5:$I$800,$A$5:$A$800,"&gt;="&amp;DATE(YEAR($A79),MONTH($A79),1),$A$5:$A$800,"&lt;="&amp;$A79)+IF(AND(YEAR($A79)=YEAR(Settings!$B$3),MONTH($A79)=MONTH(Settings!$B$3)),Settings!$B$13,0))</f>
        <v/>
      </c>
      <c r="R79" s="77">
        <f>IF($A79="","",N79+P79)</f>
        <v/>
      </c>
      <c r="S79" s="78">
        <f>IF($A79="","",O79+Q79)</f>
        <v/>
      </c>
    </row>
    <row r="80">
      <c r="A80" s="67" t="n"/>
      <c r="B80" s="75" t="n"/>
      <c r="C80" s="76" t="n"/>
      <c r="D80" s="75" t="n"/>
      <c r="E80" s="76" t="n"/>
      <c r="F80" s="75" t="n"/>
      <c r="G80" s="76" t="n"/>
      <c r="H80" s="75" t="n"/>
      <c r="I80" s="76" t="n"/>
      <c r="J80" s="77">
        <f>IF($A80="","",B80+D80+F80)</f>
        <v/>
      </c>
      <c r="K80" s="78">
        <f>IF($A80="","",C80+E80+G80)</f>
        <v/>
      </c>
      <c r="L80" s="79">
        <f>IF($A80="","",J80+H80)</f>
        <v/>
      </c>
      <c r="M80" s="80">
        <f>IF($A80="","",K80+I80)</f>
        <v/>
      </c>
      <c r="N80" s="77">
        <f>IF($A80="","",SUMIFS($J$5:$J$800,$A$5:$A$800,"&gt;="&amp;DATE(YEAR($A80),MONTH($A80),1),$A$5:$A$800,"&lt;="&amp;$A80)+IF(AND(YEAR($A80)=YEAR(Settings!$B$3),MONTH($A80)=MONTH(Settings!$B$3)),Settings!$B$10,0))</f>
        <v/>
      </c>
      <c r="O80" s="78">
        <f>IF($A80="","",SUMIFS($K$5:$K$800,$A$5:$A$800,"&gt;="&amp;DATE(YEAR($A80),MONTH($A80),1),$A$5:$A$800,"&lt;="&amp;$A80)+IF(AND(YEAR($A80)=YEAR(Settings!$B$3),MONTH($A80)=MONTH(Settings!$B$3)),Settings!$B$11,0))</f>
        <v/>
      </c>
      <c r="P80" s="77">
        <f>IF($A80="","",SUMIFS($H$5:$H$800,$A$5:$A$800,"&gt;="&amp;DATE(YEAR($A80),MONTH($A80),1),$A$5:$A$800,"&lt;="&amp;$A80)+IF(AND(YEAR($A80)=YEAR(Settings!$B$3),MONTH($A80)=MONTH(Settings!$B$3)),Settings!$B$12,0))</f>
        <v/>
      </c>
      <c r="Q80" s="78">
        <f>IF($A80="","",SUMIFS($I$5:$I$800,$A$5:$A$800,"&gt;="&amp;DATE(YEAR($A80),MONTH($A80),1),$A$5:$A$800,"&lt;="&amp;$A80)+IF(AND(YEAR($A80)=YEAR(Settings!$B$3),MONTH($A80)=MONTH(Settings!$B$3)),Settings!$B$13,0))</f>
        <v/>
      </c>
      <c r="R80" s="77">
        <f>IF($A80="","",N80+P80)</f>
        <v/>
      </c>
      <c r="S80" s="78">
        <f>IF($A80="","",O80+Q80)</f>
        <v/>
      </c>
    </row>
    <row r="81">
      <c r="A81" s="67" t="n"/>
      <c r="B81" s="75" t="n"/>
      <c r="C81" s="76" t="n"/>
      <c r="D81" s="75" t="n"/>
      <c r="E81" s="76" t="n"/>
      <c r="F81" s="75" t="n"/>
      <c r="G81" s="76" t="n"/>
      <c r="H81" s="75" t="n"/>
      <c r="I81" s="76" t="n"/>
      <c r="J81" s="77">
        <f>IF($A81="","",B81+D81+F81)</f>
        <v/>
      </c>
      <c r="K81" s="78">
        <f>IF($A81="","",C81+E81+G81)</f>
        <v/>
      </c>
      <c r="L81" s="79">
        <f>IF($A81="","",J81+H81)</f>
        <v/>
      </c>
      <c r="M81" s="80">
        <f>IF($A81="","",K81+I81)</f>
        <v/>
      </c>
      <c r="N81" s="77">
        <f>IF($A81="","",SUMIFS($J$5:$J$800,$A$5:$A$800,"&gt;="&amp;DATE(YEAR($A81),MONTH($A81),1),$A$5:$A$800,"&lt;="&amp;$A81)+IF(AND(YEAR($A81)=YEAR(Settings!$B$3),MONTH($A81)=MONTH(Settings!$B$3)),Settings!$B$10,0))</f>
        <v/>
      </c>
      <c r="O81" s="78">
        <f>IF($A81="","",SUMIFS($K$5:$K$800,$A$5:$A$800,"&gt;="&amp;DATE(YEAR($A81),MONTH($A81),1),$A$5:$A$800,"&lt;="&amp;$A81)+IF(AND(YEAR($A81)=YEAR(Settings!$B$3),MONTH($A81)=MONTH(Settings!$B$3)),Settings!$B$11,0))</f>
        <v/>
      </c>
      <c r="P81" s="77">
        <f>IF($A81="","",SUMIFS($H$5:$H$800,$A$5:$A$800,"&gt;="&amp;DATE(YEAR($A81),MONTH($A81),1),$A$5:$A$800,"&lt;="&amp;$A81)+IF(AND(YEAR($A81)=YEAR(Settings!$B$3),MONTH($A81)=MONTH(Settings!$B$3)),Settings!$B$12,0))</f>
        <v/>
      </c>
      <c r="Q81" s="78">
        <f>IF($A81="","",SUMIFS($I$5:$I$800,$A$5:$A$800,"&gt;="&amp;DATE(YEAR($A81),MONTH($A81),1),$A$5:$A$800,"&lt;="&amp;$A81)+IF(AND(YEAR($A81)=YEAR(Settings!$B$3),MONTH($A81)=MONTH(Settings!$B$3)),Settings!$B$13,0))</f>
        <v/>
      </c>
      <c r="R81" s="77">
        <f>IF($A81="","",N81+P81)</f>
        <v/>
      </c>
      <c r="S81" s="78">
        <f>IF($A81="","",O81+Q81)</f>
        <v/>
      </c>
    </row>
    <row r="82">
      <c r="A82" s="67" t="n"/>
      <c r="B82" s="75" t="n"/>
      <c r="C82" s="76" t="n"/>
      <c r="D82" s="75" t="n"/>
      <c r="E82" s="76" t="n"/>
      <c r="F82" s="75" t="n"/>
      <c r="G82" s="76" t="n"/>
      <c r="H82" s="75" t="n"/>
      <c r="I82" s="76" t="n"/>
      <c r="J82" s="77">
        <f>IF($A82="","",B82+D82+F82)</f>
        <v/>
      </c>
      <c r="K82" s="78">
        <f>IF($A82="","",C82+E82+G82)</f>
        <v/>
      </c>
      <c r="L82" s="79">
        <f>IF($A82="","",J82+H82)</f>
        <v/>
      </c>
      <c r="M82" s="80">
        <f>IF($A82="","",K82+I82)</f>
        <v/>
      </c>
      <c r="N82" s="77">
        <f>IF($A82="","",SUMIFS($J$5:$J$800,$A$5:$A$800,"&gt;="&amp;DATE(YEAR($A82),MONTH($A82),1),$A$5:$A$800,"&lt;="&amp;$A82)+IF(AND(YEAR($A82)=YEAR(Settings!$B$3),MONTH($A82)=MONTH(Settings!$B$3)),Settings!$B$10,0))</f>
        <v/>
      </c>
      <c r="O82" s="78">
        <f>IF($A82="","",SUMIFS($K$5:$K$800,$A$5:$A$800,"&gt;="&amp;DATE(YEAR($A82),MONTH($A82),1),$A$5:$A$800,"&lt;="&amp;$A82)+IF(AND(YEAR($A82)=YEAR(Settings!$B$3),MONTH($A82)=MONTH(Settings!$B$3)),Settings!$B$11,0))</f>
        <v/>
      </c>
      <c r="P82" s="77">
        <f>IF($A82="","",SUMIFS($H$5:$H$800,$A$5:$A$800,"&gt;="&amp;DATE(YEAR($A82),MONTH($A82),1),$A$5:$A$800,"&lt;="&amp;$A82)+IF(AND(YEAR($A82)=YEAR(Settings!$B$3),MONTH($A82)=MONTH(Settings!$B$3)),Settings!$B$12,0))</f>
        <v/>
      </c>
      <c r="Q82" s="78">
        <f>IF($A82="","",SUMIFS($I$5:$I$800,$A$5:$A$800,"&gt;="&amp;DATE(YEAR($A82),MONTH($A82),1),$A$5:$A$800,"&lt;="&amp;$A82)+IF(AND(YEAR($A82)=YEAR(Settings!$B$3),MONTH($A82)=MONTH(Settings!$B$3)),Settings!$B$13,0))</f>
        <v/>
      </c>
      <c r="R82" s="77">
        <f>IF($A82="","",N82+P82)</f>
        <v/>
      </c>
      <c r="S82" s="78">
        <f>IF($A82="","",O82+Q82)</f>
        <v/>
      </c>
    </row>
    <row r="83">
      <c r="A83" s="67" t="n"/>
      <c r="B83" s="75" t="n"/>
      <c r="C83" s="76" t="n"/>
      <c r="D83" s="75" t="n"/>
      <c r="E83" s="76" t="n"/>
      <c r="F83" s="75" t="n"/>
      <c r="G83" s="76" t="n"/>
      <c r="H83" s="75" t="n"/>
      <c r="I83" s="76" t="n"/>
      <c r="J83" s="77">
        <f>IF($A83="","",B83+D83+F83)</f>
        <v/>
      </c>
      <c r="K83" s="78">
        <f>IF($A83="","",C83+E83+G83)</f>
        <v/>
      </c>
      <c r="L83" s="79">
        <f>IF($A83="","",J83+H83)</f>
        <v/>
      </c>
      <c r="M83" s="80">
        <f>IF($A83="","",K83+I83)</f>
        <v/>
      </c>
      <c r="N83" s="77">
        <f>IF($A83="","",SUMIFS($J$5:$J$800,$A$5:$A$800,"&gt;="&amp;DATE(YEAR($A83),MONTH($A83),1),$A$5:$A$800,"&lt;="&amp;$A83)+IF(AND(YEAR($A83)=YEAR(Settings!$B$3),MONTH($A83)=MONTH(Settings!$B$3)),Settings!$B$10,0))</f>
        <v/>
      </c>
      <c r="O83" s="78">
        <f>IF($A83="","",SUMIFS($K$5:$K$800,$A$5:$A$800,"&gt;="&amp;DATE(YEAR($A83),MONTH($A83),1),$A$5:$A$800,"&lt;="&amp;$A83)+IF(AND(YEAR($A83)=YEAR(Settings!$B$3),MONTH($A83)=MONTH(Settings!$B$3)),Settings!$B$11,0))</f>
        <v/>
      </c>
      <c r="P83" s="77">
        <f>IF($A83="","",SUMIFS($H$5:$H$800,$A$5:$A$800,"&gt;="&amp;DATE(YEAR($A83),MONTH($A83),1),$A$5:$A$800,"&lt;="&amp;$A83)+IF(AND(YEAR($A83)=YEAR(Settings!$B$3),MONTH($A83)=MONTH(Settings!$B$3)),Settings!$B$12,0))</f>
        <v/>
      </c>
      <c r="Q83" s="78">
        <f>IF($A83="","",SUMIFS($I$5:$I$800,$A$5:$A$800,"&gt;="&amp;DATE(YEAR($A83),MONTH($A83),1),$A$5:$A$800,"&lt;="&amp;$A83)+IF(AND(YEAR($A83)=YEAR(Settings!$B$3),MONTH($A83)=MONTH(Settings!$B$3)),Settings!$B$13,0))</f>
        <v/>
      </c>
      <c r="R83" s="77">
        <f>IF($A83="","",N83+P83)</f>
        <v/>
      </c>
      <c r="S83" s="78">
        <f>IF($A83="","",O83+Q83)</f>
        <v/>
      </c>
    </row>
    <row r="84">
      <c r="A84" s="67" t="n"/>
      <c r="B84" s="75" t="n"/>
      <c r="C84" s="76" t="n"/>
      <c r="D84" s="75" t="n"/>
      <c r="E84" s="76" t="n"/>
      <c r="F84" s="75" t="n"/>
      <c r="G84" s="76" t="n"/>
      <c r="H84" s="75" t="n"/>
      <c r="I84" s="76" t="n"/>
      <c r="J84" s="77">
        <f>IF($A84="","",B84+D84+F84)</f>
        <v/>
      </c>
      <c r="K84" s="78">
        <f>IF($A84="","",C84+E84+G84)</f>
        <v/>
      </c>
      <c r="L84" s="79">
        <f>IF($A84="","",J84+H84)</f>
        <v/>
      </c>
      <c r="M84" s="80">
        <f>IF($A84="","",K84+I84)</f>
        <v/>
      </c>
      <c r="N84" s="77">
        <f>IF($A84="","",SUMIFS($J$5:$J$800,$A$5:$A$800,"&gt;="&amp;DATE(YEAR($A84),MONTH($A84),1),$A$5:$A$800,"&lt;="&amp;$A84)+IF(AND(YEAR($A84)=YEAR(Settings!$B$3),MONTH($A84)=MONTH(Settings!$B$3)),Settings!$B$10,0))</f>
        <v/>
      </c>
      <c r="O84" s="78">
        <f>IF($A84="","",SUMIFS($K$5:$K$800,$A$5:$A$800,"&gt;="&amp;DATE(YEAR($A84),MONTH($A84),1),$A$5:$A$800,"&lt;="&amp;$A84)+IF(AND(YEAR($A84)=YEAR(Settings!$B$3),MONTH($A84)=MONTH(Settings!$B$3)),Settings!$B$11,0))</f>
        <v/>
      </c>
      <c r="P84" s="77">
        <f>IF($A84="","",SUMIFS($H$5:$H$800,$A$5:$A$800,"&gt;="&amp;DATE(YEAR($A84),MONTH($A84),1),$A$5:$A$800,"&lt;="&amp;$A84)+IF(AND(YEAR($A84)=YEAR(Settings!$B$3),MONTH($A84)=MONTH(Settings!$B$3)),Settings!$B$12,0))</f>
        <v/>
      </c>
      <c r="Q84" s="78">
        <f>IF($A84="","",SUMIFS($I$5:$I$800,$A$5:$A$800,"&gt;="&amp;DATE(YEAR($A84),MONTH($A84),1),$A$5:$A$800,"&lt;="&amp;$A84)+IF(AND(YEAR($A84)=YEAR(Settings!$B$3),MONTH($A84)=MONTH(Settings!$B$3)),Settings!$B$13,0))</f>
        <v/>
      </c>
      <c r="R84" s="77">
        <f>IF($A84="","",N84+P84)</f>
        <v/>
      </c>
      <c r="S84" s="78">
        <f>IF($A84="","",O84+Q84)</f>
        <v/>
      </c>
    </row>
    <row r="85">
      <c r="A85" s="67" t="n"/>
      <c r="B85" s="75" t="n"/>
      <c r="C85" s="76" t="n"/>
      <c r="D85" s="75" t="n"/>
      <c r="E85" s="76" t="n"/>
      <c r="F85" s="75" t="n"/>
      <c r="G85" s="76" t="n"/>
      <c r="H85" s="75" t="n"/>
      <c r="I85" s="76" t="n"/>
      <c r="J85" s="77">
        <f>IF($A85="","",B85+D85+F85)</f>
        <v/>
      </c>
      <c r="K85" s="78">
        <f>IF($A85="","",C85+E85+G85)</f>
        <v/>
      </c>
      <c r="L85" s="79">
        <f>IF($A85="","",J85+H85)</f>
        <v/>
      </c>
      <c r="M85" s="80">
        <f>IF($A85="","",K85+I85)</f>
        <v/>
      </c>
      <c r="N85" s="77">
        <f>IF($A85="","",SUMIFS($J$5:$J$800,$A$5:$A$800,"&gt;="&amp;DATE(YEAR($A85),MONTH($A85),1),$A$5:$A$800,"&lt;="&amp;$A85)+IF(AND(YEAR($A85)=YEAR(Settings!$B$3),MONTH($A85)=MONTH(Settings!$B$3)),Settings!$B$10,0))</f>
        <v/>
      </c>
      <c r="O85" s="78">
        <f>IF($A85="","",SUMIFS($K$5:$K$800,$A$5:$A$800,"&gt;="&amp;DATE(YEAR($A85),MONTH($A85),1),$A$5:$A$800,"&lt;="&amp;$A85)+IF(AND(YEAR($A85)=YEAR(Settings!$B$3),MONTH($A85)=MONTH(Settings!$B$3)),Settings!$B$11,0))</f>
        <v/>
      </c>
      <c r="P85" s="77">
        <f>IF($A85="","",SUMIFS($H$5:$H$800,$A$5:$A$800,"&gt;="&amp;DATE(YEAR($A85),MONTH($A85),1),$A$5:$A$800,"&lt;="&amp;$A85)+IF(AND(YEAR($A85)=YEAR(Settings!$B$3),MONTH($A85)=MONTH(Settings!$B$3)),Settings!$B$12,0))</f>
        <v/>
      </c>
      <c r="Q85" s="78">
        <f>IF($A85="","",SUMIFS($I$5:$I$800,$A$5:$A$800,"&gt;="&amp;DATE(YEAR($A85),MONTH($A85),1),$A$5:$A$800,"&lt;="&amp;$A85)+IF(AND(YEAR($A85)=YEAR(Settings!$B$3),MONTH($A85)=MONTH(Settings!$B$3)),Settings!$B$13,0))</f>
        <v/>
      </c>
      <c r="R85" s="77">
        <f>IF($A85="","",N85+P85)</f>
        <v/>
      </c>
      <c r="S85" s="78">
        <f>IF($A85="","",O85+Q85)</f>
        <v/>
      </c>
    </row>
    <row r="86">
      <c r="A86" s="67" t="n"/>
      <c r="B86" s="75" t="n"/>
      <c r="C86" s="76" t="n"/>
      <c r="D86" s="75" t="n"/>
      <c r="E86" s="76" t="n"/>
      <c r="F86" s="75" t="n"/>
      <c r="G86" s="76" t="n"/>
      <c r="H86" s="75" t="n"/>
      <c r="I86" s="76" t="n"/>
      <c r="J86" s="77">
        <f>IF($A86="","",B86+D86+F86)</f>
        <v/>
      </c>
      <c r="K86" s="78">
        <f>IF($A86="","",C86+E86+G86)</f>
        <v/>
      </c>
      <c r="L86" s="79">
        <f>IF($A86="","",J86+H86)</f>
        <v/>
      </c>
      <c r="M86" s="80">
        <f>IF($A86="","",K86+I86)</f>
        <v/>
      </c>
      <c r="N86" s="77">
        <f>IF($A86="","",SUMIFS($J$5:$J$800,$A$5:$A$800,"&gt;="&amp;DATE(YEAR($A86),MONTH($A86),1),$A$5:$A$800,"&lt;="&amp;$A86)+IF(AND(YEAR($A86)=YEAR(Settings!$B$3),MONTH($A86)=MONTH(Settings!$B$3)),Settings!$B$10,0))</f>
        <v/>
      </c>
      <c r="O86" s="78">
        <f>IF($A86="","",SUMIFS($K$5:$K$800,$A$5:$A$800,"&gt;="&amp;DATE(YEAR($A86),MONTH($A86),1),$A$5:$A$800,"&lt;="&amp;$A86)+IF(AND(YEAR($A86)=YEAR(Settings!$B$3),MONTH($A86)=MONTH(Settings!$B$3)),Settings!$B$11,0))</f>
        <v/>
      </c>
      <c r="P86" s="77">
        <f>IF($A86="","",SUMIFS($H$5:$H$800,$A$5:$A$800,"&gt;="&amp;DATE(YEAR($A86),MONTH($A86),1),$A$5:$A$800,"&lt;="&amp;$A86)+IF(AND(YEAR($A86)=YEAR(Settings!$B$3),MONTH($A86)=MONTH(Settings!$B$3)),Settings!$B$12,0))</f>
        <v/>
      </c>
      <c r="Q86" s="78">
        <f>IF($A86="","",SUMIFS($I$5:$I$800,$A$5:$A$800,"&gt;="&amp;DATE(YEAR($A86),MONTH($A86),1),$A$5:$A$800,"&lt;="&amp;$A86)+IF(AND(YEAR($A86)=YEAR(Settings!$B$3),MONTH($A86)=MONTH(Settings!$B$3)),Settings!$B$13,0))</f>
        <v/>
      </c>
      <c r="R86" s="77">
        <f>IF($A86="","",N86+P86)</f>
        <v/>
      </c>
      <c r="S86" s="78">
        <f>IF($A86="","",O86+Q86)</f>
        <v/>
      </c>
    </row>
    <row r="87">
      <c r="A87" s="67" t="n"/>
      <c r="B87" s="75" t="n"/>
      <c r="C87" s="76" t="n"/>
      <c r="D87" s="75" t="n"/>
      <c r="E87" s="76" t="n"/>
      <c r="F87" s="75" t="n"/>
      <c r="G87" s="76" t="n"/>
      <c r="H87" s="75" t="n"/>
      <c r="I87" s="76" t="n"/>
      <c r="J87" s="77">
        <f>IF($A87="","",B87+D87+F87)</f>
        <v/>
      </c>
      <c r="K87" s="78">
        <f>IF($A87="","",C87+E87+G87)</f>
        <v/>
      </c>
      <c r="L87" s="79">
        <f>IF($A87="","",J87+H87)</f>
        <v/>
      </c>
      <c r="M87" s="80">
        <f>IF($A87="","",K87+I87)</f>
        <v/>
      </c>
      <c r="N87" s="77">
        <f>IF($A87="","",SUMIFS($J$5:$J$800,$A$5:$A$800,"&gt;="&amp;DATE(YEAR($A87),MONTH($A87),1),$A$5:$A$800,"&lt;="&amp;$A87)+IF(AND(YEAR($A87)=YEAR(Settings!$B$3),MONTH($A87)=MONTH(Settings!$B$3)),Settings!$B$10,0))</f>
        <v/>
      </c>
      <c r="O87" s="78">
        <f>IF($A87="","",SUMIFS($K$5:$K$800,$A$5:$A$800,"&gt;="&amp;DATE(YEAR($A87),MONTH($A87),1),$A$5:$A$800,"&lt;="&amp;$A87)+IF(AND(YEAR($A87)=YEAR(Settings!$B$3),MONTH($A87)=MONTH(Settings!$B$3)),Settings!$B$11,0))</f>
        <v/>
      </c>
      <c r="P87" s="77">
        <f>IF($A87="","",SUMIFS($H$5:$H$800,$A$5:$A$800,"&gt;="&amp;DATE(YEAR($A87),MONTH($A87),1),$A$5:$A$800,"&lt;="&amp;$A87)+IF(AND(YEAR($A87)=YEAR(Settings!$B$3),MONTH($A87)=MONTH(Settings!$B$3)),Settings!$B$12,0))</f>
        <v/>
      </c>
      <c r="Q87" s="78">
        <f>IF($A87="","",SUMIFS($I$5:$I$800,$A$5:$A$800,"&gt;="&amp;DATE(YEAR($A87),MONTH($A87),1),$A$5:$A$800,"&lt;="&amp;$A87)+IF(AND(YEAR($A87)=YEAR(Settings!$B$3),MONTH($A87)=MONTH(Settings!$B$3)),Settings!$B$13,0))</f>
        <v/>
      </c>
      <c r="R87" s="77">
        <f>IF($A87="","",N87+P87)</f>
        <v/>
      </c>
      <c r="S87" s="78">
        <f>IF($A87="","",O87+Q87)</f>
        <v/>
      </c>
    </row>
    <row r="88">
      <c r="A88" s="67" t="n"/>
      <c r="B88" s="75" t="n"/>
      <c r="C88" s="76" t="n"/>
      <c r="D88" s="75" t="n"/>
      <c r="E88" s="76" t="n"/>
      <c r="F88" s="75" t="n"/>
      <c r="G88" s="76" t="n"/>
      <c r="H88" s="75" t="n"/>
      <c r="I88" s="76" t="n"/>
      <c r="J88" s="77">
        <f>IF($A88="","",B88+D88+F88)</f>
        <v/>
      </c>
      <c r="K88" s="78">
        <f>IF($A88="","",C88+E88+G88)</f>
        <v/>
      </c>
      <c r="L88" s="79">
        <f>IF($A88="","",J88+H88)</f>
        <v/>
      </c>
      <c r="M88" s="80">
        <f>IF($A88="","",K88+I88)</f>
        <v/>
      </c>
      <c r="N88" s="77">
        <f>IF($A88="","",SUMIFS($J$5:$J$800,$A$5:$A$800,"&gt;="&amp;DATE(YEAR($A88),MONTH($A88),1),$A$5:$A$800,"&lt;="&amp;$A88)+IF(AND(YEAR($A88)=YEAR(Settings!$B$3),MONTH($A88)=MONTH(Settings!$B$3)),Settings!$B$10,0))</f>
        <v/>
      </c>
      <c r="O88" s="78">
        <f>IF($A88="","",SUMIFS($K$5:$K$800,$A$5:$A$800,"&gt;="&amp;DATE(YEAR($A88),MONTH($A88),1),$A$5:$A$800,"&lt;="&amp;$A88)+IF(AND(YEAR($A88)=YEAR(Settings!$B$3),MONTH($A88)=MONTH(Settings!$B$3)),Settings!$B$11,0))</f>
        <v/>
      </c>
      <c r="P88" s="77">
        <f>IF($A88="","",SUMIFS($H$5:$H$800,$A$5:$A$800,"&gt;="&amp;DATE(YEAR($A88),MONTH($A88),1),$A$5:$A$800,"&lt;="&amp;$A88)+IF(AND(YEAR($A88)=YEAR(Settings!$B$3),MONTH($A88)=MONTH(Settings!$B$3)),Settings!$B$12,0))</f>
        <v/>
      </c>
      <c r="Q88" s="78">
        <f>IF($A88="","",SUMIFS($I$5:$I$800,$A$5:$A$800,"&gt;="&amp;DATE(YEAR($A88),MONTH($A88),1),$A$5:$A$800,"&lt;="&amp;$A88)+IF(AND(YEAR($A88)=YEAR(Settings!$B$3),MONTH($A88)=MONTH(Settings!$B$3)),Settings!$B$13,0))</f>
        <v/>
      </c>
      <c r="R88" s="77">
        <f>IF($A88="","",N88+P88)</f>
        <v/>
      </c>
      <c r="S88" s="78">
        <f>IF($A88="","",O88+Q88)</f>
        <v/>
      </c>
    </row>
    <row r="89">
      <c r="A89" s="67" t="n"/>
      <c r="B89" s="75" t="n"/>
      <c r="C89" s="76" t="n"/>
      <c r="D89" s="75" t="n"/>
      <c r="E89" s="76" t="n"/>
      <c r="F89" s="75" t="n"/>
      <c r="G89" s="76" t="n"/>
      <c r="H89" s="75" t="n"/>
      <c r="I89" s="76" t="n"/>
      <c r="J89" s="77">
        <f>IF($A89="","",B89+D89+F89)</f>
        <v/>
      </c>
      <c r="K89" s="78">
        <f>IF($A89="","",C89+E89+G89)</f>
        <v/>
      </c>
      <c r="L89" s="79">
        <f>IF($A89="","",J89+H89)</f>
        <v/>
      </c>
      <c r="M89" s="80">
        <f>IF($A89="","",K89+I89)</f>
        <v/>
      </c>
      <c r="N89" s="77">
        <f>IF($A89="","",SUMIFS($J$5:$J$800,$A$5:$A$800,"&gt;="&amp;DATE(YEAR($A89),MONTH($A89),1),$A$5:$A$800,"&lt;="&amp;$A89)+IF(AND(YEAR($A89)=YEAR(Settings!$B$3),MONTH($A89)=MONTH(Settings!$B$3)),Settings!$B$10,0))</f>
        <v/>
      </c>
      <c r="O89" s="78">
        <f>IF($A89="","",SUMIFS($K$5:$K$800,$A$5:$A$800,"&gt;="&amp;DATE(YEAR($A89),MONTH($A89),1),$A$5:$A$800,"&lt;="&amp;$A89)+IF(AND(YEAR($A89)=YEAR(Settings!$B$3),MONTH($A89)=MONTH(Settings!$B$3)),Settings!$B$11,0))</f>
        <v/>
      </c>
      <c r="P89" s="77">
        <f>IF($A89="","",SUMIFS($H$5:$H$800,$A$5:$A$800,"&gt;="&amp;DATE(YEAR($A89),MONTH($A89),1),$A$5:$A$800,"&lt;="&amp;$A89)+IF(AND(YEAR($A89)=YEAR(Settings!$B$3),MONTH($A89)=MONTH(Settings!$B$3)),Settings!$B$12,0))</f>
        <v/>
      </c>
      <c r="Q89" s="78">
        <f>IF($A89="","",SUMIFS($I$5:$I$800,$A$5:$A$800,"&gt;="&amp;DATE(YEAR($A89),MONTH($A89),1),$A$5:$A$800,"&lt;="&amp;$A89)+IF(AND(YEAR($A89)=YEAR(Settings!$B$3),MONTH($A89)=MONTH(Settings!$B$3)),Settings!$B$13,0))</f>
        <v/>
      </c>
      <c r="R89" s="77">
        <f>IF($A89="","",N89+P89)</f>
        <v/>
      </c>
      <c r="S89" s="78">
        <f>IF($A89="","",O89+Q89)</f>
        <v/>
      </c>
    </row>
    <row r="90">
      <c r="A90" s="67" t="n"/>
      <c r="B90" s="75" t="n"/>
      <c r="C90" s="76" t="n"/>
      <c r="D90" s="75" t="n"/>
      <c r="E90" s="76" t="n"/>
      <c r="F90" s="75" t="n"/>
      <c r="G90" s="76" t="n"/>
      <c r="H90" s="75" t="n"/>
      <c r="I90" s="76" t="n"/>
      <c r="J90" s="77">
        <f>IF($A90="","",B90+D90+F90)</f>
        <v/>
      </c>
      <c r="K90" s="78">
        <f>IF($A90="","",C90+E90+G90)</f>
        <v/>
      </c>
      <c r="L90" s="79">
        <f>IF($A90="","",J90+H90)</f>
        <v/>
      </c>
      <c r="M90" s="80">
        <f>IF($A90="","",K90+I90)</f>
        <v/>
      </c>
      <c r="N90" s="77">
        <f>IF($A90="","",SUMIFS($J$5:$J$800,$A$5:$A$800,"&gt;="&amp;DATE(YEAR($A90),MONTH($A90),1),$A$5:$A$800,"&lt;="&amp;$A90)+IF(AND(YEAR($A90)=YEAR(Settings!$B$3),MONTH($A90)=MONTH(Settings!$B$3)),Settings!$B$10,0))</f>
        <v/>
      </c>
      <c r="O90" s="78">
        <f>IF($A90="","",SUMIFS($K$5:$K$800,$A$5:$A$800,"&gt;="&amp;DATE(YEAR($A90),MONTH($A90),1),$A$5:$A$800,"&lt;="&amp;$A90)+IF(AND(YEAR($A90)=YEAR(Settings!$B$3),MONTH($A90)=MONTH(Settings!$B$3)),Settings!$B$11,0))</f>
        <v/>
      </c>
      <c r="P90" s="77">
        <f>IF($A90="","",SUMIFS($H$5:$H$800,$A$5:$A$800,"&gt;="&amp;DATE(YEAR($A90),MONTH($A90),1),$A$5:$A$800,"&lt;="&amp;$A90)+IF(AND(YEAR($A90)=YEAR(Settings!$B$3),MONTH($A90)=MONTH(Settings!$B$3)),Settings!$B$12,0))</f>
        <v/>
      </c>
      <c r="Q90" s="78">
        <f>IF($A90="","",SUMIFS($I$5:$I$800,$A$5:$A$800,"&gt;="&amp;DATE(YEAR($A90),MONTH($A90),1),$A$5:$A$800,"&lt;="&amp;$A90)+IF(AND(YEAR($A90)=YEAR(Settings!$B$3),MONTH($A90)=MONTH(Settings!$B$3)),Settings!$B$13,0))</f>
        <v/>
      </c>
      <c r="R90" s="77">
        <f>IF($A90="","",N90+P90)</f>
        <v/>
      </c>
      <c r="S90" s="78">
        <f>IF($A90="","",O90+Q90)</f>
        <v/>
      </c>
    </row>
    <row r="91">
      <c r="A91" s="67" t="n"/>
      <c r="B91" s="75" t="n"/>
      <c r="C91" s="76" t="n"/>
      <c r="D91" s="75" t="n"/>
      <c r="E91" s="76" t="n"/>
      <c r="F91" s="75" t="n"/>
      <c r="G91" s="76" t="n"/>
      <c r="H91" s="75" t="n"/>
      <c r="I91" s="76" t="n"/>
      <c r="J91" s="77">
        <f>IF($A91="","",B91+D91+F91)</f>
        <v/>
      </c>
      <c r="K91" s="78">
        <f>IF($A91="","",C91+E91+G91)</f>
        <v/>
      </c>
      <c r="L91" s="79">
        <f>IF($A91="","",J91+H91)</f>
        <v/>
      </c>
      <c r="M91" s="80">
        <f>IF($A91="","",K91+I91)</f>
        <v/>
      </c>
      <c r="N91" s="77">
        <f>IF($A91="","",SUMIFS($J$5:$J$800,$A$5:$A$800,"&gt;="&amp;DATE(YEAR($A91),MONTH($A91),1),$A$5:$A$800,"&lt;="&amp;$A91)+IF(AND(YEAR($A91)=YEAR(Settings!$B$3),MONTH($A91)=MONTH(Settings!$B$3)),Settings!$B$10,0))</f>
        <v/>
      </c>
      <c r="O91" s="78">
        <f>IF($A91="","",SUMIFS($K$5:$K$800,$A$5:$A$800,"&gt;="&amp;DATE(YEAR($A91),MONTH($A91),1),$A$5:$A$800,"&lt;="&amp;$A91)+IF(AND(YEAR($A91)=YEAR(Settings!$B$3),MONTH($A91)=MONTH(Settings!$B$3)),Settings!$B$11,0))</f>
        <v/>
      </c>
      <c r="P91" s="77">
        <f>IF($A91="","",SUMIFS($H$5:$H$800,$A$5:$A$800,"&gt;="&amp;DATE(YEAR($A91),MONTH($A91),1),$A$5:$A$800,"&lt;="&amp;$A91)+IF(AND(YEAR($A91)=YEAR(Settings!$B$3),MONTH($A91)=MONTH(Settings!$B$3)),Settings!$B$12,0))</f>
        <v/>
      </c>
      <c r="Q91" s="78">
        <f>IF($A91="","",SUMIFS($I$5:$I$800,$A$5:$A$800,"&gt;="&amp;DATE(YEAR($A91),MONTH($A91),1),$A$5:$A$800,"&lt;="&amp;$A91)+IF(AND(YEAR($A91)=YEAR(Settings!$B$3),MONTH($A91)=MONTH(Settings!$B$3)),Settings!$B$13,0))</f>
        <v/>
      </c>
      <c r="R91" s="77">
        <f>IF($A91="","",N91+P91)</f>
        <v/>
      </c>
      <c r="S91" s="78">
        <f>IF($A91="","",O91+Q91)</f>
        <v/>
      </c>
    </row>
    <row r="92">
      <c r="A92" s="67" t="n"/>
      <c r="B92" s="75" t="n"/>
      <c r="C92" s="76" t="n"/>
      <c r="D92" s="75" t="n"/>
      <c r="E92" s="76" t="n"/>
      <c r="F92" s="75" t="n"/>
      <c r="G92" s="76" t="n"/>
      <c r="H92" s="75" t="n"/>
      <c r="I92" s="76" t="n"/>
      <c r="J92" s="77">
        <f>IF($A92="","",B92+D92+F92)</f>
        <v/>
      </c>
      <c r="K92" s="78">
        <f>IF($A92="","",C92+E92+G92)</f>
        <v/>
      </c>
      <c r="L92" s="79">
        <f>IF($A92="","",J92+H92)</f>
        <v/>
      </c>
      <c r="M92" s="80">
        <f>IF($A92="","",K92+I92)</f>
        <v/>
      </c>
      <c r="N92" s="77">
        <f>IF($A92="","",SUMIFS($J$5:$J$800,$A$5:$A$800,"&gt;="&amp;DATE(YEAR($A92),MONTH($A92),1),$A$5:$A$800,"&lt;="&amp;$A92)+IF(AND(YEAR($A92)=YEAR(Settings!$B$3),MONTH($A92)=MONTH(Settings!$B$3)),Settings!$B$10,0))</f>
        <v/>
      </c>
      <c r="O92" s="78">
        <f>IF($A92="","",SUMIFS($K$5:$K$800,$A$5:$A$800,"&gt;="&amp;DATE(YEAR($A92),MONTH($A92),1),$A$5:$A$800,"&lt;="&amp;$A92)+IF(AND(YEAR($A92)=YEAR(Settings!$B$3),MONTH($A92)=MONTH(Settings!$B$3)),Settings!$B$11,0))</f>
        <v/>
      </c>
      <c r="P92" s="77">
        <f>IF($A92="","",SUMIFS($H$5:$H$800,$A$5:$A$800,"&gt;="&amp;DATE(YEAR($A92),MONTH($A92),1),$A$5:$A$800,"&lt;="&amp;$A92)+IF(AND(YEAR($A92)=YEAR(Settings!$B$3),MONTH($A92)=MONTH(Settings!$B$3)),Settings!$B$12,0))</f>
        <v/>
      </c>
      <c r="Q92" s="78">
        <f>IF($A92="","",SUMIFS($I$5:$I$800,$A$5:$A$800,"&gt;="&amp;DATE(YEAR($A92),MONTH($A92),1),$A$5:$A$800,"&lt;="&amp;$A92)+IF(AND(YEAR($A92)=YEAR(Settings!$B$3),MONTH($A92)=MONTH(Settings!$B$3)),Settings!$B$13,0))</f>
        <v/>
      </c>
      <c r="R92" s="77">
        <f>IF($A92="","",N92+P92)</f>
        <v/>
      </c>
      <c r="S92" s="78">
        <f>IF($A92="","",O92+Q92)</f>
        <v/>
      </c>
    </row>
    <row r="93">
      <c r="A93" s="67" t="n"/>
      <c r="B93" s="75" t="n"/>
      <c r="C93" s="76" t="n"/>
      <c r="D93" s="75" t="n"/>
      <c r="E93" s="76" t="n"/>
      <c r="F93" s="75" t="n"/>
      <c r="G93" s="76" t="n"/>
      <c r="H93" s="75" t="n"/>
      <c r="I93" s="76" t="n"/>
      <c r="J93" s="77">
        <f>IF($A93="","",B93+D93+F93)</f>
        <v/>
      </c>
      <c r="K93" s="78">
        <f>IF($A93="","",C93+E93+G93)</f>
        <v/>
      </c>
      <c r="L93" s="79">
        <f>IF($A93="","",J93+H93)</f>
        <v/>
      </c>
      <c r="M93" s="80">
        <f>IF($A93="","",K93+I93)</f>
        <v/>
      </c>
      <c r="N93" s="77">
        <f>IF($A93="","",SUMIFS($J$5:$J$800,$A$5:$A$800,"&gt;="&amp;DATE(YEAR($A93),MONTH($A93),1),$A$5:$A$800,"&lt;="&amp;$A93)+IF(AND(YEAR($A93)=YEAR(Settings!$B$3),MONTH($A93)=MONTH(Settings!$B$3)),Settings!$B$10,0))</f>
        <v/>
      </c>
      <c r="O93" s="78">
        <f>IF($A93="","",SUMIFS($K$5:$K$800,$A$5:$A$800,"&gt;="&amp;DATE(YEAR($A93),MONTH($A93),1),$A$5:$A$800,"&lt;="&amp;$A93)+IF(AND(YEAR($A93)=YEAR(Settings!$B$3),MONTH($A93)=MONTH(Settings!$B$3)),Settings!$B$11,0))</f>
        <v/>
      </c>
      <c r="P93" s="77">
        <f>IF($A93="","",SUMIFS($H$5:$H$800,$A$5:$A$800,"&gt;="&amp;DATE(YEAR($A93),MONTH($A93),1),$A$5:$A$800,"&lt;="&amp;$A93)+IF(AND(YEAR($A93)=YEAR(Settings!$B$3),MONTH($A93)=MONTH(Settings!$B$3)),Settings!$B$12,0))</f>
        <v/>
      </c>
      <c r="Q93" s="78">
        <f>IF($A93="","",SUMIFS($I$5:$I$800,$A$5:$A$800,"&gt;="&amp;DATE(YEAR($A93),MONTH($A93),1),$A$5:$A$800,"&lt;="&amp;$A93)+IF(AND(YEAR($A93)=YEAR(Settings!$B$3),MONTH($A93)=MONTH(Settings!$B$3)),Settings!$B$13,0))</f>
        <v/>
      </c>
      <c r="R93" s="77">
        <f>IF($A93="","",N93+P93)</f>
        <v/>
      </c>
      <c r="S93" s="78">
        <f>IF($A93="","",O93+Q93)</f>
        <v/>
      </c>
    </row>
    <row r="94">
      <c r="A94" s="67" t="n"/>
      <c r="B94" s="75" t="n"/>
      <c r="C94" s="76" t="n"/>
      <c r="D94" s="75" t="n"/>
      <c r="E94" s="76" t="n"/>
      <c r="F94" s="75" t="n"/>
      <c r="G94" s="76" t="n"/>
      <c r="H94" s="75" t="n"/>
      <c r="I94" s="76" t="n"/>
      <c r="J94" s="77">
        <f>IF($A94="","",B94+D94+F94)</f>
        <v/>
      </c>
      <c r="K94" s="78">
        <f>IF($A94="","",C94+E94+G94)</f>
        <v/>
      </c>
      <c r="L94" s="79">
        <f>IF($A94="","",J94+H94)</f>
        <v/>
      </c>
      <c r="M94" s="80">
        <f>IF($A94="","",K94+I94)</f>
        <v/>
      </c>
      <c r="N94" s="77">
        <f>IF($A94="","",SUMIFS($J$5:$J$800,$A$5:$A$800,"&gt;="&amp;DATE(YEAR($A94),MONTH($A94),1),$A$5:$A$800,"&lt;="&amp;$A94)+IF(AND(YEAR($A94)=YEAR(Settings!$B$3),MONTH($A94)=MONTH(Settings!$B$3)),Settings!$B$10,0))</f>
        <v/>
      </c>
      <c r="O94" s="78">
        <f>IF($A94="","",SUMIFS($K$5:$K$800,$A$5:$A$800,"&gt;="&amp;DATE(YEAR($A94),MONTH($A94),1),$A$5:$A$800,"&lt;="&amp;$A94)+IF(AND(YEAR($A94)=YEAR(Settings!$B$3),MONTH($A94)=MONTH(Settings!$B$3)),Settings!$B$11,0))</f>
        <v/>
      </c>
      <c r="P94" s="77">
        <f>IF($A94="","",SUMIFS($H$5:$H$800,$A$5:$A$800,"&gt;="&amp;DATE(YEAR($A94),MONTH($A94),1),$A$5:$A$800,"&lt;="&amp;$A94)+IF(AND(YEAR($A94)=YEAR(Settings!$B$3),MONTH($A94)=MONTH(Settings!$B$3)),Settings!$B$12,0))</f>
        <v/>
      </c>
      <c r="Q94" s="78">
        <f>IF($A94="","",SUMIFS($I$5:$I$800,$A$5:$A$800,"&gt;="&amp;DATE(YEAR($A94),MONTH($A94),1),$A$5:$A$800,"&lt;="&amp;$A94)+IF(AND(YEAR($A94)=YEAR(Settings!$B$3),MONTH($A94)=MONTH(Settings!$B$3)),Settings!$B$13,0))</f>
        <v/>
      </c>
      <c r="R94" s="77">
        <f>IF($A94="","",N94+P94)</f>
        <v/>
      </c>
      <c r="S94" s="78">
        <f>IF($A94="","",O94+Q94)</f>
        <v/>
      </c>
    </row>
    <row r="95">
      <c r="A95" s="67" t="n"/>
      <c r="B95" s="75" t="n"/>
      <c r="C95" s="76" t="n"/>
      <c r="D95" s="75" t="n"/>
      <c r="E95" s="76" t="n"/>
      <c r="F95" s="75" t="n"/>
      <c r="G95" s="76" t="n"/>
      <c r="H95" s="75" t="n"/>
      <c r="I95" s="76" t="n"/>
      <c r="J95" s="77">
        <f>IF($A95="","",B95+D95+F95)</f>
        <v/>
      </c>
      <c r="K95" s="78">
        <f>IF($A95="","",C95+E95+G95)</f>
        <v/>
      </c>
      <c r="L95" s="79">
        <f>IF($A95="","",J95+H95)</f>
        <v/>
      </c>
      <c r="M95" s="80">
        <f>IF($A95="","",K95+I95)</f>
        <v/>
      </c>
      <c r="N95" s="77">
        <f>IF($A95="","",SUMIFS($J$5:$J$800,$A$5:$A$800,"&gt;="&amp;DATE(YEAR($A95),MONTH($A95),1),$A$5:$A$800,"&lt;="&amp;$A95)+IF(AND(YEAR($A95)=YEAR(Settings!$B$3),MONTH($A95)=MONTH(Settings!$B$3)),Settings!$B$10,0))</f>
        <v/>
      </c>
      <c r="O95" s="78">
        <f>IF($A95="","",SUMIFS($K$5:$K$800,$A$5:$A$800,"&gt;="&amp;DATE(YEAR($A95),MONTH($A95),1),$A$5:$A$800,"&lt;="&amp;$A95)+IF(AND(YEAR($A95)=YEAR(Settings!$B$3),MONTH($A95)=MONTH(Settings!$B$3)),Settings!$B$11,0))</f>
        <v/>
      </c>
      <c r="P95" s="77">
        <f>IF($A95="","",SUMIFS($H$5:$H$800,$A$5:$A$800,"&gt;="&amp;DATE(YEAR($A95),MONTH($A95),1),$A$5:$A$800,"&lt;="&amp;$A95)+IF(AND(YEAR($A95)=YEAR(Settings!$B$3),MONTH($A95)=MONTH(Settings!$B$3)),Settings!$B$12,0))</f>
        <v/>
      </c>
      <c r="Q95" s="78">
        <f>IF($A95="","",SUMIFS($I$5:$I$800,$A$5:$A$800,"&gt;="&amp;DATE(YEAR($A95),MONTH($A95),1),$A$5:$A$800,"&lt;="&amp;$A95)+IF(AND(YEAR($A95)=YEAR(Settings!$B$3),MONTH($A95)=MONTH(Settings!$B$3)),Settings!$B$13,0))</f>
        <v/>
      </c>
      <c r="R95" s="77">
        <f>IF($A95="","",N95+P95)</f>
        <v/>
      </c>
      <c r="S95" s="78">
        <f>IF($A95="","",O95+Q95)</f>
        <v/>
      </c>
    </row>
    <row r="96">
      <c r="A96" s="67" t="n"/>
      <c r="B96" s="75" t="n"/>
      <c r="C96" s="76" t="n"/>
      <c r="D96" s="75" t="n"/>
      <c r="E96" s="76" t="n"/>
      <c r="F96" s="75" t="n"/>
      <c r="G96" s="76" t="n"/>
      <c r="H96" s="75" t="n"/>
      <c r="I96" s="76" t="n"/>
      <c r="J96" s="77">
        <f>IF($A96="","",B96+D96+F96)</f>
        <v/>
      </c>
      <c r="K96" s="78">
        <f>IF($A96="","",C96+E96+G96)</f>
        <v/>
      </c>
      <c r="L96" s="79">
        <f>IF($A96="","",J96+H96)</f>
        <v/>
      </c>
      <c r="M96" s="80">
        <f>IF($A96="","",K96+I96)</f>
        <v/>
      </c>
      <c r="N96" s="77">
        <f>IF($A96="","",SUMIFS($J$5:$J$800,$A$5:$A$800,"&gt;="&amp;DATE(YEAR($A96),MONTH($A96),1),$A$5:$A$800,"&lt;="&amp;$A96)+IF(AND(YEAR($A96)=YEAR(Settings!$B$3),MONTH($A96)=MONTH(Settings!$B$3)),Settings!$B$10,0))</f>
        <v/>
      </c>
      <c r="O96" s="78">
        <f>IF($A96="","",SUMIFS($K$5:$K$800,$A$5:$A$800,"&gt;="&amp;DATE(YEAR($A96),MONTH($A96),1),$A$5:$A$800,"&lt;="&amp;$A96)+IF(AND(YEAR($A96)=YEAR(Settings!$B$3),MONTH($A96)=MONTH(Settings!$B$3)),Settings!$B$11,0))</f>
        <v/>
      </c>
      <c r="P96" s="77">
        <f>IF($A96="","",SUMIFS($H$5:$H$800,$A$5:$A$800,"&gt;="&amp;DATE(YEAR($A96),MONTH($A96),1),$A$5:$A$800,"&lt;="&amp;$A96)+IF(AND(YEAR($A96)=YEAR(Settings!$B$3),MONTH($A96)=MONTH(Settings!$B$3)),Settings!$B$12,0))</f>
        <v/>
      </c>
      <c r="Q96" s="78">
        <f>IF($A96="","",SUMIFS($I$5:$I$800,$A$5:$A$800,"&gt;="&amp;DATE(YEAR($A96),MONTH($A96),1),$A$5:$A$800,"&lt;="&amp;$A96)+IF(AND(YEAR($A96)=YEAR(Settings!$B$3),MONTH($A96)=MONTH(Settings!$B$3)),Settings!$B$13,0))</f>
        <v/>
      </c>
      <c r="R96" s="77">
        <f>IF($A96="","",N96+P96)</f>
        <v/>
      </c>
      <c r="S96" s="78">
        <f>IF($A96="","",O96+Q96)</f>
        <v/>
      </c>
    </row>
    <row r="97">
      <c r="A97" s="67" t="n"/>
      <c r="B97" s="75" t="n"/>
      <c r="C97" s="76" t="n"/>
      <c r="D97" s="75" t="n"/>
      <c r="E97" s="76" t="n"/>
      <c r="F97" s="75" t="n"/>
      <c r="G97" s="76" t="n"/>
      <c r="H97" s="75" t="n"/>
      <c r="I97" s="76" t="n"/>
      <c r="J97" s="77">
        <f>IF($A97="","",B97+D97+F97)</f>
        <v/>
      </c>
      <c r="K97" s="78">
        <f>IF($A97="","",C97+E97+G97)</f>
        <v/>
      </c>
      <c r="L97" s="79">
        <f>IF($A97="","",J97+H97)</f>
        <v/>
      </c>
      <c r="M97" s="80">
        <f>IF($A97="","",K97+I97)</f>
        <v/>
      </c>
      <c r="N97" s="77">
        <f>IF($A97="","",SUMIFS($J$5:$J$800,$A$5:$A$800,"&gt;="&amp;DATE(YEAR($A97),MONTH($A97),1),$A$5:$A$800,"&lt;="&amp;$A97)+IF(AND(YEAR($A97)=YEAR(Settings!$B$3),MONTH($A97)=MONTH(Settings!$B$3)),Settings!$B$10,0))</f>
        <v/>
      </c>
      <c r="O97" s="78">
        <f>IF($A97="","",SUMIFS($K$5:$K$800,$A$5:$A$800,"&gt;="&amp;DATE(YEAR($A97),MONTH($A97),1),$A$5:$A$800,"&lt;="&amp;$A97)+IF(AND(YEAR($A97)=YEAR(Settings!$B$3),MONTH($A97)=MONTH(Settings!$B$3)),Settings!$B$11,0))</f>
        <v/>
      </c>
      <c r="P97" s="77">
        <f>IF($A97="","",SUMIFS($H$5:$H$800,$A$5:$A$800,"&gt;="&amp;DATE(YEAR($A97),MONTH($A97),1),$A$5:$A$800,"&lt;="&amp;$A97)+IF(AND(YEAR($A97)=YEAR(Settings!$B$3),MONTH($A97)=MONTH(Settings!$B$3)),Settings!$B$12,0))</f>
        <v/>
      </c>
      <c r="Q97" s="78">
        <f>IF($A97="","",SUMIFS($I$5:$I$800,$A$5:$A$800,"&gt;="&amp;DATE(YEAR($A97),MONTH($A97),1),$A$5:$A$800,"&lt;="&amp;$A97)+IF(AND(YEAR($A97)=YEAR(Settings!$B$3),MONTH($A97)=MONTH(Settings!$B$3)),Settings!$B$13,0))</f>
        <v/>
      </c>
      <c r="R97" s="77">
        <f>IF($A97="","",N97+P97)</f>
        <v/>
      </c>
      <c r="S97" s="78">
        <f>IF($A97="","",O97+Q97)</f>
        <v/>
      </c>
    </row>
    <row r="98">
      <c r="A98" s="67" t="n"/>
      <c r="B98" s="75" t="n"/>
      <c r="C98" s="76" t="n"/>
      <c r="D98" s="75" t="n"/>
      <c r="E98" s="76" t="n"/>
      <c r="F98" s="75" t="n"/>
      <c r="G98" s="76" t="n"/>
      <c r="H98" s="75" t="n"/>
      <c r="I98" s="76" t="n"/>
      <c r="J98" s="77">
        <f>IF($A98="","",B98+D98+F98)</f>
        <v/>
      </c>
      <c r="K98" s="78">
        <f>IF($A98="","",C98+E98+G98)</f>
        <v/>
      </c>
      <c r="L98" s="79">
        <f>IF($A98="","",J98+H98)</f>
        <v/>
      </c>
      <c r="M98" s="80">
        <f>IF($A98="","",K98+I98)</f>
        <v/>
      </c>
      <c r="N98" s="77">
        <f>IF($A98="","",SUMIFS($J$5:$J$800,$A$5:$A$800,"&gt;="&amp;DATE(YEAR($A98),MONTH($A98),1),$A$5:$A$800,"&lt;="&amp;$A98)+IF(AND(YEAR($A98)=YEAR(Settings!$B$3),MONTH($A98)=MONTH(Settings!$B$3)),Settings!$B$10,0))</f>
        <v/>
      </c>
      <c r="O98" s="78">
        <f>IF($A98="","",SUMIFS($K$5:$K$800,$A$5:$A$800,"&gt;="&amp;DATE(YEAR($A98),MONTH($A98),1),$A$5:$A$800,"&lt;="&amp;$A98)+IF(AND(YEAR($A98)=YEAR(Settings!$B$3),MONTH($A98)=MONTH(Settings!$B$3)),Settings!$B$11,0))</f>
        <v/>
      </c>
      <c r="P98" s="77">
        <f>IF($A98="","",SUMIFS($H$5:$H$800,$A$5:$A$800,"&gt;="&amp;DATE(YEAR($A98),MONTH($A98),1),$A$5:$A$800,"&lt;="&amp;$A98)+IF(AND(YEAR($A98)=YEAR(Settings!$B$3),MONTH($A98)=MONTH(Settings!$B$3)),Settings!$B$12,0))</f>
        <v/>
      </c>
      <c r="Q98" s="78">
        <f>IF($A98="","",SUMIFS($I$5:$I$800,$A$5:$A$800,"&gt;="&amp;DATE(YEAR($A98),MONTH($A98),1),$A$5:$A$800,"&lt;="&amp;$A98)+IF(AND(YEAR($A98)=YEAR(Settings!$B$3),MONTH($A98)=MONTH(Settings!$B$3)),Settings!$B$13,0))</f>
        <v/>
      </c>
      <c r="R98" s="77">
        <f>IF($A98="","",N98+P98)</f>
        <v/>
      </c>
      <c r="S98" s="78">
        <f>IF($A98="","",O98+Q98)</f>
        <v/>
      </c>
    </row>
    <row r="99">
      <c r="A99" s="67" t="n"/>
      <c r="B99" s="75" t="n"/>
      <c r="C99" s="76" t="n"/>
      <c r="D99" s="75" t="n"/>
      <c r="E99" s="76" t="n"/>
      <c r="F99" s="75" t="n"/>
      <c r="G99" s="76" t="n"/>
      <c r="H99" s="75" t="n"/>
      <c r="I99" s="76" t="n"/>
      <c r="J99" s="77">
        <f>IF($A99="","",B99+D99+F99)</f>
        <v/>
      </c>
      <c r="K99" s="78">
        <f>IF($A99="","",C99+E99+G99)</f>
        <v/>
      </c>
      <c r="L99" s="79">
        <f>IF($A99="","",J99+H99)</f>
        <v/>
      </c>
      <c r="M99" s="80">
        <f>IF($A99="","",K99+I99)</f>
        <v/>
      </c>
      <c r="N99" s="77">
        <f>IF($A99="","",SUMIFS($J$5:$J$800,$A$5:$A$800,"&gt;="&amp;DATE(YEAR($A99),MONTH($A99),1),$A$5:$A$800,"&lt;="&amp;$A99)+IF(AND(YEAR($A99)=YEAR(Settings!$B$3),MONTH($A99)=MONTH(Settings!$B$3)),Settings!$B$10,0))</f>
        <v/>
      </c>
      <c r="O99" s="78">
        <f>IF($A99="","",SUMIFS($K$5:$K$800,$A$5:$A$800,"&gt;="&amp;DATE(YEAR($A99),MONTH($A99),1),$A$5:$A$800,"&lt;="&amp;$A99)+IF(AND(YEAR($A99)=YEAR(Settings!$B$3),MONTH($A99)=MONTH(Settings!$B$3)),Settings!$B$11,0))</f>
        <v/>
      </c>
      <c r="P99" s="77">
        <f>IF($A99="","",SUMIFS($H$5:$H$800,$A$5:$A$800,"&gt;="&amp;DATE(YEAR($A99),MONTH($A99),1),$A$5:$A$800,"&lt;="&amp;$A99)+IF(AND(YEAR($A99)=YEAR(Settings!$B$3),MONTH($A99)=MONTH(Settings!$B$3)),Settings!$B$12,0))</f>
        <v/>
      </c>
      <c r="Q99" s="78">
        <f>IF($A99="","",SUMIFS($I$5:$I$800,$A$5:$A$800,"&gt;="&amp;DATE(YEAR($A99),MONTH($A99),1),$A$5:$A$800,"&lt;="&amp;$A99)+IF(AND(YEAR($A99)=YEAR(Settings!$B$3),MONTH($A99)=MONTH(Settings!$B$3)),Settings!$B$13,0))</f>
        <v/>
      </c>
      <c r="R99" s="77">
        <f>IF($A99="","",N99+P99)</f>
        <v/>
      </c>
      <c r="S99" s="78">
        <f>IF($A99="","",O99+Q99)</f>
        <v/>
      </c>
    </row>
    <row r="100">
      <c r="A100" s="67" t="n"/>
      <c r="B100" s="75" t="n"/>
      <c r="C100" s="76" t="n"/>
      <c r="D100" s="75" t="n"/>
      <c r="E100" s="76" t="n"/>
      <c r="F100" s="75" t="n"/>
      <c r="G100" s="76" t="n"/>
      <c r="H100" s="75" t="n"/>
      <c r="I100" s="76" t="n"/>
      <c r="J100" s="77">
        <f>IF($A100="","",B100+D100+F100)</f>
        <v/>
      </c>
      <c r="K100" s="78">
        <f>IF($A100="","",C100+E100+G100)</f>
        <v/>
      </c>
      <c r="L100" s="79">
        <f>IF($A100="","",J100+H100)</f>
        <v/>
      </c>
      <c r="M100" s="80">
        <f>IF($A100="","",K100+I100)</f>
        <v/>
      </c>
      <c r="N100" s="77">
        <f>IF($A100="","",SUMIFS($J$5:$J$800,$A$5:$A$800,"&gt;="&amp;DATE(YEAR($A100),MONTH($A100),1),$A$5:$A$800,"&lt;="&amp;$A100)+IF(AND(YEAR($A100)=YEAR(Settings!$B$3),MONTH($A100)=MONTH(Settings!$B$3)),Settings!$B$10,0))</f>
        <v/>
      </c>
      <c r="O100" s="78">
        <f>IF($A100="","",SUMIFS($K$5:$K$800,$A$5:$A$800,"&gt;="&amp;DATE(YEAR($A100),MONTH($A100),1),$A$5:$A$800,"&lt;="&amp;$A100)+IF(AND(YEAR($A100)=YEAR(Settings!$B$3),MONTH($A100)=MONTH(Settings!$B$3)),Settings!$B$11,0))</f>
        <v/>
      </c>
      <c r="P100" s="77">
        <f>IF($A100="","",SUMIFS($H$5:$H$800,$A$5:$A$800,"&gt;="&amp;DATE(YEAR($A100),MONTH($A100),1),$A$5:$A$800,"&lt;="&amp;$A100)+IF(AND(YEAR($A100)=YEAR(Settings!$B$3),MONTH($A100)=MONTH(Settings!$B$3)),Settings!$B$12,0))</f>
        <v/>
      </c>
      <c r="Q100" s="78">
        <f>IF($A100="","",SUMIFS($I$5:$I$800,$A$5:$A$800,"&gt;="&amp;DATE(YEAR($A100),MONTH($A100),1),$A$5:$A$800,"&lt;="&amp;$A100)+IF(AND(YEAR($A100)=YEAR(Settings!$B$3),MONTH($A100)=MONTH(Settings!$B$3)),Settings!$B$13,0))</f>
        <v/>
      </c>
      <c r="R100" s="77">
        <f>IF($A100="","",N100+P100)</f>
        <v/>
      </c>
      <c r="S100" s="78">
        <f>IF($A100="","",O100+Q100)</f>
        <v/>
      </c>
    </row>
    <row r="101">
      <c r="A101" s="67" t="n"/>
      <c r="B101" s="75" t="n"/>
      <c r="C101" s="76" t="n"/>
      <c r="D101" s="75" t="n"/>
      <c r="E101" s="76" t="n"/>
      <c r="F101" s="75" t="n"/>
      <c r="G101" s="76" t="n"/>
      <c r="H101" s="75" t="n"/>
      <c r="I101" s="76" t="n"/>
      <c r="J101" s="77">
        <f>IF($A101="","",B101+D101+F101)</f>
        <v/>
      </c>
      <c r="K101" s="78">
        <f>IF($A101="","",C101+E101+G101)</f>
        <v/>
      </c>
      <c r="L101" s="79">
        <f>IF($A101="","",J101+H101)</f>
        <v/>
      </c>
      <c r="M101" s="80">
        <f>IF($A101="","",K101+I101)</f>
        <v/>
      </c>
      <c r="N101" s="77">
        <f>IF($A101="","",SUMIFS($J$5:$J$800,$A$5:$A$800,"&gt;="&amp;DATE(YEAR($A101),MONTH($A101),1),$A$5:$A$800,"&lt;="&amp;$A101)+IF(AND(YEAR($A101)=YEAR(Settings!$B$3),MONTH($A101)=MONTH(Settings!$B$3)),Settings!$B$10,0))</f>
        <v/>
      </c>
      <c r="O101" s="78">
        <f>IF($A101="","",SUMIFS($K$5:$K$800,$A$5:$A$800,"&gt;="&amp;DATE(YEAR($A101),MONTH($A101),1),$A$5:$A$800,"&lt;="&amp;$A101)+IF(AND(YEAR($A101)=YEAR(Settings!$B$3),MONTH($A101)=MONTH(Settings!$B$3)),Settings!$B$11,0))</f>
        <v/>
      </c>
      <c r="P101" s="77">
        <f>IF($A101="","",SUMIFS($H$5:$H$800,$A$5:$A$800,"&gt;="&amp;DATE(YEAR($A101),MONTH($A101),1),$A$5:$A$800,"&lt;="&amp;$A101)+IF(AND(YEAR($A101)=YEAR(Settings!$B$3),MONTH($A101)=MONTH(Settings!$B$3)),Settings!$B$12,0))</f>
        <v/>
      </c>
      <c r="Q101" s="78">
        <f>IF($A101="","",SUMIFS($I$5:$I$800,$A$5:$A$800,"&gt;="&amp;DATE(YEAR($A101),MONTH($A101),1),$A$5:$A$800,"&lt;="&amp;$A101)+IF(AND(YEAR($A101)=YEAR(Settings!$B$3),MONTH($A101)=MONTH(Settings!$B$3)),Settings!$B$13,0))</f>
        <v/>
      </c>
      <c r="R101" s="77">
        <f>IF($A101="","",N101+P101)</f>
        <v/>
      </c>
      <c r="S101" s="78">
        <f>IF($A101="","",O101+Q101)</f>
        <v/>
      </c>
    </row>
    <row r="102">
      <c r="A102" s="67" t="n"/>
      <c r="B102" s="75" t="n"/>
      <c r="C102" s="76" t="n"/>
      <c r="D102" s="75" t="n"/>
      <c r="E102" s="76" t="n"/>
      <c r="F102" s="75" t="n"/>
      <c r="G102" s="76" t="n"/>
      <c r="H102" s="75" t="n"/>
      <c r="I102" s="76" t="n"/>
      <c r="J102" s="77">
        <f>IF($A102="","",B102+D102+F102)</f>
        <v/>
      </c>
      <c r="K102" s="78">
        <f>IF($A102="","",C102+E102+G102)</f>
        <v/>
      </c>
      <c r="L102" s="79">
        <f>IF($A102="","",J102+H102)</f>
        <v/>
      </c>
      <c r="M102" s="80">
        <f>IF($A102="","",K102+I102)</f>
        <v/>
      </c>
      <c r="N102" s="77">
        <f>IF($A102="","",SUMIFS($J$5:$J$800,$A$5:$A$800,"&gt;="&amp;DATE(YEAR($A102),MONTH($A102),1),$A$5:$A$800,"&lt;="&amp;$A102)+IF(AND(YEAR($A102)=YEAR(Settings!$B$3),MONTH($A102)=MONTH(Settings!$B$3)),Settings!$B$10,0))</f>
        <v/>
      </c>
      <c r="O102" s="78">
        <f>IF($A102="","",SUMIFS($K$5:$K$800,$A$5:$A$800,"&gt;="&amp;DATE(YEAR($A102),MONTH($A102),1),$A$5:$A$800,"&lt;="&amp;$A102)+IF(AND(YEAR($A102)=YEAR(Settings!$B$3),MONTH($A102)=MONTH(Settings!$B$3)),Settings!$B$11,0))</f>
        <v/>
      </c>
      <c r="P102" s="77">
        <f>IF($A102="","",SUMIFS($H$5:$H$800,$A$5:$A$800,"&gt;="&amp;DATE(YEAR($A102),MONTH($A102),1),$A$5:$A$800,"&lt;="&amp;$A102)+IF(AND(YEAR($A102)=YEAR(Settings!$B$3),MONTH($A102)=MONTH(Settings!$B$3)),Settings!$B$12,0))</f>
        <v/>
      </c>
      <c r="Q102" s="78">
        <f>IF($A102="","",SUMIFS($I$5:$I$800,$A$5:$A$800,"&gt;="&amp;DATE(YEAR($A102),MONTH($A102),1),$A$5:$A$800,"&lt;="&amp;$A102)+IF(AND(YEAR($A102)=YEAR(Settings!$B$3),MONTH($A102)=MONTH(Settings!$B$3)),Settings!$B$13,0))</f>
        <v/>
      </c>
      <c r="R102" s="77">
        <f>IF($A102="","",N102+P102)</f>
        <v/>
      </c>
      <c r="S102" s="78">
        <f>IF($A102="","",O102+Q102)</f>
        <v/>
      </c>
    </row>
    <row r="103">
      <c r="A103" s="67" t="n"/>
      <c r="B103" s="75" t="n"/>
      <c r="C103" s="76" t="n"/>
      <c r="D103" s="75" t="n"/>
      <c r="E103" s="76" t="n"/>
      <c r="F103" s="75" t="n"/>
      <c r="G103" s="76" t="n"/>
      <c r="H103" s="75" t="n"/>
      <c r="I103" s="76" t="n"/>
      <c r="J103" s="77">
        <f>IF($A103="","",B103+D103+F103)</f>
        <v/>
      </c>
      <c r="K103" s="78">
        <f>IF($A103="","",C103+E103+G103)</f>
        <v/>
      </c>
      <c r="L103" s="79">
        <f>IF($A103="","",J103+H103)</f>
        <v/>
      </c>
      <c r="M103" s="80">
        <f>IF($A103="","",K103+I103)</f>
        <v/>
      </c>
      <c r="N103" s="77">
        <f>IF($A103="","",SUMIFS($J$5:$J$800,$A$5:$A$800,"&gt;="&amp;DATE(YEAR($A103),MONTH($A103),1),$A$5:$A$800,"&lt;="&amp;$A103)+IF(AND(YEAR($A103)=YEAR(Settings!$B$3),MONTH($A103)=MONTH(Settings!$B$3)),Settings!$B$10,0))</f>
        <v/>
      </c>
      <c r="O103" s="78">
        <f>IF($A103="","",SUMIFS($K$5:$K$800,$A$5:$A$800,"&gt;="&amp;DATE(YEAR($A103),MONTH($A103),1),$A$5:$A$800,"&lt;="&amp;$A103)+IF(AND(YEAR($A103)=YEAR(Settings!$B$3),MONTH($A103)=MONTH(Settings!$B$3)),Settings!$B$11,0))</f>
        <v/>
      </c>
      <c r="P103" s="77">
        <f>IF($A103="","",SUMIFS($H$5:$H$800,$A$5:$A$800,"&gt;="&amp;DATE(YEAR($A103),MONTH($A103),1),$A$5:$A$800,"&lt;="&amp;$A103)+IF(AND(YEAR($A103)=YEAR(Settings!$B$3),MONTH($A103)=MONTH(Settings!$B$3)),Settings!$B$12,0))</f>
        <v/>
      </c>
      <c r="Q103" s="78">
        <f>IF($A103="","",SUMIFS($I$5:$I$800,$A$5:$A$800,"&gt;="&amp;DATE(YEAR($A103),MONTH($A103),1),$A$5:$A$800,"&lt;="&amp;$A103)+IF(AND(YEAR($A103)=YEAR(Settings!$B$3),MONTH($A103)=MONTH(Settings!$B$3)),Settings!$B$13,0))</f>
        <v/>
      </c>
      <c r="R103" s="77">
        <f>IF($A103="","",N103+P103)</f>
        <v/>
      </c>
      <c r="S103" s="78">
        <f>IF($A103="","",O103+Q103)</f>
        <v/>
      </c>
    </row>
    <row r="104">
      <c r="A104" s="67" t="n"/>
      <c r="B104" s="75" t="n"/>
      <c r="C104" s="76" t="n"/>
      <c r="D104" s="75" t="n"/>
      <c r="E104" s="76" t="n"/>
      <c r="F104" s="75" t="n"/>
      <c r="G104" s="76" t="n"/>
      <c r="H104" s="75" t="n"/>
      <c r="I104" s="76" t="n"/>
      <c r="J104" s="77">
        <f>IF($A104="","",B104+D104+F104)</f>
        <v/>
      </c>
      <c r="K104" s="78">
        <f>IF($A104="","",C104+E104+G104)</f>
        <v/>
      </c>
      <c r="L104" s="79">
        <f>IF($A104="","",J104+H104)</f>
        <v/>
      </c>
      <c r="M104" s="80">
        <f>IF($A104="","",K104+I104)</f>
        <v/>
      </c>
      <c r="N104" s="77">
        <f>IF($A104="","",SUMIFS($J$5:$J$800,$A$5:$A$800,"&gt;="&amp;DATE(YEAR($A104),MONTH($A104),1),$A$5:$A$800,"&lt;="&amp;$A104)+IF(AND(YEAR($A104)=YEAR(Settings!$B$3),MONTH($A104)=MONTH(Settings!$B$3)),Settings!$B$10,0))</f>
        <v/>
      </c>
      <c r="O104" s="78">
        <f>IF($A104="","",SUMIFS($K$5:$K$800,$A$5:$A$800,"&gt;="&amp;DATE(YEAR($A104),MONTH($A104),1),$A$5:$A$800,"&lt;="&amp;$A104)+IF(AND(YEAR($A104)=YEAR(Settings!$B$3),MONTH($A104)=MONTH(Settings!$B$3)),Settings!$B$11,0))</f>
        <v/>
      </c>
      <c r="P104" s="77">
        <f>IF($A104="","",SUMIFS($H$5:$H$800,$A$5:$A$800,"&gt;="&amp;DATE(YEAR($A104),MONTH($A104),1),$A$5:$A$800,"&lt;="&amp;$A104)+IF(AND(YEAR($A104)=YEAR(Settings!$B$3),MONTH($A104)=MONTH(Settings!$B$3)),Settings!$B$12,0))</f>
        <v/>
      </c>
      <c r="Q104" s="78">
        <f>IF($A104="","",SUMIFS($I$5:$I$800,$A$5:$A$800,"&gt;="&amp;DATE(YEAR($A104),MONTH($A104),1),$A$5:$A$800,"&lt;="&amp;$A104)+IF(AND(YEAR($A104)=YEAR(Settings!$B$3),MONTH($A104)=MONTH(Settings!$B$3)),Settings!$B$13,0))</f>
        <v/>
      </c>
      <c r="R104" s="77">
        <f>IF($A104="","",N104+P104)</f>
        <v/>
      </c>
      <c r="S104" s="78">
        <f>IF($A104="","",O104+Q104)</f>
        <v/>
      </c>
    </row>
    <row r="105">
      <c r="A105" s="67" t="n"/>
      <c r="B105" s="75" t="n"/>
      <c r="C105" s="76" t="n"/>
      <c r="D105" s="75" t="n"/>
      <c r="E105" s="76" t="n"/>
      <c r="F105" s="75" t="n"/>
      <c r="G105" s="76" t="n"/>
      <c r="H105" s="75" t="n"/>
      <c r="I105" s="76" t="n"/>
      <c r="J105" s="77">
        <f>IF($A105="","",B105+D105+F105)</f>
        <v/>
      </c>
      <c r="K105" s="78">
        <f>IF($A105="","",C105+E105+G105)</f>
        <v/>
      </c>
      <c r="L105" s="79">
        <f>IF($A105="","",J105+H105)</f>
        <v/>
      </c>
      <c r="M105" s="80">
        <f>IF($A105="","",K105+I105)</f>
        <v/>
      </c>
      <c r="N105" s="77">
        <f>IF($A105="","",SUMIFS($J$5:$J$800,$A$5:$A$800,"&gt;="&amp;DATE(YEAR($A105),MONTH($A105),1),$A$5:$A$800,"&lt;="&amp;$A105)+IF(AND(YEAR($A105)=YEAR(Settings!$B$3),MONTH($A105)=MONTH(Settings!$B$3)),Settings!$B$10,0))</f>
        <v/>
      </c>
      <c r="O105" s="78">
        <f>IF($A105="","",SUMIFS($K$5:$K$800,$A$5:$A$800,"&gt;="&amp;DATE(YEAR($A105),MONTH($A105),1),$A$5:$A$800,"&lt;="&amp;$A105)+IF(AND(YEAR($A105)=YEAR(Settings!$B$3),MONTH($A105)=MONTH(Settings!$B$3)),Settings!$B$11,0))</f>
        <v/>
      </c>
      <c r="P105" s="77">
        <f>IF($A105="","",SUMIFS($H$5:$H$800,$A$5:$A$800,"&gt;="&amp;DATE(YEAR($A105),MONTH($A105),1),$A$5:$A$800,"&lt;="&amp;$A105)+IF(AND(YEAR($A105)=YEAR(Settings!$B$3),MONTH($A105)=MONTH(Settings!$B$3)),Settings!$B$12,0))</f>
        <v/>
      </c>
      <c r="Q105" s="78">
        <f>IF($A105="","",SUMIFS($I$5:$I$800,$A$5:$A$800,"&gt;="&amp;DATE(YEAR($A105),MONTH($A105),1),$A$5:$A$800,"&lt;="&amp;$A105)+IF(AND(YEAR($A105)=YEAR(Settings!$B$3),MONTH($A105)=MONTH(Settings!$B$3)),Settings!$B$13,0))</f>
        <v/>
      </c>
      <c r="R105" s="77">
        <f>IF($A105="","",N105+P105)</f>
        <v/>
      </c>
      <c r="S105" s="78">
        <f>IF($A105="","",O105+Q105)</f>
        <v/>
      </c>
    </row>
    <row r="106">
      <c r="A106" s="67" t="n"/>
      <c r="B106" s="75" t="n"/>
      <c r="C106" s="76" t="n"/>
      <c r="D106" s="75" t="n"/>
      <c r="E106" s="76" t="n"/>
      <c r="F106" s="75" t="n"/>
      <c r="G106" s="76" t="n"/>
      <c r="H106" s="75" t="n"/>
      <c r="I106" s="76" t="n"/>
      <c r="J106" s="77">
        <f>IF($A106="","",B106+D106+F106)</f>
        <v/>
      </c>
      <c r="K106" s="78">
        <f>IF($A106="","",C106+E106+G106)</f>
        <v/>
      </c>
      <c r="L106" s="79">
        <f>IF($A106="","",J106+H106)</f>
        <v/>
      </c>
      <c r="M106" s="80">
        <f>IF($A106="","",K106+I106)</f>
        <v/>
      </c>
      <c r="N106" s="77">
        <f>IF($A106="","",SUMIFS($J$5:$J$800,$A$5:$A$800,"&gt;="&amp;DATE(YEAR($A106),MONTH($A106),1),$A$5:$A$800,"&lt;="&amp;$A106)+IF(AND(YEAR($A106)=YEAR(Settings!$B$3),MONTH($A106)=MONTH(Settings!$B$3)),Settings!$B$10,0))</f>
        <v/>
      </c>
      <c r="O106" s="78">
        <f>IF($A106="","",SUMIFS($K$5:$K$800,$A$5:$A$800,"&gt;="&amp;DATE(YEAR($A106),MONTH($A106),1),$A$5:$A$800,"&lt;="&amp;$A106)+IF(AND(YEAR($A106)=YEAR(Settings!$B$3),MONTH($A106)=MONTH(Settings!$B$3)),Settings!$B$11,0))</f>
        <v/>
      </c>
      <c r="P106" s="77">
        <f>IF($A106="","",SUMIFS($H$5:$H$800,$A$5:$A$800,"&gt;="&amp;DATE(YEAR($A106),MONTH($A106),1),$A$5:$A$800,"&lt;="&amp;$A106)+IF(AND(YEAR($A106)=YEAR(Settings!$B$3),MONTH($A106)=MONTH(Settings!$B$3)),Settings!$B$12,0))</f>
        <v/>
      </c>
      <c r="Q106" s="78">
        <f>IF($A106="","",SUMIFS($I$5:$I$800,$A$5:$A$800,"&gt;="&amp;DATE(YEAR($A106),MONTH($A106),1),$A$5:$A$800,"&lt;="&amp;$A106)+IF(AND(YEAR($A106)=YEAR(Settings!$B$3),MONTH($A106)=MONTH(Settings!$B$3)),Settings!$B$13,0))</f>
        <v/>
      </c>
      <c r="R106" s="77">
        <f>IF($A106="","",N106+P106)</f>
        <v/>
      </c>
      <c r="S106" s="78">
        <f>IF($A106="","",O106+Q106)</f>
        <v/>
      </c>
    </row>
    <row r="107">
      <c r="A107" s="67" t="n"/>
      <c r="B107" s="75" t="n"/>
      <c r="C107" s="76" t="n"/>
      <c r="D107" s="75" t="n"/>
      <c r="E107" s="76" t="n"/>
      <c r="F107" s="75" t="n"/>
      <c r="G107" s="76" t="n"/>
      <c r="H107" s="75" t="n"/>
      <c r="I107" s="76" t="n"/>
      <c r="J107" s="77">
        <f>IF($A107="","",B107+D107+F107)</f>
        <v/>
      </c>
      <c r="K107" s="78">
        <f>IF($A107="","",C107+E107+G107)</f>
        <v/>
      </c>
      <c r="L107" s="79">
        <f>IF($A107="","",J107+H107)</f>
        <v/>
      </c>
      <c r="M107" s="80">
        <f>IF($A107="","",K107+I107)</f>
        <v/>
      </c>
      <c r="N107" s="77">
        <f>IF($A107="","",SUMIFS($J$5:$J$800,$A$5:$A$800,"&gt;="&amp;DATE(YEAR($A107),MONTH($A107),1),$A$5:$A$800,"&lt;="&amp;$A107)+IF(AND(YEAR($A107)=YEAR(Settings!$B$3),MONTH($A107)=MONTH(Settings!$B$3)),Settings!$B$10,0))</f>
        <v/>
      </c>
      <c r="O107" s="78">
        <f>IF($A107="","",SUMIFS($K$5:$K$800,$A$5:$A$800,"&gt;="&amp;DATE(YEAR($A107),MONTH($A107),1),$A$5:$A$800,"&lt;="&amp;$A107)+IF(AND(YEAR($A107)=YEAR(Settings!$B$3),MONTH($A107)=MONTH(Settings!$B$3)),Settings!$B$11,0))</f>
        <v/>
      </c>
      <c r="P107" s="77">
        <f>IF($A107="","",SUMIFS($H$5:$H$800,$A$5:$A$800,"&gt;="&amp;DATE(YEAR($A107),MONTH($A107),1),$A$5:$A$800,"&lt;="&amp;$A107)+IF(AND(YEAR($A107)=YEAR(Settings!$B$3),MONTH($A107)=MONTH(Settings!$B$3)),Settings!$B$12,0))</f>
        <v/>
      </c>
      <c r="Q107" s="78">
        <f>IF($A107="","",SUMIFS($I$5:$I$800,$A$5:$A$800,"&gt;="&amp;DATE(YEAR($A107),MONTH($A107),1),$A$5:$A$800,"&lt;="&amp;$A107)+IF(AND(YEAR($A107)=YEAR(Settings!$B$3),MONTH($A107)=MONTH(Settings!$B$3)),Settings!$B$13,0))</f>
        <v/>
      </c>
      <c r="R107" s="77">
        <f>IF($A107="","",N107+P107)</f>
        <v/>
      </c>
      <c r="S107" s="78">
        <f>IF($A107="","",O107+Q107)</f>
        <v/>
      </c>
    </row>
    <row r="108">
      <c r="A108" s="67" t="n"/>
      <c r="B108" s="75" t="n"/>
      <c r="C108" s="76" t="n"/>
      <c r="D108" s="75" t="n"/>
      <c r="E108" s="76" t="n"/>
      <c r="F108" s="75" t="n"/>
      <c r="G108" s="76" t="n"/>
      <c r="H108" s="75" t="n"/>
      <c r="I108" s="76" t="n"/>
      <c r="J108" s="77">
        <f>IF($A108="","",B108+D108+F108)</f>
        <v/>
      </c>
      <c r="K108" s="78">
        <f>IF($A108="","",C108+E108+G108)</f>
        <v/>
      </c>
      <c r="L108" s="79">
        <f>IF($A108="","",J108+H108)</f>
        <v/>
      </c>
      <c r="M108" s="80">
        <f>IF($A108="","",K108+I108)</f>
        <v/>
      </c>
      <c r="N108" s="77">
        <f>IF($A108="","",SUMIFS($J$5:$J$800,$A$5:$A$800,"&gt;="&amp;DATE(YEAR($A108),MONTH($A108),1),$A$5:$A$800,"&lt;="&amp;$A108)+IF(AND(YEAR($A108)=YEAR(Settings!$B$3),MONTH($A108)=MONTH(Settings!$B$3)),Settings!$B$10,0))</f>
        <v/>
      </c>
      <c r="O108" s="78">
        <f>IF($A108="","",SUMIFS($K$5:$K$800,$A$5:$A$800,"&gt;="&amp;DATE(YEAR($A108),MONTH($A108),1),$A$5:$A$800,"&lt;="&amp;$A108)+IF(AND(YEAR($A108)=YEAR(Settings!$B$3),MONTH($A108)=MONTH(Settings!$B$3)),Settings!$B$11,0))</f>
        <v/>
      </c>
      <c r="P108" s="77">
        <f>IF($A108="","",SUMIFS($H$5:$H$800,$A$5:$A$800,"&gt;="&amp;DATE(YEAR($A108),MONTH($A108),1),$A$5:$A$800,"&lt;="&amp;$A108)+IF(AND(YEAR($A108)=YEAR(Settings!$B$3),MONTH($A108)=MONTH(Settings!$B$3)),Settings!$B$12,0))</f>
        <v/>
      </c>
      <c r="Q108" s="78">
        <f>IF($A108="","",SUMIFS($I$5:$I$800,$A$5:$A$800,"&gt;="&amp;DATE(YEAR($A108),MONTH($A108),1),$A$5:$A$800,"&lt;="&amp;$A108)+IF(AND(YEAR($A108)=YEAR(Settings!$B$3),MONTH($A108)=MONTH(Settings!$B$3)),Settings!$B$13,0))</f>
        <v/>
      </c>
      <c r="R108" s="77">
        <f>IF($A108="","",N108+P108)</f>
        <v/>
      </c>
      <c r="S108" s="78">
        <f>IF($A108="","",O108+Q108)</f>
        <v/>
      </c>
    </row>
    <row r="109">
      <c r="A109" s="67" t="n"/>
      <c r="B109" s="75" t="n"/>
      <c r="C109" s="76" t="n"/>
      <c r="D109" s="75" t="n"/>
      <c r="E109" s="76" t="n"/>
      <c r="F109" s="75" t="n"/>
      <c r="G109" s="76" t="n"/>
      <c r="H109" s="75" t="n"/>
      <c r="I109" s="76" t="n"/>
      <c r="J109" s="77">
        <f>IF($A109="","",B109+D109+F109)</f>
        <v/>
      </c>
      <c r="K109" s="78">
        <f>IF($A109="","",C109+E109+G109)</f>
        <v/>
      </c>
      <c r="L109" s="79">
        <f>IF($A109="","",J109+H109)</f>
        <v/>
      </c>
      <c r="M109" s="80">
        <f>IF($A109="","",K109+I109)</f>
        <v/>
      </c>
      <c r="N109" s="77">
        <f>IF($A109="","",SUMIFS($J$5:$J$800,$A$5:$A$800,"&gt;="&amp;DATE(YEAR($A109),MONTH($A109),1),$A$5:$A$800,"&lt;="&amp;$A109)+IF(AND(YEAR($A109)=YEAR(Settings!$B$3),MONTH($A109)=MONTH(Settings!$B$3)),Settings!$B$10,0))</f>
        <v/>
      </c>
      <c r="O109" s="78">
        <f>IF($A109="","",SUMIFS($K$5:$K$800,$A$5:$A$800,"&gt;="&amp;DATE(YEAR($A109),MONTH($A109),1),$A$5:$A$800,"&lt;="&amp;$A109)+IF(AND(YEAR($A109)=YEAR(Settings!$B$3),MONTH($A109)=MONTH(Settings!$B$3)),Settings!$B$11,0))</f>
        <v/>
      </c>
      <c r="P109" s="77">
        <f>IF($A109="","",SUMIFS($H$5:$H$800,$A$5:$A$800,"&gt;="&amp;DATE(YEAR($A109),MONTH($A109),1),$A$5:$A$800,"&lt;="&amp;$A109)+IF(AND(YEAR($A109)=YEAR(Settings!$B$3),MONTH($A109)=MONTH(Settings!$B$3)),Settings!$B$12,0))</f>
        <v/>
      </c>
      <c r="Q109" s="78">
        <f>IF($A109="","",SUMIFS($I$5:$I$800,$A$5:$A$800,"&gt;="&amp;DATE(YEAR($A109),MONTH($A109),1),$A$5:$A$800,"&lt;="&amp;$A109)+IF(AND(YEAR($A109)=YEAR(Settings!$B$3),MONTH($A109)=MONTH(Settings!$B$3)),Settings!$B$13,0))</f>
        <v/>
      </c>
      <c r="R109" s="77">
        <f>IF($A109="","",N109+P109)</f>
        <v/>
      </c>
      <c r="S109" s="78">
        <f>IF($A109="","",O109+Q109)</f>
        <v/>
      </c>
    </row>
    <row r="110">
      <c r="A110" s="67" t="n"/>
      <c r="B110" s="75" t="n"/>
      <c r="C110" s="76" t="n"/>
      <c r="D110" s="75" t="n"/>
      <c r="E110" s="76" t="n"/>
      <c r="F110" s="75" t="n"/>
      <c r="G110" s="76" t="n"/>
      <c r="H110" s="75" t="n"/>
      <c r="I110" s="76" t="n"/>
      <c r="J110" s="77">
        <f>IF($A110="","",B110+D110+F110)</f>
        <v/>
      </c>
      <c r="K110" s="78">
        <f>IF($A110="","",C110+E110+G110)</f>
        <v/>
      </c>
      <c r="L110" s="79">
        <f>IF($A110="","",J110+H110)</f>
        <v/>
      </c>
      <c r="M110" s="80">
        <f>IF($A110="","",K110+I110)</f>
        <v/>
      </c>
      <c r="N110" s="77">
        <f>IF($A110="","",SUMIFS($J$5:$J$800,$A$5:$A$800,"&gt;="&amp;DATE(YEAR($A110),MONTH($A110),1),$A$5:$A$800,"&lt;="&amp;$A110)+IF(AND(YEAR($A110)=YEAR(Settings!$B$3),MONTH($A110)=MONTH(Settings!$B$3)),Settings!$B$10,0))</f>
        <v/>
      </c>
      <c r="O110" s="78">
        <f>IF($A110="","",SUMIFS($K$5:$K$800,$A$5:$A$800,"&gt;="&amp;DATE(YEAR($A110),MONTH($A110),1),$A$5:$A$800,"&lt;="&amp;$A110)+IF(AND(YEAR($A110)=YEAR(Settings!$B$3),MONTH($A110)=MONTH(Settings!$B$3)),Settings!$B$11,0))</f>
        <v/>
      </c>
      <c r="P110" s="77">
        <f>IF($A110="","",SUMIFS($H$5:$H$800,$A$5:$A$800,"&gt;="&amp;DATE(YEAR($A110),MONTH($A110),1),$A$5:$A$800,"&lt;="&amp;$A110)+IF(AND(YEAR($A110)=YEAR(Settings!$B$3),MONTH($A110)=MONTH(Settings!$B$3)),Settings!$B$12,0))</f>
        <v/>
      </c>
      <c r="Q110" s="78">
        <f>IF($A110="","",SUMIFS($I$5:$I$800,$A$5:$A$800,"&gt;="&amp;DATE(YEAR($A110),MONTH($A110),1),$A$5:$A$800,"&lt;="&amp;$A110)+IF(AND(YEAR($A110)=YEAR(Settings!$B$3),MONTH($A110)=MONTH(Settings!$B$3)),Settings!$B$13,0))</f>
        <v/>
      </c>
      <c r="R110" s="77">
        <f>IF($A110="","",N110+P110)</f>
        <v/>
      </c>
      <c r="S110" s="78">
        <f>IF($A110="","",O110+Q110)</f>
        <v/>
      </c>
    </row>
    <row r="111">
      <c r="A111" s="67" t="n"/>
      <c r="B111" s="75" t="n"/>
      <c r="C111" s="76" t="n"/>
      <c r="D111" s="75" t="n"/>
      <c r="E111" s="76" t="n"/>
      <c r="F111" s="75" t="n"/>
      <c r="G111" s="76" t="n"/>
      <c r="H111" s="75" t="n"/>
      <c r="I111" s="76" t="n"/>
      <c r="J111" s="77">
        <f>IF($A111="","",B111+D111+F111)</f>
        <v/>
      </c>
      <c r="K111" s="78">
        <f>IF($A111="","",C111+E111+G111)</f>
        <v/>
      </c>
      <c r="L111" s="79">
        <f>IF($A111="","",J111+H111)</f>
        <v/>
      </c>
      <c r="M111" s="80">
        <f>IF($A111="","",K111+I111)</f>
        <v/>
      </c>
      <c r="N111" s="77">
        <f>IF($A111="","",SUMIFS($J$5:$J$800,$A$5:$A$800,"&gt;="&amp;DATE(YEAR($A111),MONTH($A111),1),$A$5:$A$800,"&lt;="&amp;$A111)+IF(AND(YEAR($A111)=YEAR(Settings!$B$3),MONTH($A111)=MONTH(Settings!$B$3)),Settings!$B$10,0))</f>
        <v/>
      </c>
      <c r="O111" s="78">
        <f>IF($A111="","",SUMIFS($K$5:$K$800,$A$5:$A$800,"&gt;="&amp;DATE(YEAR($A111),MONTH($A111),1),$A$5:$A$800,"&lt;="&amp;$A111)+IF(AND(YEAR($A111)=YEAR(Settings!$B$3),MONTH($A111)=MONTH(Settings!$B$3)),Settings!$B$11,0))</f>
        <v/>
      </c>
      <c r="P111" s="77">
        <f>IF($A111="","",SUMIFS($H$5:$H$800,$A$5:$A$800,"&gt;="&amp;DATE(YEAR($A111),MONTH($A111),1),$A$5:$A$800,"&lt;="&amp;$A111)+IF(AND(YEAR($A111)=YEAR(Settings!$B$3),MONTH($A111)=MONTH(Settings!$B$3)),Settings!$B$12,0))</f>
        <v/>
      </c>
      <c r="Q111" s="78">
        <f>IF($A111="","",SUMIFS($I$5:$I$800,$A$5:$A$800,"&gt;="&amp;DATE(YEAR($A111),MONTH($A111),1),$A$5:$A$800,"&lt;="&amp;$A111)+IF(AND(YEAR($A111)=YEAR(Settings!$B$3),MONTH($A111)=MONTH(Settings!$B$3)),Settings!$B$13,0))</f>
        <v/>
      </c>
      <c r="R111" s="77">
        <f>IF($A111="","",N111+P111)</f>
        <v/>
      </c>
      <c r="S111" s="78">
        <f>IF($A111="","",O111+Q111)</f>
        <v/>
      </c>
    </row>
    <row r="112">
      <c r="A112" s="67" t="n"/>
      <c r="B112" s="75" t="n"/>
      <c r="C112" s="76" t="n"/>
      <c r="D112" s="75" t="n"/>
      <c r="E112" s="76" t="n"/>
      <c r="F112" s="75" t="n"/>
      <c r="G112" s="76" t="n"/>
      <c r="H112" s="75" t="n"/>
      <c r="I112" s="76" t="n"/>
      <c r="J112" s="77">
        <f>IF($A112="","",B112+D112+F112)</f>
        <v/>
      </c>
      <c r="K112" s="78">
        <f>IF($A112="","",C112+E112+G112)</f>
        <v/>
      </c>
      <c r="L112" s="79">
        <f>IF($A112="","",J112+H112)</f>
        <v/>
      </c>
      <c r="M112" s="80">
        <f>IF($A112="","",K112+I112)</f>
        <v/>
      </c>
      <c r="N112" s="77">
        <f>IF($A112="","",SUMIFS($J$5:$J$800,$A$5:$A$800,"&gt;="&amp;DATE(YEAR($A112),MONTH($A112),1),$A$5:$A$800,"&lt;="&amp;$A112)+IF(AND(YEAR($A112)=YEAR(Settings!$B$3),MONTH($A112)=MONTH(Settings!$B$3)),Settings!$B$10,0))</f>
        <v/>
      </c>
      <c r="O112" s="78">
        <f>IF($A112="","",SUMIFS($K$5:$K$800,$A$5:$A$800,"&gt;="&amp;DATE(YEAR($A112),MONTH($A112),1),$A$5:$A$800,"&lt;="&amp;$A112)+IF(AND(YEAR($A112)=YEAR(Settings!$B$3),MONTH($A112)=MONTH(Settings!$B$3)),Settings!$B$11,0))</f>
        <v/>
      </c>
      <c r="P112" s="77">
        <f>IF($A112="","",SUMIFS($H$5:$H$800,$A$5:$A$800,"&gt;="&amp;DATE(YEAR($A112),MONTH($A112),1),$A$5:$A$800,"&lt;="&amp;$A112)+IF(AND(YEAR($A112)=YEAR(Settings!$B$3),MONTH($A112)=MONTH(Settings!$B$3)),Settings!$B$12,0))</f>
        <v/>
      </c>
      <c r="Q112" s="78">
        <f>IF($A112="","",SUMIFS($I$5:$I$800,$A$5:$A$800,"&gt;="&amp;DATE(YEAR($A112),MONTH($A112),1),$A$5:$A$800,"&lt;="&amp;$A112)+IF(AND(YEAR($A112)=YEAR(Settings!$B$3),MONTH($A112)=MONTH(Settings!$B$3)),Settings!$B$13,0))</f>
        <v/>
      </c>
      <c r="R112" s="77">
        <f>IF($A112="","",N112+P112)</f>
        <v/>
      </c>
      <c r="S112" s="78">
        <f>IF($A112="","",O112+Q112)</f>
        <v/>
      </c>
    </row>
    <row r="113">
      <c r="A113" s="67" t="n"/>
      <c r="B113" s="75" t="n"/>
      <c r="C113" s="76" t="n"/>
      <c r="D113" s="75" t="n"/>
      <c r="E113" s="76" t="n"/>
      <c r="F113" s="75" t="n"/>
      <c r="G113" s="76" t="n"/>
      <c r="H113" s="75" t="n"/>
      <c r="I113" s="76" t="n"/>
      <c r="J113" s="77">
        <f>IF($A113="","",B113+D113+F113)</f>
        <v/>
      </c>
      <c r="K113" s="78">
        <f>IF($A113="","",C113+E113+G113)</f>
        <v/>
      </c>
      <c r="L113" s="79">
        <f>IF($A113="","",J113+H113)</f>
        <v/>
      </c>
      <c r="M113" s="80">
        <f>IF($A113="","",K113+I113)</f>
        <v/>
      </c>
      <c r="N113" s="77">
        <f>IF($A113="","",SUMIFS($J$5:$J$800,$A$5:$A$800,"&gt;="&amp;DATE(YEAR($A113),MONTH($A113),1),$A$5:$A$800,"&lt;="&amp;$A113)+IF(AND(YEAR($A113)=YEAR(Settings!$B$3),MONTH($A113)=MONTH(Settings!$B$3)),Settings!$B$10,0))</f>
        <v/>
      </c>
      <c r="O113" s="78">
        <f>IF($A113="","",SUMIFS($K$5:$K$800,$A$5:$A$800,"&gt;="&amp;DATE(YEAR($A113),MONTH($A113),1),$A$5:$A$800,"&lt;="&amp;$A113)+IF(AND(YEAR($A113)=YEAR(Settings!$B$3),MONTH($A113)=MONTH(Settings!$B$3)),Settings!$B$11,0))</f>
        <v/>
      </c>
      <c r="P113" s="77">
        <f>IF($A113="","",SUMIFS($H$5:$H$800,$A$5:$A$800,"&gt;="&amp;DATE(YEAR($A113),MONTH($A113),1),$A$5:$A$800,"&lt;="&amp;$A113)+IF(AND(YEAR($A113)=YEAR(Settings!$B$3),MONTH($A113)=MONTH(Settings!$B$3)),Settings!$B$12,0))</f>
        <v/>
      </c>
      <c r="Q113" s="78">
        <f>IF($A113="","",SUMIFS($I$5:$I$800,$A$5:$A$800,"&gt;="&amp;DATE(YEAR($A113),MONTH($A113),1),$A$5:$A$800,"&lt;="&amp;$A113)+IF(AND(YEAR($A113)=YEAR(Settings!$B$3),MONTH($A113)=MONTH(Settings!$B$3)),Settings!$B$13,0))</f>
        <v/>
      </c>
      <c r="R113" s="77">
        <f>IF($A113="","",N113+P113)</f>
        <v/>
      </c>
      <c r="S113" s="78">
        <f>IF($A113="","",O113+Q113)</f>
        <v/>
      </c>
    </row>
    <row r="114">
      <c r="A114" s="67" t="n"/>
      <c r="B114" s="75" t="n"/>
      <c r="C114" s="76" t="n"/>
      <c r="D114" s="75" t="n"/>
      <c r="E114" s="76" t="n"/>
      <c r="F114" s="75" t="n"/>
      <c r="G114" s="76" t="n"/>
      <c r="H114" s="75" t="n"/>
      <c r="I114" s="76" t="n"/>
      <c r="J114" s="77">
        <f>IF($A114="","",B114+D114+F114)</f>
        <v/>
      </c>
      <c r="K114" s="78">
        <f>IF($A114="","",C114+E114+G114)</f>
        <v/>
      </c>
      <c r="L114" s="79">
        <f>IF($A114="","",J114+H114)</f>
        <v/>
      </c>
      <c r="M114" s="80">
        <f>IF($A114="","",K114+I114)</f>
        <v/>
      </c>
      <c r="N114" s="77">
        <f>IF($A114="","",SUMIFS($J$5:$J$800,$A$5:$A$800,"&gt;="&amp;DATE(YEAR($A114),MONTH($A114),1),$A$5:$A$800,"&lt;="&amp;$A114)+IF(AND(YEAR($A114)=YEAR(Settings!$B$3),MONTH($A114)=MONTH(Settings!$B$3)),Settings!$B$10,0))</f>
        <v/>
      </c>
      <c r="O114" s="78">
        <f>IF($A114="","",SUMIFS($K$5:$K$800,$A$5:$A$800,"&gt;="&amp;DATE(YEAR($A114),MONTH($A114),1),$A$5:$A$800,"&lt;="&amp;$A114)+IF(AND(YEAR($A114)=YEAR(Settings!$B$3),MONTH($A114)=MONTH(Settings!$B$3)),Settings!$B$11,0))</f>
        <v/>
      </c>
      <c r="P114" s="77">
        <f>IF($A114="","",SUMIFS($H$5:$H$800,$A$5:$A$800,"&gt;="&amp;DATE(YEAR($A114),MONTH($A114),1),$A$5:$A$800,"&lt;="&amp;$A114)+IF(AND(YEAR($A114)=YEAR(Settings!$B$3),MONTH($A114)=MONTH(Settings!$B$3)),Settings!$B$12,0))</f>
        <v/>
      </c>
      <c r="Q114" s="78">
        <f>IF($A114="","",SUMIFS($I$5:$I$800,$A$5:$A$800,"&gt;="&amp;DATE(YEAR($A114),MONTH($A114),1),$A$5:$A$800,"&lt;="&amp;$A114)+IF(AND(YEAR($A114)=YEAR(Settings!$B$3),MONTH($A114)=MONTH(Settings!$B$3)),Settings!$B$13,0))</f>
        <v/>
      </c>
      <c r="R114" s="77">
        <f>IF($A114="","",N114+P114)</f>
        <v/>
      </c>
      <c r="S114" s="78">
        <f>IF($A114="","",O114+Q114)</f>
        <v/>
      </c>
    </row>
    <row r="115">
      <c r="A115" s="67" t="n"/>
      <c r="B115" s="75" t="n"/>
      <c r="C115" s="76" t="n"/>
      <c r="D115" s="75" t="n"/>
      <c r="E115" s="76" t="n"/>
      <c r="F115" s="75" t="n"/>
      <c r="G115" s="76" t="n"/>
      <c r="H115" s="75" t="n"/>
      <c r="I115" s="76" t="n"/>
      <c r="J115" s="77">
        <f>IF($A115="","",B115+D115+F115)</f>
        <v/>
      </c>
      <c r="K115" s="78">
        <f>IF($A115="","",C115+E115+G115)</f>
        <v/>
      </c>
      <c r="L115" s="79">
        <f>IF($A115="","",J115+H115)</f>
        <v/>
      </c>
      <c r="M115" s="80">
        <f>IF($A115="","",K115+I115)</f>
        <v/>
      </c>
      <c r="N115" s="77">
        <f>IF($A115="","",SUMIFS($J$5:$J$800,$A$5:$A$800,"&gt;="&amp;DATE(YEAR($A115),MONTH($A115),1),$A$5:$A$800,"&lt;="&amp;$A115)+IF(AND(YEAR($A115)=YEAR(Settings!$B$3),MONTH($A115)=MONTH(Settings!$B$3)),Settings!$B$10,0))</f>
        <v/>
      </c>
      <c r="O115" s="78">
        <f>IF($A115="","",SUMIFS($K$5:$K$800,$A$5:$A$800,"&gt;="&amp;DATE(YEAR($A115),MONTH($A115),1),$A$5:$A$800,"&lt;="&amp;$A115)+IF(AND(YEAR($A115)=YEAR(Settings!$B$3),MONTH($A115)=MONTH(Settings!$B$3)),Settings!$B$11,0))</f>
        <v/>
      </c>
      <c r="P115" s="77">
        <f>IF($A115="","",SUMIFS($H$5:$H$800,$A$5:$A$800,"&gt;="&amp;DATE(YEAR($A115),MONTH($A115),1),$A$5:$A$800,"&lt;="&amp;$A115)+IF(AND(YEAR($A115)=YEAR(Settings!$B$3),MONTH($A115)=MONTH(Settings!$B$3)),Settings!$B$12,0))</f>
        <v/>
      </c>
      <c r="Q115" s="78">
        <f>IF($A115="","",SUMIFS($I$5:$I$800,$A$5:$A$800,"&gt;="&amp;DATE(YEAR($A115),MONTH($A115),1),$A$5:$A$800,"&lt;="&amp;$A115)+IF(AND(YEAR($A115)=YEAR(Settings!$B$3),MONTH($A115)=MONTH(Settings!$B$3)),Settings!$B$13,0))</f>
        <v/>
      </c>
      <c r="R115" s="77">
        <f>IF($A115="","",N115+P115)</f>
        <v/>
      </c>
      <c r="S115" s="78">
        <f>IF($A115="","",O115+Q115)</f>
        <v/>
      </c>
    </row>
    <row r="116">
      <c r="A116" s="67" t="n"/>
      <c r="B116" s="75" t="n"/>
      <c r="C116" s="76" t="n"/>
      <c r="D116" s="75" t="n"/>
      <c r="E116" s="76" t="n"/>
      <c r="F116" s="75" t="n"/>
      <c r="G116" s="76" t="n"/>
      <c r="H116" s="75" t="n"/>
      <c r="I116" s="76" t="n"/>
      <c r="J116" s="77">
        <f>IF($A116="","",B116+D116+F116)</f>
        <v/>
      </c>
      <c r="K116" s="78">
        <f>IF($A116="","",C116+E116+G116)</f>
        <v/>
      </c>
      <c r="L116" s="79">
        <f>IF($A116="","",J116+H116)</f>
        <v/>
      </c>
      <c r="M116" s="80">
        <f>IF($A116="","",K116+I116)</f>
        <v/>
      </c>
      <c r="N116" s="77">
        <f>IF($A116="","",SUMIFS($J$5:$J$800,$A$5:$A$800,"&gt;="&amp;DATE(YEAR($A116),MONTH($A116),1),$A$5:$A$800,"&lt;="&amp;$A116)+IF(AND(YEAR($A116)=YEAR(Settings!$B$3),MONTH($A116)=MONTH(Settings!$B$3)),Settings!$B$10,0))</f>
        <v/>
      </c>
      <c r="O116" s="78">
        <f>IF($A116="","",SUMIFS($K$5:$K$800,$A$5:$A$800,"&gt;="&amp;DATE(YEAR($A116),MONTH($A116),1),$A$5:$A$800,"&lt;="&amp;$A116)+IF(AND(YEAR($A116)=YEAR(Settings!$B$3),MONTH($A116)=MONTH(Settings!$B$3)),Settings!$B$11,0))</f>
        <v/>
      </c>
      <c r="P116" s="77">
        <f>IF($A116="","",SUMIFS($H$5:$H$800,$A$5:$A$800,"&gt;="&amp;DATE(YEAR($A116),MONTH($A116),1),$A$5:$A$800,"&lt;="&amp;$A116)+IF(AND(YEAR($A116)=YEAR(Settings!$B$3),MONTH($A116)=MONTH(Settings!$B$3)),Settings!$B$12,0))</f>
        <v/>
      </c>
      <c r="Q116" s="78">
        <f>IF($A116="","",SUMIFS($I$5:$I$800,$A$5:$A$800,"&gt;="&amp;DATE(YEAR($A116),MONTH($A116),1),$A$5:$A$800,"&lt;="&amp;$A116)+IF(AND(YEAR($A116)=YEAR(Settings!$B$3),MONTH($A116)=MONTH(Settings!$B$3)),Settings!$B$13,0))</f>
        <v/>
      </c>
      <c r="R116" s="77">
        <f>IF($A116="","",N116+P116)</f>
        <v/>
      </c>
      <c r="S116" s="78">
        <f>IF($A116="","",O116+Q116)</f>
        <v/>
      </c>
    </row>
    <row r="117">
      <c r="A117" s="67" t="n"/>
      <c r="B117" s="75" t="n"/>
      <c r="C117" s="76" t="n"/>
      <c r="D117" s="75" t="n"/>
      <c r="E117" s="76" t="n"/>
      <c r="F117" s="75" t="n"/>
      <c r="G117" s="76" t="n"/>
      <c r="H117" s="75" t="n"/>
      <c r="I117" s="76" t="n"/>
      <c r="J117" s="77">
        <f>IF($A117="","",B117+D117+F117)</f>
        <v/>
      </c>
      <c r="K117" s="78">
        <f>IF($A117="","",C117+E117+G117)</f>
        <v/>
      </c>
      <c r="L117" s="79">
        <f>IF($A117="","",J117+H117)</f>
        <v/>
      </c>
      <c r="M117" s="80">
        <f>IF($A117="","",K117+I117)</f>
        <v/>
      </c>
      <c r="N117" s="77">
        <f>IF($A117="","",SUMIFS($J$5:$J$800,$A$5:$A$800,"&gt;="&amp;DATE(YEAR($A117),MONTH($A117),1),$A$5:$A$800,"&lt;="&amp;$A117)+IF(AND(YEAR($A117)=YEAR(Settings!$B$3),MONTH($A117)=MONTH(Settings!$B$3)),Settings!$B$10,0))</f>
        <v/>
      </c>
      <c r="O117" s="78">
        <f>IF($A117="","",SUMIFS($K$5:$K$800,$A$5:$A$800,"&gt;="&amp;DATE(YEAR($A117),MONTH($A117),1),$A$5:$A$800,"&lt;="&amp;$A117)+IF(AND(YEAR($A117)=YEAR(Settings!$B$3),MONTH($A117)=MONTH(Settings!$B$3)),Settings!$B$11,0))</f>
        <v/>
      </c>
      <c r="P117" s="77">
        <f>IF($A117="","",SUMIFS($H$5:$H$800,$A$5:$A$800,"&gt;="&amp;DATE(YEAR($A117),MONTH($A117),1),$A$5:$A$800,"&lt;="&amp;$A117)+IF(AND(YEAR($A117)=YEAR(Settings!$B$3),MONTH($A117)=MONTH(Settings!$B$3)),Settings!$B$12,0))</f>
        <v/>
      </c>
      <c r="Q117" s="78">
        <f>IF($A117="","",SUMIFS($I$5:$I$800,$A$5:$A$800,"&gt;="&amp;DATE(YEAR($A117),MONTH($A117),1),$A$5:$A$800,"&lt;="&amp;$A117)+IF(AND(YEAR($A117)=YEAR(Settings!$B$3),MONTH($A117)=MONTH(Settings!$B$3)),Settings!$B$13,0))</f>
        <v/>
      </c>
      <c r="R117" s="77">
        <f>IF($A117="","",N117+P117)</f>
        <v/>
      </c>
      <c r="S117" s="78">
        <f>IF($A117="","",O117+Q117)</f>
        <v/>
      </c>
    </row>
    <row r="118">
      <c r="A118" s="67" t="n"/>
      <c r="B118" s="75" t="n"/>
      <c r="C118" s="76" t="n"/>
      <c r="D118" s="75" t="n"/>
      <c r="E118" s="76" t="n"/>
      <c r="F118" s="75" t="n"/>
      <c r="G118" s="76" t="n"/>
      <c r="H118" s="75" t="n"/>
      <c r="I118" s="76" t="n"/>
      <c r="J118" s="77">
        <f>IF($A118="","",B118+D118+F118)</f>
        <v/>
      </c>
      <c r="K118" s="78">
        <f>IF($A118="","",C118+E118+G118)</f>
        <v/>
      </c>
      <c r="L118" s="79">
        <f>IF($A118="","",J118+H118)</f>
        <v/>
      </c>
      <c r="M118" s="80">
        <f>IF($A118="","",K118+I118)</f>
        <v/>
      </c>
      <c r="N118" s="77">
        <f>IF($A118="","",SUMIFS($J$5:$J$800,$A$5:$A$800,"&gt;="&amp;DATE(YEAR($A118),MONTH($A118),1),$A$5:$A$800,"&lt;="&amp;$A118)+IF(AND(YEAR($A118)=YEAR(Settings!$B$3),MONTH($A118)=MONTH(Settings!$B$3)),Settings!$B$10,0))</f>
        <v/>
      </c>
      <c r="O118" s="78">
        <f>IF($A118="","",SUMIFS($K$5:$K$800,$A$5:$A$800,"&gt;="&amp;DATE(YEAR($A118),MONTH($A118),1),$A$5:$A$800,"&lt;="&amp;$A118)+IF(AND(YEAR($A118)=YEAR(Settings!$B$3),MONTH($A118)=MONTH(Settings!$B$3)),Settings!$B$11,0))</f>
        <v/>
      </c>
      <c r="P118" s="77">
        <f>IF($A118="","",SUMIFS($H$5:$H$800,$A$5:$A$800,"&gt;="&amp;DATE(YEAR($A118),MONTH($A118),1),$A$5:$A$800,"&lt;="&amp;$A118)+IF(AND(YEAR($A118)=YEAR(Settings!$B$3),MONTH($A118)=MONTH(Settings!$B$3)),Settings!$B$12,0))</f>
        <v/>
      </c>
      <c r="Q118" s="78">
        <f>IF($A118="","",SUMIFS($I$5:$I$800,$A$5:$A$800,"&gt;="&amp;DATE(YEAR($A118),MONTH($A118),1),$A$5:$A$800,"&lt;="&amp;$A118)+IF(AND(YEAR($A118)=YEAR(Settings!$B$3),MONTH($A118)=MONTH(Settings!$B$3)),Settings!$B$13,0))</f>
        <v/>
      </c>
      <c r="R118" s="77">
        <f>IF($A118="","",N118+P118)</f>
        <v/>
      </c>
      <c r="S118" s="78">
        <f>IF($A118="","",O118+Q118)</f>
        <v/>
      </c>
    </row>
    <row r="119">
      <c r="A119" s="67" t="n"/>
      <c r="B119" s="75" t="n"/>
      <c r="C119" s="76" t="n"/>
      <c r="D119" s="75" t="n"/>
      <c r="E119" s="76" t="n"/>
      <c r="F119" s="75" t="n"/>
      <c r="G119" s="76" t="n"/>
      <c r="H119" s="75" t="n"/>
      <c r="I119" s="76" t="n"/>
      <c r="J119" s="77">
        <f>IF($A119="","",B119+D119+F119)</f>
        <v/>
      </c>
      <c r="K119" s="78">
        <f>IF($A119="","",C119+E119+G119)</f>
        <v/>
      </c>
      <c r="L119" s="79">
        <f>IF($A119="","",J119+H119)</f>
        <v/>
      </c>
      <c r="M119" s="80">
        <f>IF($A119="","",K119+I119)</f>
        <v/>
      </c>
      <c r="N119" s="77">
        <f>IF($A119="","",SUMIFS($J$5:$J$800,$A$5:$A$800,"&gt;="&amp;DATE(YEAR($A119),MONTH($A119),1),$A$5:$A$800,"&lt;="&amp;$A119)+IF(AND(YEAR($A119)=YEAR(Settings!$B$3),MONTH($A119)=MONTH(Settings!$B$3)),Settings!$B$10,0))</f>
        <v/>
      </c>
      <c r="O119" s="78">
        <f>IF($A119="","",SUMIFS($K$5:$K$800,$A$5:$A$800,"&gt;="&amp;DATE(YEAR($A119),MONTH($A119),1),$A$5:$A$800,"&lt;="&amp;$A119)+IF(AND(YEAR($A119)=YEAR(Settings!$B$3),MONTH($A119)=MONTH(Settings!$B$3)),Settings!$B$11,0))</f>
        <v/>
      </c>
      <c r="P119" s="77">
        <f>IF($A119="","",SUMIFS($H$5:$H$800,$A$5:$A$800,"&gt;="&amp;DATE(YEAR($A119),MONTH($A119),1),$A$5:$A$800,"&lt;="&amp;$A119)+IF(AND(YEAR($A119)=YEAR(Settings!$B$3),MONTH($A119)=MONTH(Settings!$B$3)),Settings!$B$12,0))</f>
        <v/>
      </c>
      <c r="Q119" s="78">
        <f>IF($A119="","",SUMIFS($I$5:$I$800,$A$5:$A$800,"&gt;="&amp;DATE(YEAR($A119),MONTH($A119),1),$A$5:$A$800,"&lt;="&amp;$A119)+IF(AND(YEAR($A119)=YEAR(Settings!$B$3),MONTH($A119)=MONTH(Settings!$B$3)),Settings!$B$13,0))</f>
        <v/>
      </c>
      <c r="R119" s="77">
        <f>IF($A119="","",N119+P119)</f>
        <v/>
      </c>
      <c r="S119" s="78">
        <f>IF($A119="","",O119+Q119)</f>
        <v/>
      </c>
    </row>
    <row r="120">
      <c r="A120" s="67" t="n"/>
      <c r="B120" s="75" t="n"/>
      <c r="C120" s="76" t="n"/>
      <c r="D120" s="75" t="n"/>
      <c r="E120" s="76" t="n"/>
      <c r="F120" s="75" t="n"/>
      <c r="G120" s="76" t="n"/>
      <c r="H120" s="75" t="n"/>
      <c r="I120" s="76" t="n"/>
      <c r="J120" s="77">
        <f>IF($A120="","",B120+D120+F120)</f>
        <v/>
      </c>
      <c r="K120" s="78">
        <f>IF($A120="","",C120+E120+G120)</f>
        <v/>
      </c>
      <c r="L120" s="79">
        <f>IF($A120="","",J120+H120)</f>
        <v/>
      </c>
      <c r="M120" s="80">
        <f>IF($A120="","",K120+I120)</f>
        <v/>
      </c>
      <c r="N120" s="77">
        <f>IF($A120="","",SUMIFS($J$5:$J$800,$A$5:$A$800,"&gt;="&amp;DATE(YEAR($A120),MONTH($A120),1),$A$5:$A$800,"&lt;="&amp;$A120)+IF(AND(YEAR($A120)=YEAR(Settings!$B$3),MONTH($A120)=MONTH(Settings!$B$3)),Settings!$B$10,0))</f>
        <v/>
      </c>
      <c r="O120" s="78">
        <f>IF($A120="","",SUMIFS($K$5:$K$800,$A$5:$A$800,"&gt;="&amp;DATE(YEAR($A120),MONTH($A120),1),$A$5:$A$800,"&lt;="&amp;$A120)+IF(AND(YEAR($A120)=YEAR(Settings!$B$3),MONTH($A120)=MONTH(Settings!$B$3)),Settings!$B$11,0))</f>
        <v/>
      </c>
      <c r="P120" s="77">
        <f>IF($A120="","",SUMIFS($H$5:$H$800,$A$5:$A$800,"&gt;="&amp;DATE(YEAR($A120),MONTH($A120),1),$A$5:$A$800,"&lt;="&amp;$A120)+IF(AND(YEAR($A120)=YEAR(Settings!$B$3),MONTH($A120)=MONTH(Settings!$B$3)),Settings!$B$12,0))</f>
        <v/>
      </c>
      <c r="Q120" s="78">
        <f>IF($A120="","",SUMIFS($I$5:$I$800,$A$5:$A$800,"&gt;="&amp;DATE(YEAR($A120),MONTH($A120),1),$A$5:$A$800,"&lt;="&amp;$A120)+IF(AND(YEAR($A120)=YEAR(Settings!$B$3),MONTH($A120)=MONTH(Settings!$B$3)),Settings!$B$13,0))</f>
        <v/>
      </c>
      <c r="R120" s="77">
        <f>IF($A120="","",N120+P120)</f>
        <v/>
      </c>
      <c r="S120" s="78">
        <f>IF($A120="","",O120+Q120)</f>
        <v/>
      </c>
    </row>
    <row r="121">
      <c r="A121" s="67" t="n"/>
      <c r="B121" s="75" t="n"/>
      <c r="C121" s="76" t="n"/>
      <c r="D121" s="75" t="n"/>
      <c r="E121" s="76" t="n"/>
      <c r="F121" s="75" t="n"/>
      <c r="G121" s="76" t="n"/>
      <c r="H121" s="75" t="n"/>
      <c r="I121" s="76" t="n"/>
      <c r="J121" s="77">
        <f>IF($A121="","",B121+D121+F121)</f>
        <v/>
      </c>
      <c r="K121" s="78">
        <f>IF($A121="","",C121+E121+G121)</f>
        <v/>
      </c>
      <c r="L121" s="79">
        <f>IF($A121="","",J121+H121)</f>
        <v/>
      </c>
      <c r="M121" s="80">
        <f>IF($A121="","",K121+I121)</f>
        <v/>
      </c>
      <c r="N121" s="77">
        <f>IF($A121="","",SUMIFS($J$5:$J$800,$A$5:$A$800,"&gt;="&amp;DATE(YEAR($A121),MONTH($A121),1),$A$5:$A$800,"&lt;="&amp;$A121)+IF(AND(YEAR($A121)=YEAR(Settings!$B$3),MONTH($A121)=MONTH(Settings!$B$3)),Settings!$B$10,0))</f>
        <v/>
      </c>
      <c r="O121" s="78">
        <f>IF($A121="","",SUMIFS($K$5:$K$800,$A$5:$A$800,"&gt;="&amp;DATE(YEAR($A121),MONTH($A121),1),$A$5:$A$800,"&lt;="&amp;$A121)+IF(AND(YEAR($A121)=YEAR(Settings!$B$3),MONTH($A121)=MONTH(Settings!$B$3)),Settings!$B$11,0))</f>
        <v/>
      </c>
      <c r="P121" s="77">
        <f>IF($A121="","",SUMIFS($H$5:$H$800,$A$5:$A$800,"&gt;="&amp;DATE(YEAR($A121),MONTH($A121),1),$A$5:$A$800,"&lt;="&amp;$A121)+IF(AND(YEAR($A121)=YEAR(Settings!$B$3),MONTH($A121)=MONTH(Settings!$B$3)),Settings!$B$12,0))</f>
        <v/>
      </c>
      <c r="Q121" s="78">
        <f>IF($A121="","",SUMIFS($I$5:$I$800,$A$5:$A$800,"&gt;="&amp;DATE(YEAR($A121),MONTH($A121),1),$A$5:$A$800,"&lt;="&amp;$A121)+IF(AND(YEAR($A121)=YEAR(Settings!$B$3),MONTH($A121)=MONTH(Settings!$B$3)),Settings!$B$13,0))</f>
        <v/>
      </c>
      <c r="R121" s="77">
        <f>IF($A121="","",N121+P121)</f>
        <v/>
      </c>
      <c r="S121" s="78">
        <f>IF($A121="","",O121+Q121)</f>
        <v/>
      </c>
    </row>
    <row r="122">
      <c r="A122" s="67" t="n"/>
      <c r="B122" s="75" t="n"/>
      <c r="C122" s="76" t="n"/>
      <c r="D122" s="75" t="n"/>
      <c r="E122" s="76" t="n"/>
      <c r="F122" s="75" t="n"/>
      <c r="G122" s="76" t="n"/>
      <c r="H122" s="75" t="n"/>
      <c r="I122" s="76" t="n"/>
      <c r="J122" s="77">
        <f>IF($A122="","",B122+D122+F122)</f>
        <v/>
      </c>
      <c r="K122" s="78">
        <f>IF($A122="","",C122+E122+G122)</f>
        <v/>
      </c>
      <c r="L122" s="79">
        <f>IF($A122="","",J122+H122)</f>
        <v/>
      </c>
      <c r="M122" s="80">
        <f>IF($A122="","",K122+I122)</f>
        <v/>
      </c>
      <c r="N122" s="77">
        <f>IF($A122="","",SUMIFS($J$5:$J$800,$A$5:$A$800,"&gt;="&amp;DATE(YEAR($A122),MONTH($A122),1),$A$5:$A$800,"&lt;="&amp;$A122)+IF(AND(YEAR($A122)=YEAR(Settings!$B$3),MONTH($A122)=MONTH(Settings!$B$3)),Settings!$B$10,0))</f>
        <v/>
      </c>
      <c r="O122" s="78">
        <f>IF($A122="","",SUMIFS($K$5:$K$800,$A$5:$A$800,"&gt;="&amp;DATE(YEAR($A122),MONTH($A122),1),$A$5:$A$800,"&lt;="&amp;$A122)+IF(AND(YEAR($A122)=YEAR(Settings!$B$3),MONTH($A122)=MONTH(Settings!$B$3)),Settings!$B$11,0))</f>
        <v/>
      </c>
      <c r="P122" s="77">
        <f>IF($A122="","",SUMIFS($H$5:$H$800,$A$5:$A$800,"&gt;="&amp;DATE(YEAR($A122),MONTH($A122),1),$A$5:$A$800,"&lt;="&amp;$A122)+IF(AND(YEAR($A122)=YEAR(Settings!$B$3),MONTH($A122)=MONTH(Settings!$B$3)),Settings!$B$12,0))</f>
        <v/>
      </c>
      <c r="Q122" s="78">
        <f>IF($A122="","",SUMIFS($I$5:$I$800,$A$5:$A$800,"&gt;="&amp;DATE(YEAR($A122),MONTH($A122),1),$A$5:$A$800,"&lt;="&amp;$A122)+IF(AND(YEAR($A122)=YEAR(Settings!$B$3),MONTH($A122)=MONTH(Settings!$B$3)),Settings!$B$13,0))</f>
        <v/>
      </c>
      <c r="R122" s="77">
        <f>IF($A122="","",N122+P122)</f>
        <v/>
      </c>
      <c r="S122" s="78">
        <f>IF($A122="","",O122+Q122)</f>
        <v/>
      </c>
    </row>
    <row r="123">
      <c r="A123" s="67" t="n"/>
      <c r="B123" s="75" t="n"/>
      <c r="C123" s="76" t="n"/>
      <c r="D123" s="75" t="n"/>
      <c r="E123" s="76" t="n"/>
      <c r="F123" s="75" t="n"/>
      <c r="G123" s="76" t="n"/>
      <c r="H123" s="75" t="n"/>
      <c r="I123" s="76" t="n"/>
      <c r="J123" s="77">
        <f>IF($A123="","",B123+D123+F123)</f>
        <v/>
      </c>
      <c r="K123" s="78">
        <f>IF($A123="","",C123+E123+G123)</f>
        <v/>
      </c>
      <c r="L123" s="79">
        <f>IF($A123="","",J123+H123)</f>
        <v/>
      </c>
      <c r="M123" s="80">
        <f>IF($A123="","",K123+I123)</f>
        <v/>
      </c>
      <c r="N123" s="77">
        <f>IF($A123="","",SUMIFS($J$5:$J$800,$A$5:$A$800,"&gt;="&amp;DATE(YEAR($A123),MONTH($A123),1),$A$5:$A$800,"&lt;="&amp;$A123)+IF(AND(YEAR($A123)=YEAR(Settings!$B$3),MONTH($A123)=MONTH(Settings!$B$3)),Settings!$B$10,0))</f>
        <v/>
      </c>
      <c r="O123" s="78">
        <f>IF($A123="","",SUMIFS($K$5:$K$800,$A$5:$A$800,"&gt;="&amp;DATE(YEAR($A123),MONTH($A123),1),$A$5:$A$800,"&lt;="&amp;$A123)+IF(AND(YEAR($A123)=YEAR(Settings!$B$3),MONTH($A123)=MONTH(Settings!$B$3)),Settings!$B$11,0))</f>
        <v/>
      </c>
      <c r="P123" s="77">
        <f>IF($A123="","",SUMIFS($H$5:$H$800,$A$5:$A$800,"&gt;="&amp;DATE(YEAR($A123),MONTH($A123),1),$A$5:$A$800,"&lt;="&amp;$A123)+IF(AND(YEAR($A123)=YEAR(Settings!$B$3),MONTH($A123)=MONTH(Settings!$B$3)),Settings!$B$12,0))</f>
        <v/>
      </c>
      <c r="Q123" s="78">
        <f>IF($A123="","",SUMIFS($I$5:$I$800,$A$5:$A$800,"&gt;="&amp;DATE(YEAR($A123),MONTH($A123),1),$A$5:$A$800,"&lt;="&amp;$A123)+IF(AND(YEAR($A123)=YEAR(Settings!$B$3),MONTH($A123)=MONTH(Settings!$B$3)),Settings!$B$13,0))</f>
        <v/>
      </c>
      <c r="R123" s="77">
        <f>IF($A123="","",N123+P123)</f>
        <v/>
      </c>
      <c r="S123" s="78">
        <f>IF($A123="","",O123+Q123)</f>
        <v/>
      </c>
    </row>
    <row r="124">
      <c r="A124" s="67" t="n"/>
      <c r="B124" s="75" t="n"/>
      <c r="C124" s="76" t="n"/>
      <c r="D124" s="75" t="n"/>
      <c r="E124" s="76" t="n"/>
      <c r="F124" s="75" t="n"/>
      <c r="G124" s="76" t="n"/>
      <c r="H124" s="75" t="n"/>
      <c r="I124" s="76" t="n"/>
      <c r="J124" s="77">
        <f>IF($A124="","",B124+D124+F124)</f>
        <v/>
      </c>
      <c r="K124" s="78">
        <f>IF($A124="","",C124+E124+G124)</f>
        <v/>
      </c>
      <c r="L124" s="79">
        <f>IF($A124="","",J124+H124)</f>
        <v/>
      </c>
      <c r="M124" s="80">
        <f>IF($A124="","",K124+I124)</f>
        <v/>
      </c>
      <c r="N124" s="77">
        <f>IF($A124="","",SUMIFS($J$5:$J$800,$A$5:$A$800,"&gt;="&amp;DATE(YEAR($A124),MONTH($A124),1),$A$5:$A$800,"&lt;="&amp;$A124)+IF(AND(YEAR($A124)=YEAR(Settings!$B$3),MONTH($A124)=MONTH(Settings!$B$3)),Settings!$B$10,0))</f>
        <v/>
      </c>
      <c r="O124" s="78">
        <f>IF($A124="","",SUMIFS($K$5:$K$800,$A$5:$A$800,"&gt;="&amp;DATE(YEAR($A124),MONTH($A124),1),$A$5:$A$800,"&lt;="&amp;$A124)+IF(AND(YEAR($A124)=YEAR(Settings!$B$3),MONTH($A124)=MONTH(Settings!$B$3)),Settings!$B$11,0))</f>
        <v/>
      </c>
      <c r="P124" s="77">
        <f>IF($A124="","",SUMIFS($H$5:$H$800,$A$5:$A$800,"&gt;="&amp;DATE(YEAR($A124),MONTH($A124),1),$A$5:$A$800,"&lt;="&amp;$A124)+IF(AND(YEAR($A124)=YEAR(Settings!$B$3),MONTH($A124)=MONTH(Settings!$B$3)),Settings!$B$12,0))</f>
        <v/>
      </c>
      <c r="Q124" s="78">
        <f>IF($A124="","",SUMIFS($I$5:$I$800,$A$5:$A$800,"&gt;="&amp;DATE(YEAR($A124),MONTH($A124),1),$A$5:$A$800,"&lt;="&amp;$A124)+IF(AND(YEAR($A124)=YEAR(Settings!$B$3),MONTH($A124)=MONTH(Settings!$B$3)),Settings!$B$13,0))</f>
        <v/>
      </c>
      <c r="R124" s="77">
        <f>IF($A124="","",N124+P124)</f>
        <v/>
      </c>
      <c r="S124" s="78">
        <f>IF($A124="","",O124+Q124)</f>
        <v/>
      </c>
    </row>
    <row r="125">
      <c r="A125" s="67" t="n"/>
      <c r="B125" s="75" t="n"/>
      <c r="C125" s="76" t="n"/>
      <c r="D125" s="75" t="n"/>
      <c r="E125" s="76" t="n"/>
      <c r="F125" s="75" t="n"/>
      <c r="G125" s="76" t="n"/>
      <c r="H125" s="75" t="n"/>
      <c r="I125" s="76" t="n"/>
      <c r="J125" s="77">
        <f>IF($A125="","",B125+D125+F125)</f>
        <v/>
      </c>
      <c r="K125" s="78">
        <f>IF($A125="","",C125+E125+G125)</f>
        <v/>
      </c>
      <c r="L125" s="79">
        <f>IF($A125="","",J125+H125)</f>
        <v/>
      </c>
      <c r="M125" s="80">
        <f>IF($A125="","",K125+I125)</f>
        <v/>
      </c>
      <c r="N125" s="77">
        <f>IF($A125="","",SUMIFS($J$5:$J$800,$A$5:$A$800,"&gt;="&amp;DATE(YEAR($A125),MONTH($A125),1),$A$5:$A$800,"&lt;="&amp;$A125)+IF(AND(YEAR($A125)=YEAR(Settings!$B$3),MONTH($A125)=MONTH(Settings!$B$3)),Settings!$B$10,0))</f>
        <v/>
      </c>
      <c r="O125" s="78">
        <f>IF($A125="","",SUMIFS($K$5:$K$800,$A$5:$A$800,"&gt;="&amp;DATE(YEAR($A125),MONTH($A125),1),$A$5:$A$800,"&lt;="&amp;$A125)+IF(AND(YEAR($A125)=YEAR(Settings!$B$3),MONTH($A125)=MONTH(Settings!$B$3)),Settings!$B$11,0))</f>
        <v/>
      </c>
      <c r="P125" s="77">
        <f>IF($A125="","",SUMIFS($H$5:$H$800,$A$5:$A$800,"&gt;="&amp;DATE(YEAR($A125),MONTH($A125),1),$A$5:$A$800,"&lt;="&amp;$A125)+IF(AND(YEAR($A125)=YEAR(Settings!$B$3),MONTH($A125)=MONTH(Settings!$B$3)),Settings!$B$12,0))</f>
        <v/>
      </c>
      <c r="Q125" s="78">
        <f>IF($A125="","",SUMIFS($I$5:$I$800,$A$5:$A$800,"&gt;="&amp;DATE(YEAR($A125),MONTH($A125),1),$A$5:$A$800,"&lt;="&amp;$A125)+IF(AND(YEAR($A125)=YEAR(Settings!$B$3),MONTH($A125)=MONTH(Settings!$B$3)),Settings!$B$13,0))</f>
        <v/>
      </c>
      <c r="R125" s="77">
        <f>IF($A125="","",N125+P125)</f>
        <v/>
      </c>
      <c r="S125" s="78">
        <f>IF($A125="","",O125+Q125)</f>
        <v/>
      </c>
    </row>
    <row r="126">
      <c r="A126" s="67" t="n"/>
      <c r="B126" s="75" t="n"/>
      <c r="C126" s="76" t="n"/>
      <c r="D126" s="75" t="n"/>
      <c r="E126" s="76" t="n"/>
      <c r="F126" s="75" t="n"/>
      <c r="G126" s="76" t="n"/>
      <c r="H126" s="75" t="n"/>
      <c r="I126" s="76" t="n"/>
      <c r="J126" s="77">
        <f>IF($A126="","",B126+D126+F126)</f>
        <v/>
      </c>
      <c r="K126" s="78">
        <f>IF($A126="","",C126+E126+G126)</f>
        <v/>
      </c>
      <c r="L126" s="79">
        <f>IF($A126="","",J126+H126)</f>
        <v/>
      </c>
      <c r="M126" s="80">
        <f>IF($A126="","",K126+I126)</f>
        <v/>
      </c>
      <c r="N126" s="77">
        <f>IF($A126="","",SUMIFS($J$5:$J$800,$A$5:$A$800,"&gt;="&amp;DATE(YEAR($A126),MONTH($A126),1),$A$5:$A$800,"&lt;="&amp;$A126)+IF(AND(YEAR($A126)=YEAR(Settings!$B$3),MONTH($A126)=MONTH(Settings!$B$3)),Settings!$B$10,0))</f>
        <v/>
      </c>
      <c r="O126" s="78">
        <f>IF($A126="","",SUMIFS($K$5:$K$800,$A$5:$A$800,"&gt;="&amp;DATE(YEAR($A126),MONTH($A126),1),$A$5:$A$800,"&lt;="&amp;$A126)+IF(AND(YEAR($A126)=YEAR(Settings!$B$3),MONTH($A126)=MONTH(Settings!$B$3)),Settings!$B$11,0))</f>
        <v/>
      </c>
      <c r="P126" s="77">
        <f>IF($A126="","",SUMIFS($H$5:$H$800,$A$5:$A$800,"&gt;="&amp;DATE(YEAR($A126),MONTH($A126),1),$A$5:$A$800,"&lt;="&amp;$A126)+IF(AND(YEAR($A126)=YEAR(Settings!$B$3),MONTH($A126)=MONTH(Settings!$B$3)),Settings!$B$12,0))</f>
        <v/>
      </c>
      <c r="Q126" s="78">
        <f>IF($A126="","",SUMIFS($I$5:$I$800,$A$5:$A$800,"&gt;="&amp;DATE(YEAR($A126),MONTH($A126),1),$A$5:$A$800,"&lt;="&amp;$A126)+IF(AND(YEAR($A126)=YEAR(Settings!$B$3),MONTH($A126)=MONTH(Settings!$B$3)),Settings!$B$13,0))</f>
        <v/>
      </c>
      <c r="R126" s="77">
        <f>IF($A126="","",N126+P126)</f>
        <v/>
      </c>
      <c r="S126" s="78">
        <f>IF($A126="","",O126+Q126)</f>
        <v/>
      </c>
    </row>
    <row r="127">
      <c r="A127" s="67" t="n"/>
      <c r="B127" s="75" t="n"/>
      <c r="C127" s="76" t="n"/>
      <c r="D127" s="75" t="n"/>
      <c r="E127" s="76" t="n"/>
      <c r="F127" s="75" t="n"/>
      <c r="G127" s="76" t="n"/>
      <c r="H127" s="75" t="n"/>
      <c r="I127" s="76" t="n"/>
      <c r="J127" s="77">
        <f>IF($A127="","",B127+D127+F127)</f>
        <v/>
      </c>
      <c r="K127" s="78">
        <f>IF($A127="","",C127+E127+G127)</f>
        <v/>
      </c>
      <c r="L127" s="79">
        <f>IF($A127="","",J127+H127)</f>
        <v/>
      </c>
      <c r="M127" s="80">
        <f>IF($A127="","",K127+I127)</f>
        <v/>
      </c>
      <c r="N127" s="77">
        <f>IF($A127="","",SUMIFS($J$5:$J$800,$A$5:$A$800,"&gt;="&amp;DATE(YEAR($A127),MONTH($A127),1),$A$5:$A$800,"&lt;="&amp;$A127)+IF(AND(YEAR($A127)=YEAR(Settings!$B$3),MONTH($A127)=MONTH(Settings!$B$3)),Settings!$B$10,0))</f>
        <v/>
      </c>
      <c r="O127" s="78">
        <f>IF($A127="","",SUMIFS($K$5:$K$800,$A$5:$A$800,"&gt;="&amp;DATE(YEAR($A127),MONTH($A127),1),$A$5:$A$800,"&lt;="&amp;$A127)+IF(AND(YEAR($A127)=YEAR(Settings!$B$3),MONTH($A127)=MONTH(Settings!$B$3)),Settings!$B$11,0))</f>
        <v/>
      </c>
      <c r="P127" s="77">
        <f>IF($A127="","",SUMIFS($H$5:$H$800,$A$5:$A$800,"&gt;="&amp;DATE(YEAR($A127),MONTH($A127),1),$A$5:$A$800,"&lt;="&amp;$A127)+IF(AND(YEAR($A127)=YEAR(Settings!$B$3),MONTH($A127)=MONTH(Settings!$B$3)),Settings!$B$12,0))</f>
        <v/>
      </c>
      <c r="Q127" s="78">
        <f>IF($A127="","",SUMIFS($I$5:$I$800,$A$5:$A$800,"&gt;="&amp;DATE(YEAR($A127),MONTH($A127),1),$A$5:$A$800,"&lt;="&amp;$A127)+IF(AND(YEAR($A127)=YEAR(Settings!$B$3),MONTH($A127)=MONTH(Settings!$B$3)),Settings!$B$13,0))</f>
        <v/>
      </c>
      <c r="R127" s="77">
        <f>IF($A127="","",N127+P127)</f>
        <v/>
      </c>
      <c r="S127" s="78">
        <f>IF($A127="","",O127+Q127)</f>
        <v/>
      </c>
    </row>
    <row r="128">
      <c r="A128" s="67" t="n"/>
      <c r="B128" s="75" t="n"/>
      <c r="C128" s="76" t="n"/>
      <c r="D128" s="75" t="n"/>
      <c r="E128" s="76" t="n"/>
      <c r="F128" s="75" t="n"/>
      <c r="G128" s="76" t="n"/>
      <c r="H128" s="75" t="n"/>
      <c r="I128" s="76" t="n"/>
      <c r="J128" s="77">
        <f>IF($A128="","",B128+D128+F128)</f>
        <v/>
      </c>
      <c r="K128" s="78">
        <f>IF($A128="","",C128+E128+G128)</f>
        <v/>
      </c>
      <c r="L128" s="79">
        <f>IF($A128="","",J128+H128)</f>
        <v/>
      </c>
      <c r="M128" s="80">
        <f>IF($A128="","",K128+I128)</f>
        <v/>
      </c>
      <c r="N128" s="77">
        <f>IF($A128="","",SUMIFS($J$5:$J$800,$A$5:$A$800,"&gt;="&amp;DATE(YEAR($A128),MONTH($A128),1),$A$5:$A$800,"&lt;="&amp;$A128)+IF(AND(YEAR($A128)=YEAR(Settings!$B$3),MONTH($A128)=MONTH(Settings!$B$3)),Settings!$B$10,0))</f>
        <v/>
      </c>
      <c r="O128" s="78">
        <f>IF($A128="","",SUMIFS($K$5:$K$800,$A$5:$A$800,"&gt;="&amp;DATE(YEAR($A128),MONTH($A128),1),$A$5:$A$800,"&lt;="&amp;$A128)+IF(AND(YEAR($A128)=YEAR(Settings!$B$3),MONTH($A128)=MONTH(Settings!$B$3)),Settings!$B$11,0))</f>
        <v/>
      </c>
      <c r="P128" s="77">
        <f>IF($A128="","",SUMIFS($H$5:$H$800,$A$5:$A$800,"&gt;="&amp;DATE(YEAR($A128),MONTH($A128),1),$A$5:$A$800,"&lt;="&amp;$A128)+IF(AND(YEAR($A128)=YEAR(Settings!$B$3),MONTH($A128)=MONTH(Settings!$B$3)),Settings!$B$12,0))</f>
        <v/>
      </c>
      <c r="Q128" s="78">
        <f>IF($A128="","",SUMIFS($I$5:$I$800,$A$5:$A$800,"&gt;="&amp;DATE(YEAR($A128),MONTH($A128),1),$A$5:$A$800,"&lt;="&amp;$A128)+IF(AND(YEAR($A128)=YEAR(Settings!$B$3),MONTH($A128)=MONTH(Settings!$B$3)),Settings!$B$13,0))</f>
        <v/>
      </c>
      <c r="R128" s="77">
        <f>IF($A128="","",N128+P128)</f>
        <v/>
      </c>
      <c r="S128" s="78">
        <f>IF($A128="","",O128+Q128)</f>
        <v/>
      </c>
    </row>
    <row r="129">
      <c r="A129" s="67" t="n"/>
      <c r="B129" s="75" t="n"/>
      <c r="C129" s="76" t="n"/>
      <c r="D129" s="75" t="n"/>
      <c r="E129" s="76" t="n"/>
      <c r="F129" s="75" t="n"/>
      <c r="G129" s="76" t="n"/>
      <c r="H129" s="75" t="n"/>
      <c r="I129" s="76" t="n"/>
      <c r="J129" s="77">
        <f>IF($A129="","",B129+D129+F129)</f>
        <v/>
      </c>
      <c r="K129" s="78">
        <f>IF($A129="","",C129+E129+G129)</f>
        <v/>
      </c>
      <c r="L129" s="79">
        <f>IF($A129="","",J129+H129)</f>
        <v/>
      </c>
      <c r="M129" s="80">
        <f>IF($A129="","",K129+I129)</f>
        <v/>
      </c>
      <c r="N129" s="77">
        <f>IF($A129="","",SUMIFS($J$5:$J$800,$A$5:$A$800,"&gt;="&amp;DATE(YEAR($A129),MONTH($A129),1),$A$5:$A$800,"&lt;="&amp;$A129)+IF(AND(YEAR($A129)=YEAR(Settings!$B$3),MONTH($A129)=MONTH(Settings!$B$3)),Settings!$B$10,0))</f>
        <v/>
      </c>
      <c r="O129" s="78">
        <f>IF($A129="","",SUMIFS($K$5:$K$800,$A$5:$A$800,"&gt;="&amp;DATE(YEAR($A129),MONTH($A129),1),$A$5:$A$800,"&lt;="&amp;$A129)+IF(AND(YEAR($A129)=YEAR(Settings!$B$3),MONTH($A129)=MONTH(Settings!$B$3)),Settings!$B$11,0))</f>
        <v/>
      </c>
      <c r="P129" s="77">
        <f>IF($A129="","",SUMIFS($H$5:$H$800,$A$5:$A$800,"&gt;="&amp;DATE(YEAR($A129),MONTH($A129),1),$A$5:$A$800,"&lt;="&amp;$A129)+IF(AND(YEAR($A129)=YEAR(Settings!$B$3),MONTH($A129)=MONTH(Settings!$B$3)),Settings!$B$12,0))</f>
        <v/>
      </c>
      <c r="Q129" s="78">
        <f>IF($A129="","",SUMIFS($I$5:$I$800,$A$5:$A$800,"&gt;="&amp;DATE(YEAR($A129),MONTH($A129),1),$A$5:$A$800,"&lt;="&amp;$A129)+IF(AND(YEAR($A129)=YEAR(Settings!$B$3),MONTH($A129)=MONTH(Settings!$B$3)),Settings!$B$13,0))</f>
        <v/>
      </c>
      <c r="R129" s="77">
        <f>IF($A129="","",N129+P129)</f>
        <v/>
      </c>
      <c r="S129" s="78">
        <f>IF($A129="","",O129+Q129)</f>
        <v/>
      </c>
    </row>
    <row r="130">
      <c r="A130" s="67" t="n"/>
      <c r="B130" s="75" t="n"/>
      <c r="C130" s="76" t="n"/>
      <c r="D130" s="75" t="n"/>
      <c r="E130" s="76" t="n"/>
      <c r="F130" s="75" t="n"/>
      <c r="G130" s="76" t="n"/>
      <c r="H130" s="75" t="n"/>
      <c r="I130" s="76" t="n"/>
      <c r="J130" s="77">
        <f>IF($A130="","",B130+D130+F130)</f>
        <v/>
      </c>
      <c r="K130" s="78">
        <f>IF($A130="","",C130+E130+G130)</f>
        <v/>
      </c>
      <c r="L130" s="79">
        <f>IF($A130="","",J130+H130)</f>
        <v/>
      </c>
      <c r="M130" s="80">
        <f>IF($A130="","",K130+I130)</f>
        <v/>
      </c>
      <c r="N130" s="77">
        <f>IF($A130="","",SUMIFS($J$5:$J$800,$A$5:$A$800,"&gt;="&amp;DATE(YEAR($A130),MONTH($A130),1),$A$5:$A$800,"&lt;="&amp;$A130)+IF(AND(YEAR($A130)=YEAR(Settings!$B$3),MONTH($A130)=MONTH(Settings!$B$3)),Settings!$B$10,0))</f>
        <v/>
      </c>
      <c r="O130" s="78">
        <f>IF($A130="","",SUMIFS($K$5:$K$800,$A$5:$A$800,"&gt;="&amp;DATE(YEAR($A130),MONTH($A130),1),$A$5:$A$800,"&lt;="&amp;$A130)+IF(AND(YEAR($A130)=YEAR(Settings!$B$3),MONTH($A130)=MONTH(Settings!$B$3)),Settings!$B$11,0))</f>
        <v/>
      </c>
      <c r="P130" s="77">
        <f>IF($A130="","",SUMIFS($H$5:$H$800,$A$5:$A$800,"&gt;="&amp;DATE(YEAR($A130),MONTH($A130),1),$A$5:$A$800,"&lt;="&amp;$A130)+IF(AND(YEAR($A130)=YEAR(Settings!$B$3),MONTH($A130)=MONTH(Settings!$B$3)),Settings!$B$12,0))</f>
        <v/>
      </c>
      <c r="Q130" s="78">
        <f>IF($A130="","",SUMIFS($I$5:$I$800,$A$5:$A$800,"&gt;="&amp;DATE(YEAR($A130),MONTH($A130),1),$A$5:$A$800,"&lt;="&amp;$A130)+IF(AND(YEAR($A130)=YEAR(Settings!$B$3),MONTH($A130)=MONTH(Settings!$B$3)),Settings!$B$13,0))</f>
        <v/>
      </c>
      <c r="R130" s="77">
        <f>IF($A130="","",N130+P130)</f>
        <v/>
      </c>
      <c r="S130" s="78">
        <f>IF($A130="","",O130+Q130)</f>
        <v/>
      </c>
    </row>
    <row r="131">
      <c r="A131" s="67" t="n"/>
      <c r="B131" s="75" t="n"/>
      <c r="C131" s="76" t="n"/>
      <c r="D131" s="75" t="n"/>
      <c r="E131" s="76" t="n"/>
      <c r="F131" s="75" t="n"/>
      <c r="G131" s="76" t="n"/>
      <c r="H131" s="75" t="n"/>
      <c r="I131" s="76" t="n"/>
      <c r="J131" s="77">
        <f>IF($A131="","",B131+D131+F131)</f>
        <v/>
      </c>
      <c r="K131" s="78">
        <f>IF($A131="","",C131+E131+G131)</f>
        <v/>
      </c>
      <c r="L131" s="79">
        <f>IF($A131="","",J131+H131)</f>
        <v/>
      </c>
      <c r="M131" s="80">
        <f>IF($A131="","",K131+I131)</f>
        <v/>
      </c>
      <c r="N131" s="77">
        <f>IF($A131="","",SUMIFS($J$5:$J$800,$A$5:$A$800,"&gt;="&amp;DATE(YEAR($A131),MONTH($A131),1),$A$5:$A$800,"&lt;="&amp;$A131)+IF(AND(YEAR($A131)=YEAR(Settings!$B$3),MONTH($A131)=MONTH(Settings!$B$3)),Settings!$B$10,0))</f>
        <v/>
      </c>
      <c r="O131" s="78">
        <f>IF($A131="","",SUMIFS($K$5:$K$800,$A$5:$A$800,"&gt;="&amp;DATE(YEAR($A131),MONTH($A131),1),$A$5:$A$800,"&lt;="&amp;$A131)+IF(AND(YEAR($A131)=YEAR(Settings!$B$3),MONTH($A131)=MONTH(Settings!$B$3)),Settings!$B$11,0))</f>
        <v/>
      </c>
      <c r="P131" s="77">
        <f>IF($A131="","",SUMIFS($H$5:$H$800,$A$5:$A$800,"&gt;="&amp;DATE(YEAR($A131),MONTH($A131),1),$A$5:$A$800,"&lt;="&amp;$A131)+IF(AND(YEAR($A131)=YEAR(Settings!$B$3),MONTH($A131)=MONTH(Settings!$B$3)),Settings!$B$12,0))</f>
        <v/>
      </c>
      <c r="Q131" s="78">
        <f>IF($A131="","",SUMIFS($I$5:$I$800,$A$5:$A$800,"&gt;="&amp;DATE(YEAR($A131),MONTH($A131),1),$A$5:$A$800,"&lt;="&amp;$A131)+IF(AND(YEAR($A131)=YEAR(Settings!$B$3),MONTH($A131)=MONTH(Settings!$B$3)),Settings!$B$13,0))</f>
        <v/>
      </c>
      <c r="R131" s="77">
        <f>IF($A131="","",N131+P131)</f>
        <v/>
      </c>
      <c r="S131" s="78">
        <f>IF($A131="","",O131+Q131)</f>
        <v/>
      </c>
    </row>
    <row r="132">
      <c r="A132" s="67" t="n"/>
      <c r="B132" s="75" t="n"/>
      <c r="C132" s="76" t="n"/>
      <c r="D132" s="75" t="n"/>
      <c r="E132" s="76" t="n"/>
      <c r="F132" s="75" t="n"/>
      <c r="G132" s="76" t="n"/>
      <c r="H132" s="75" t="n"/>
      <c r="I132" s="76" t="n"/>
      <c r="J132" s="77">
        <f>IF($A132="","",B132+D132+F132)</f>
        <v/>
      </c>
      <c r="K132" s="78">
        <f>IF($A132="","",C132+E132+G132)</f>
        <v/>
      </c>
      <c r="L132" s="79">
        <f>IF($A132="","",J132+H132)</f>
        <v/>
      </c>
      <c r="M132" s="80">
        <f>IF($A132="","",K132+I132)</f>
        <v/>
      </c>
      <c r="N132" s="77">
        <f>IF($A132="","",SUMIFS($J$5:$J$800,$A$5:$A$800,"&gt;="&amp;DATE(YEAR($A132),MONTH($A132),1),$A$5:$A$800,"&lt;="&amp;$A132)+IF(AND(YEAR($A132)=YEAR(Settings!$B$3),MONTH($A132)=MONTH(Settings!$B$3)),Settings!$B$10,0))</f>
        <v/>
      </c>
      <c r="O132" s="78">
        <f>IF($A132="","",SUMIFS($K$5:$K$800,$A$5:$A$800,"&gt;="&amp;DATE(YEAR($A132),MONTH($A132),1),$A$5:$A$800,"&lt;="&amp;$A132)+IF(AND(YEAR($A132)=YEAR(Settings!$B$3),MONTH($A132)=MONTH(Settings!$B$3)),Settings!$B$11,0))</f>
        <v/>
      </c>
      <c r="P132" s="77">
        <f>IF($A132="","",SUMIFS($H$5:$H$800,$A$5:$A$800,"&gt;="&amp;DATE(YEAR($A132),MONTH($A132),1),$A$5:$A$800,"&lt;="&amp;$A132)+IF(AND(YEAR($A132)=YEAR(Settings!$B$3),MONTH($A132)=MONTH(Settings!$B$3)),Settings!$B$12,0))</f>
        <v/>
      </c>
      <c r="Q132" s="78">
        <f>IF($A132="","",SUMIFS($I$5:$I$800,$A$5:$A$800,"&gt;="&amp;DATE(YEAR($A132),MONTH($A132),1),$A$5:$A$800,"&lt;="&amp;$A132)+IF(AND(YEAR($A132)=YEAR(Settings!$B$3),MONTH($A132)=MONTH(Settings!$B$3)),Settings!$B$13,0))</f>
        <v/>
      </c>
      <c r="R132" s="77">
        <f>IF($A132="","",N132+P132)</f>
        <v/>
      </c>
      <c r="S132" s="78">
        <f>IF($A132="","",O132+Q132)</f>
        <v/>
      </c>
    </row>
    <row r="133">
      <c r="A133" s="67" t="n"/>
      <c r="B133" s="75" t="n"/>
      <c r="C133" s="76" t="n"/>
      <c r="D133" s="75" t="n"/>
      <c r="E133" s="76" t="n"/>
      <c r="F133" s="75" t="n"/>
      <c r="G133" s="76" t="n"/>
      <c r="H133" s="75" t="n"/>
      <c r="I133" s="76" t="n"/>
      <c r="J133" s="77">
        <f>IF($A133="","",B133+D133+F133)</f>
        <v/>
      </c>
      <c r="K133" s="78">
        <f>IF($A133="","",C133+E133+G133)</f>
        <v/>
      </c>
      <c r="L133" s="79">
        <f>IF($A133="","",J133+H133)</f>
        <v/>
      </c>
      <c r="M133" s="80">
        <f>IF($A133="","",K133+I133)</f>
        <v/>
      </c>
      <c r="N133" s="77">
        <f>IF($A133="","",SUMIFS($J$5:$J$800,$A$5:$A$800,"&gt;="&amp;DATE(YEAR($A133),MONTH($A133),1),$A$5:$A$800,"&lt;="&amp;$A133)+IF(AND(YEAR($A133)=YEAR(Settings!$B$3),MONTH($A133)=MONTH(Settings!$B$3)),Settings!$B$10,0))</f>
        <v/>
      </c>
      <c r="O133" s="78">
        <f>IF($A133="","",SUMIFS($K$5:$K$800,$A$5:$A$800,"&gt;="&amp;DATE(YEAR($A133),MONTH($A133),1),$A$5:$A$800,"&lt;="&amp;$A133)+IF(AND(YEAR($A133)=YEAR(Settings!$B$3),MONTH($A133)=MONTH(Settings!$B$3)),Settings!$B$11,0))</f>
        <v/>
      </c>
      <c r="P133" s="77">
        <f>IF($A133="","",SUMIFS($H$5:$H$800,$A$5:$A$800,"&gt;="&amp;DATE(YEAR($A133),MONTH($A133),1),$A$5:$A$800,"&lt;="&amp;$A133)+IF(AND(YEAR($A133)=YEAR(Settings!$B$3),MONTH($A133)=MONTH(Settings!$B$3)),Settings!$B$12,0))</f>
        <v/>
      </c>
      <c r="Q133" s="78">
        <f>IF($A133="","",SUMIFS($I$5:$I$800,$A$5:$A$800,"&gt;="&amp;DATE(YEAR($A133),MONTH($A133),1),$A$5:$A$800,"&lt;="&amp;$A133)+IF(AND(YEAR($A133)=YEAR(Settings!$B$3),MONTH($A133)=MONTH(Settings!$B$3)),Settings!$B$13,0))</f>
        <v/>
      </c>
      <c r="R133" s="77">
        <f>IF($A133="","",N133+P133)</f>
        <v/>
      </c>
      <c r="S133" s="78">
        <f>IF($A133="","",O133+Q133)</f>
        <v/>
      </c>
    </row>
    <row r="134">
      <c r="A134" s="67" t="n"/>
      <c r="B134" s="75" t="n"/>
      <c r="C134" s="76" t="n"/>
      <c r="D134" s="75" t="n"/>
      <c r="E134" s="76" t="n"/>
      <c r="F134" s="75" t="n"/>
      <c r="G134" s="76" t="n"/>
      <c r="H134" s="75" t="n"/>
      <c r="I134" s="76" t="n"/>
      <c r="J134" s="77">
        <f>IF($A134="","",B134+D134+F134)</f>
        <v/>
      </c>
      <c r="K134" s="78">
        <f>IF($A134="","",C134+E134+G134)</f>
        <v/>
      </c>
      <c r="L134" s="79">
        <f>IF($A134="","",J134+H134)</f>
        <v/>
      </c>
      <c r="M134" s="80">
        <f>IF($A134="","",K134+I134)</f>
        <v/>
      </c>
      <c r="N134" s="77">
        <f>IF($A134="","",SUMIFS($J$5:$J$800,$A$5:$A$800,"&gt;="&amp;DATE(YEAR($A134),MONTH($A134),1),$A$5:$A$800,"&lt;="&amp;$A134)+IF(AND(YEAR($A134)=YEAR(Settings!$B$3),MONTH($A134)=MONTH(Settings!$B$3)),Settings!$B$10,0))</f>
        <v/>
      </c>
      <c r="O134" s="78">
        <f>IF($A134="","",SUMIFS($K$5:$K$800,$A$5:$A$800,"&gt;="&amp;DATE(YEAR($A134),MONTH($A134),1),$A$5:$A$800,"&lt;="&amp;$A134)+IF(AND(YEAR($A134)=YEAR(Settings!$B$3),MONTH($A134)=MONTH(Settings!$B$3)),Settings!$B$11,0))</f>
        <v/>
      </c>
      <c r="P134" s="77">
        <f>IF($A134="","",SUMIFS($H$5:$H$800,$A$5:$A$800,"&gt;="&amp;DATE(YEAR($A134),MONTH($A134),1),$A$5:$A$800,"&lt;="&amp;$A134)+IF(AND(YEAR($A134)=YEAR(Settings!$B$3),MONTH($A134)=MONTH(Settings!$B$3)),Settings!$B$12,0))</f>
        <v/>
      </c>
      <c r="Q134" s="78">
        <f>IF($A134="","",SUMIFS($I$5:$I$800,$A$5:$A$800,"&gt;="&amp;DATE(YEAR($A134),MONTH($A134),1),$A$5:$A$800,"&lt;="&amp;$A134)+IF(AND(YEAR($A134)=YEAR(Settings!$B$3),MONTH($A134)=MONTH(Settings!$B$3)),Settings!$B$13,0))</f>
        <v/>
      </c>
      <c r="R134" s="77">
        <f>IF($A134="","",N134+P134)</f>
        <v/>
      </c>
      <c r="S134" s="78">
        <f>IF($A134="","",O134+Q134)</f>
        <v/>
      </c>
    </row>
    <row r="135">
      <c r="A135" s="67" t="n"/>
      <c r="B135" s="75" t="n"/>
      <c r="C135" s="76" t="n"/>
      <c r="D135" s="75" t="n"/>
      <c r="E135" s="76" t="n"/>
      <c r="F135" s="75" t="n"/>
      <c r="G135" s="76" t="n"/>
      <c r="H135" s="75" t="n"/>
      <c r="I135" s="76" t="n"/>
      <c r="J135" s="77">
        <f>IF($A135="","",B135+D135+F135)</f>
        <v/>
      </c>
      <c r="K135" s="78">
        <f>IF($A135="","",C135+E135+G135)</f>
        <v/>
      </c>
      <c r="L135" s="79">
        <f>IF($A135="","",J135+H135)</f>
        <v/>
      </c>
      <c r="M135" s="80">
        <f>IF($A135="","",K135+I135)</f>
        <v/>
      </c>
      <c r="N135" s="77">
        <f>IF($A135="","",SUMIFS($J$5:$J$800,$A$5:$A$800,"&gt;="&amp;DATE(YEAR($A135),MONTH($A135),1),$A$5:$A$800,"&lt;="&amp;$A135)+IF(AND(YEAR($A135)=YEAR(Settings!$B$3),MONTH($A135)=MONTH(Settings!$B$3)),Settings!$B$10,0))</f>
        <v/>
      </c>
      <c r="O135" s="78">
        <f>IF($A135="","",SUMIFS($K$5:$K$800,$A$5:$A$800,"&gt;="&amp;DATE(YEAR($A135),MONTH($A135),1),$A$5:$A$800,"&lt;="&amp;$A135)+IF(AND(YEAR($A135)=YEAR(Settings!$B$3),MONTH($A135)=MONTH(Settings!$B$3)),Settings!$B$11,0))</f>
        <v/>
      </c>
      <c r="P135" s="77">
        <f>IF($A135="","",SUMIFS($H$5:$H$800,$A$5:$A$800,"&gt;="&amp;DATE(YEAR($A135),MONTH($A135),1),$A$5:$A$800,"&lt;="&amp;$A135)+IF(AND(YEAR($A135)=YEAR(Settings!$B$3),MONTH($A135)=MONTH(Settings!$B$3)),Settings!$B$12,0))</f>
        <v/>
      </c>
      <c r="Q135" s="78">
        <f>IF($A135="","",SUMIFS($I$5:$I$800,$A$5:$A$800,"&gt;="&amp;DATE(YEAR($A135),MONTH($A135),1),$A$5:$A$800,"&lt;="&amp;$A135)+IF(AND(YEAR($A135)=YEAR(Settings!$B$3),MONTH($A135)=MONTH(Settings!$B$3)),Settings!$B$13,0))</f>
        <v/>
      </c>
      <c r="R135" s="77">
        <f>IF($A135="","",N135+P135)</f>
        <v/>
      </c>
      <c r="S135" s="78">
        <f>IF($A135="","",O135+Q135)</f>
        <v/>
      </c>
    </row>
    <row r="136">
      <c r="A136" s="67" t="n"/>
      <c r="B136" s="75" t="n"/>
      <c r="C136" s="76" t="n"/>
      <c r="D136" s="75" t="n"/>
      <c r="E136" s="76" t="n"/>
      <c r="F136" s="75" t="n"/>
      <c r="G136" s="76" t="n"/>
      <c r="H136" s="75" t="n"/>
      <c r="I136" s="76" t="n"/>
      <c r="J136" s="77">
        <f>IF($A136="","",B136+D136+F136)</f>
        <v/>
      </c>
      <c r="K136" s="78">
        <f>IF($A136="","",C136+E136+G136)</f>
        <v/>
      </c>
      <c r="L136" s="79">
        <f>IF($A136="","",J136+H136)</f>
        <v/>
      </c>
      <c r="M136" s="80">
        <f>IF($A136="","",K136+I136)</f>
        <v/>
      </c>
      <c r="N136" s="77">
        <f>IF($A136="","",SUMIFS($J$5:$J$800,$A$5:$A$800,"&gt;="&amp;DATE(YEAR($A136),MONTH($A136),1),$A$5:$A$800,"&lt;="&amp;$A136)+IF(AND(YEAR($A136)=YEAR(Settings!$B$3),MONTH($A136)=MONTH(Settings!$B$3)),Settings!$B$10,0))</f>
        <v/>
      </c>
      <c r="O136" s="78">
        <f>IF($A136="","",SUMIFS($K$5:$K$800,$A$5:$A$800,"&gt;="&amp;DATE(YEAR($A136),MONTH($A136),1),$A$5:$A$800,"&lt;="&amp;$A136)+IF(AND(YEAR($A136)=YEAR(Settings!$B$3),MONTH($A136)=MONTH(Settings!$B$3)),Settings!$B$11,0))</f>
        <v/>
      </c>
      <c r="P136" s="77">
        <f>IF($A136="","",SUMIFS($H$5:$H$800,$A$5:$A$800,"&gt;="&amp;DATE(YEAR($A136),MONTH($A136),1),$A$5:$A$800,"&lt;="&amp;$A136)+IF(AND(YEAR($A136)=YEAR(Settings!$B$3),MONTH($A136)=MONTH(Settings!$B$3)),Settings!$B$12,0))</f>
        <v/>
      </c>
      <c r="Q136" s="78">
        <f>IF($A136="","",SUMIFS($I$5:$I$800,$A$5:$A$800,"&gt;="&amp;DATE(YEAR($A136),MONTH($A136),1),$A$5:$A$800,"&lt;="&amp;$A136)+IF(AND(YEAR($A136)=YEAR(Settings!$B$3),MONTH($A136)=MONTH(Settings!$B$3)),Settings!$B$13,0))</f>
        <v/>
      </c>
      <c r="R136" s="77">
        <f>IF($A136="","",N136+P136)</f>
        <v/>
      </c>
      <c r="S136" s="78">
        <f>IF($A136="","",O136+Q136)</f>
        <v/>
      </c>
    </row>
    <row r="137">
      <c r="A137" s="67" t="n"/>
      <c r="B137" s="75" t="n"/>
      <c r="C137" s="76" t="n"/>
      <c r="D137" s="75" t="n"/>
      <c r="E137" s="76" t="n"/>
      <c r="F137" s="75" t="n"/>
      <c r="G137" s="76" t="n"/>
      <c r="H137" s="75" t="n"/>
      <c r="I137" s="76" t="n"/>
      <c r="J137" s="77">
        <f>IF($A137="","",B137+D137+F137)</f>
        <v/>
      </c>
      <c r="K137" s="78">
        <f>IF($A137="","",C137+E137+G137)</f>
        <v/>
      </c>
      <c r="L137" s="79">
        <f>IF($A137="","",J137+H137)</f>
        <v/>
      </c>
      <c r="M137" s="80">
        <f>IF($A137="","",K137+I137)</f>
        <v/>
      </c>
      <c r="N137" s="77">
        <f>IF($A137="","",SUMIFS($J$5:$J$800,$A$5:$A$800,"&gt;="&amp;DATE(YEAR($A137),MONTH($A137),1),$A$5:$A$800,"&lt;="&amp;$A137)+IF(AND(YEAR($A137)=YEAR(Settings!$B$3),MONTH($A137)=MONTH(Settings!$B$3)),Settings!$B$10,0))</f>
        <v/>
      </c>
      <c r="O137" s="78">
        <f>IF($A137="","",SUMIFS($K$5:$K$800,$A$5:$A$800,"&gt;="&amp;DATE(YEAR($A137),MONTH($A137),1),$A$5:$A$800,"&lt;="&amp;$A137)+IF(AND(YEAR($A137)=YEAR(Settings!$B$3),MONTH($A137)=MONTH(Settings!$B$3)),Settings!$B$11,0))</f>
        <v/>
      </c>
      <c r="P137" s="77">
        <f>IF($A137="","",SUMIFS($H$5:$H$800,$A$5:$A$800,"&gt;="&amp;DATE(YEAR($A137),MONTH($A137),1),$A$5:$A$800,"&lt;="&amp;$A137)+IF(AND(YEAR($A137)=YEAR(Settings!$B$3),MONTH($A137)=MONTH(Settings!$B$3)),Settings!$B$12,0))</f>
        <v/>
      </c>
      <c r="Q137" s="78">
        <f>IF($A137="","",SUMIFS($I$5:$I$800,$A$5:$A$800,"&gt;="&amp;DATE(YEAR($A137),MONTH($A137),1),$A$5:$A$800,"&lt;="&amp;$A137)+IF(AND(YEAR($A137)=YEAR(Settings!$B$3),MONTH($A137)=MONTH(Settings!$B$3)),Settings!$B$13,0))</f>
        <v/>
      </c>
      <c r="R137" s="77">
        <f>IF($A137="","",N137+P137)</f>
        <v/>
      </c>
      <c r="S137" s="78">
        <f>IF($A137="","",O137+Q137)</f>
        <v/>
      </c>
    </row>
    <row r="138">
      <c r="A138" s="67" t="n"/>
      <c r="B138" s="75" t="n"/>
      <c r="C138" s="76" t="n"/>
      <c r="D138" s="75" t="n"/>
      <c r="E138" s="76" t="n"/>
      <c r="F138" s="75" t="n"/>
      <c r="G138" s="76" t="n"/>
      <c r="H138" s="75" t="n"/>
      <c r="I138" s="76" t="n"/>
      <c r="J138" s="77">
        <f>IF($A138="","",B138+D138+F138)</f>
        <v/>
      </c>
      <c r="K138" s="78">
        <f>IF($A138="","",C138+E138+G138)</f>
        <v/>
      </c>
      <c r="L138" s="79">
        <f>IF($A138="","",J138+H138)</f>
        <v/>
      </c>
      <c r="M138" s="80">
        <f>IF($A138="","",K138+I138)</f>
        <v/>
      </c>
      <c r="N138" s="77">
        <f>IF($A138="","",SUMIFS($J$5:$J$800,$A$5:$A$800,"&gt;="&amp;DATE(YEAR($A138),MONTH($A138),1),$A$5:$A$800,"&lt;="&amp;$A138)+IF(AND(YEAR($A138)=YEAR(Settings!$B$3),MONTH($A138)=MONTH(Settings!$B$3)),Settings!$B$10,0))</f>
        <v/>
      </c>
      <c r="O138" s="78">
        <f>IF($A138="","",SUMIFS($K$5:$K$800,$A$5:$A$800,"&gt;="&amp;DATE(YEAR($A138),MONTH($A138),1),$A$5:$A$800,"&lt;="&amp;$A138)+IF(AND(YEAR($A138)=YEAR(Settings!$B$3),MONTH($A138)=MONTH(Settings!$B$3)),Settings!$B$11,0))</f>
        <v/>
      </c>
      <c r="P138" s="77">
        <f>IF($A138="","",SUMIFS($H$5:$H$800,$A$5:$A$800,"&gt;="&amp;DATE(YEAR($A138),MONTH($A138),1),$A$5:$A$800,"&lt;="&amp;$A138)+IF(AND(YEAR($A138)=YEAR(Settings!$B$3),MONTH($A138)=MONTH(Settings!$B$3)),Settings!$B$12,0))</f>
        <v/>
      </c>
      <c r="Q138" s="78">
        <f>IF($A138="","",SUMIFS($I$5:$I$800,$A$5:$A$800,"&gt;="&amp;DATE(YEAR($A138),MONTH($A138),1),$A$5:$A$800,"&lt;="&amp;$A138)+IF(AND(YEAR($A138)=YEAR(Settings!$B$3),MONTH($A138)=MONTH(Settings!$B$3)),Settings!$B$13,0))</f>
        <v/>
      </c>
      <c r="R138" s="77">
        <f>IF($A138="","",N138+P138)</f>
        <v/>
      </c>
      <c r="S138" s="78">
        <f>IF($A138="","",O138+Q138)</f>
        <v/>
      </c>
    </row>
    <row r="139">
      <c r="A139" s="67" t="n"/>
      <c r="B139" s="75" t="n"/>
      <c r="C139" s="76" t="n"/>
      <c r="D139" s="75" t="n"/>
      <c r="E139" s="76" t="n"/>
      <c r="F139" s="75" t="n"/>
      <c r="G139" s="76" t="n"/>
      <c r="H139" s="75" t="n"/>
      <c r="I139" s="76" t="n"/>
      <c r="J139" s="77">
        <f>IF($A139="","",B139+D139+F139)</f>
        <v/>
      </c>
      <c r="K139" s="78">
        <f>IF($A139="","",C139+E139+G139)</f>
        <v/>
      </c>
      <c r="L139" s="79">
        <f>IF($A139="","",J139+H139)</f>
        <v/>
      </c>
      <c r="M139" s="80">
        <f>IF($A139="","",K139+I139)</f>
        <v/>
      </c>
      <c r="N139" s="77">
        <f>IF($A139="","",SUMIFS($J$5:$J$800,$A$5:$A$800,"&gt;="&amp;DATE(YEAR($A139),MONTH($A139),1),$A$5:$A$800,"&lt;="&amp;$A139)+IF(AND(YEAR($A139)=YEAR(Settings!$B$3),MONTH($A139)=MONTH(Settings!$B$3)),Settings!$B$10,0))</f>
        <v/>
      </c>
      <c r="O139" s="78">
        <f>IF($A139="","",SUMIFS($K$5:$K$800,$A$5:$A$800,"&gt;="&amp;DATE(YEAR($A139),MONTH($A139),1),$A$5:$A$800,"&lt;="&amp;$A139)+IF(AND(YEAR($A139)=YEAR(Settings!$B$3),MONTH($A139)=MONTH(Settings!$B$3)),Settings!$B$11,0))</f>
        <v/>
      </c>
      <c r="P139" s="77">
        <f>IF($A139="","",SUMIFS($H$5:$H$800,$A$5:$A$800,"&gt;="&amp;DATE(YEAR($A139),MONTH($A139),1),$A$5:$A$800,"&lt;="&amp;$A139)+IF(AND(YEAR($A139)=YEAR(Settings!$B$3),MONTH($A139)=MONTH(Settings!$B$3)),Settings!$B$12,0))</f>
        <v/>
      </c>
      <c r="Q139" s="78">
        <f>IF($A139="","",SUMIFS($I$5:$I$800,$A$5:$A$800,"&gt;="&amp;DATE(YEAR($A139),MONTH($A139),1),$A$5:$A$800,"&lt;="&amp;$A139)+IF(AND(YEAR($A139)=YEAR(Settings!$B$3),MONTH($A139)=MONTH(Settings!$B$3)),Settings!$B$13,0))</f>
        <v/>
      </c>
      <c r="R139" s="77">
        <f>IF($A139="","",N139+P139)</f>
        <v/>
      </c>
      <c r="S139" s="78">
        <f>IF($A139="","",O139+Q139)</f>
        <v/>
      </c>
    </row>
    <row r="140">
      <c r="A140" s="67" t="n"/>
      <c r="B140" s="75" t="n"/>
      <c r="C140" s="76" t="n"/>
      <c r="D140" s="75" t="n"/>
      <c r="E140" s="76" t="n"/>
      <c r="F140" s="75" t="n"/>
      <c r="G140" s="76" t="n"/>
      <c r="H140" s="75" t="n"/>
      <c r="I140" s="76" t="n"/>
      <c r="J140" s="77">
        <f>IF($A140="","",B140+D140+F140)</f>
        <v/>
      </c>
      <c r="K140" s="78">
        <f>IF($A140="","",C140+E140+G140)</f>
        <v/>
      </c>
      <c r="L140" s="79">
        <f>IF($A140="","",J140+H140)</f>
        <v/>
      </c>
      <c r="M140" s="80">
        <f>IF($A140="","",K140+I140)</f>
        <v/>
      </c>
      <c r="N140" s="77">
        <f>IF($A140="","",SUMIFS($J$5:$J$800,$A$5:$A$800,"&gt;="&amp;DATE(YEAR($A140),MONTH($A140),1),$A$5:$A$800,"&lt;="&amp;$A140)+IF(AND(YEAR($A140)=YEAR(Settings!$B$3),MONTH($A140)=MONTH(Settings!$B$3)),Settings!$B$10,0))</f>
        <v/>
      </c>
      <c r="O140" s="78">
        <f>IF($A140="","",SUMIFS($K$5:$K$800,$A$5:$A$800,"&gt;="&amp;DATE(YEAR($A140),MONTH($A140),1),$A$5:$A$800,"&lt;="&amp;$A140)+IF(AND(YEAR($A140)=YEAR(Settings!$B$3),MONTH($A140)=MONTH(Settings!$B$3)),Settings!$B$11,0))</f>
        <v/>
      </c>
      <c r="P140" s="77">
        <f>IF($A140="","",SUMIFS($H$5:$H$800,$A$5:$A$800,"&gt;="&amp;DATE(YEAR($A140),MONTH($A140),1),$A$5:$A$800,"&lt;="&amp;$A140)+IF(AND(YEAR($A140)=YEAR(Settings!$B$3),MONTH($A140)=MONTH(Settings!$B$3)),Settings!$B$12,0))</f>
        <v/>
      </c>
      <c r="Q140" s="78">
        <f>IF($A140="","",SUMIFS($I$5:$I$800,$A$5:$A$800,"&gt;="&amp;DATE(YEAR($A140),MONTH($A140),1),$A$5:$A$800,"&lt;="&amp;$A140)+IF(AND(YEAR($A140)=YEAR(Settings!$B$3),MONTH($A140)=MONTH(Settings!$B$3)),Settings!$B$13,0))</f>
        <v/>
      </c>
      <c r="R140" s="77">
        <f>IF($A140="","",N140+P140)</f>
        <v/>
      </c>
      <c r="S140" s="78">
        <f>IF($A140="","",O140+Q140)</f>
        <v/>
      </c>
    </row>
    <row r="141">
      <c r="A141" s="67" t="n"/>
      <c r="B141" s="75" t="n"/>
      <c r="C141" s="76" t="n"/>
      <c r="D141" s="75" t="n"/>
      <c r="E141" s="76" t="n"/>
      <c r="F141" s="75" t="n"/>
      <c r="G141" s="76" t="n"/>
      <c r="H141" s="75" t="n"/>
      <c r="I141" s="76" t="n"/>
      <c r="J141" s="77">
        <f>IF($A141="","",B141+D141+F141)</f>
        <v/>
      </c>
      <c r="K141" s="78">
        <f>IF($A141="","",C141+E141+G141)</f>
        <v/>
      </c>
      <c r="L141" s="79">
        <f>IF($A141="","",J141+H141)</f>
        <v/>
      </c>
      <c r="M141" s="80">
        <f>IF($A141="","",K141+I141)</f>
        <v/>
      </c>
      <c r="N141" s="77">
        <f>IF($A141="","",SUMIFS($J$5:$J$800,$A$5:$A$800,"&gt;="&amp;DATE(YEAR($A141),MONTH($A141),1),$A$5:$A$800,"&lt;="&amp;$A141)+IF(AND(YEAR($A141)=YEAR(Settings!$B$3),MONTH($A141)=MONTH(Settings!$B$3)),Settings!$B$10,0))</f>
        <v/>
      </c>
      <c r="O141" s="78">
        <f>IF($A141="","",SUMIFS($K$5:$K$800,$A$5:$A$800,"&gt;="&amp;DATE(YEAR($A141),MONTH($A141),1),$A$5:$A$800,"&lt;="&amp;$A141)+IF(AND(YEAR($A141)=YEAR(Settings!$B$3),MONTH($A141)=MONTH(Settings!$B$3)),Settings!$B$11,0))</f>
        <v/>
      </c>
      <c r="P141" s="77">
        <f>IF($A141="","",SUMIFS($H$5:$H$800,$A$5:$A$800,"&gt;="&amp;DATE(YEAR($A141),MONTH($A141),1),$A$5:$A$800,"&lt;="&amp;$A141)+IF(AND(YEAR($A141)=YEAR(Settings!$B$3),MONTH($A141)=MONTH(Settings!$B$3)),Settings!$B$12,0))</f>
        <v/>
      </c>
      <c r="Q141" s="78">
        <f>IF($A141="","",SUMIFS($I$5:$I$800,$A$5:$A$800,"&gt;="&amp;DATE(YEAR($A141),MONTH($A141),1),$A$5:$A$800,"&lt;="&amp;$A141)+IF(AND(YEAR($A141)=YEAR(Settings!$B$3),MONTH($A141)=MONTH(Settings!$B$3)),Settings!$B$13,0))</f>
        <v/>
      </c>
      <c r="R141" s="77">
        <f>IF($A141="","",N141+P141)</f>
        <v/>
      </c>
      <c r="S141" s="78">
        <f>IF($A141="","",O141+Q141)</f>
        <v/>
      </c>
    </row>
    <row r="142">
      <c r="A142" s="67" t="n"/>
      <c r="B142" s="75" t="n"/>
      <c r="C142" s="76" t="n"/>
      <c r="D142" s="75" t="n"/>
      <c r="E142" s="76" t="n"/>
      <c r="F142" s="75" t="n"/>
      <c r="G142" s="76" t="n"/>
      <c r="H142" s="75" t="n"/>
      <c r="I142" s="76" t="n"/>
      <c r="J142" s="77">
        <f>IF($A142="","",B142+D142+F142)</f>
        <v/>
      </c>
      <c r="K142" s="78">
        <f>IF($A142="","",C142+E142+G142)</f>
        <v/>
      </c>
      <c r="L142" s="79">
        <f>IF($A142="","",J142+H142)</f>
        <v/>
      </c>
      <c r="M142" s="80">
        <f>IF($A142="","",K142+I142)</f>
        <v/>
      </c>
      <c r="N142" s="77">
        <f>IF($A142="","",SUMIFS($J$5:$J$800,$A$5:$A$800,"&gt;="&amp;DATE(YEAR($A142),MONTH($A142),1),$A$5:$A$800,"&lt;="&amp;$A142)+IF(AND(YEAR($A142)=YEAR(Settings!$B$3),MONTH($A142)=MONTH(Settings!$B$3)),Settings!$B$10,0))</f>
        <v/>
      </c>
      <c r="O142" s="78">
        <f>IF($A142="","",SUMIFS($K$5:$K$800,$A$5:$A$800,"&gt;="&amp;DATE(YEAR($A142),MONTH($A142),1),$A$5:$A$800,"&lt;="&amp;$A142)+IF(AND(YEAR($A142)=YEAR(Settings!$B$3),MONTH($A142)=MONTH(Settings!$B$3)),Settings!$B$11,0))</f>
        <v/>
      </c>
      <c r="P142" s="77">
        <f>IF($A142="","",SUMIFS($H$5:$H$800,$A$5:$A$800,"&gt;="&amp;DATE(YEAR($A142),MONTH($A142),1),$A$5:$A$800,"&lt;="&amp;$A142)+IF(AND(YEAR($A142)=YEAR(Settings!$B$3),MONTH($A142)=MONTH(Settings!$B$3)),Settings!$B$12,0))</f>
        <v/>
      </c>
      <c r="Q142" s="78">
        <f>IF($A142="","",SUMIFS($I$5:$I$800,$A$5:$A$800,"&gt;="&amp;DATE(YEAR($A142),MONTH($A142),1),$A$5:$A$800,"&lt;="&amp;$A142)+IF(AND(YEAR($A142)=YEAR(Settings!$B$3),MONTH($A142)=MONTH(Settings!$B$3)),Settings!$B$13,0))</f>
        <v/>
      </c>
      <c r="R142" s="77">
        <f>IF($A142="","",N142+P142)</f>
        <v/>
      </c>
      <c r="S142" s="78">
        <f>IF($A142="","",O142+Q142)</f>
        <v/>
      </c>
    </row>
    <row r="143">
      <c r="A143" s="67" t="n"/>
      <c r="B143" s="75" t="n"/>
      <c r="C143" s="76" t="n"/>
      <c r="D143" s="75" t="n"/>
      <c r="E143" s="76" t="n"/>
      <c r="F143" s="75" t="n"/>
      <c r="G143" s="76" t="n"/>
      <c r="H143" s="75" t="n"/>
      <c r="I143" s="76" t="n"/>
      <c r="J143" s="77">
        <f>IF($A143="","",B143+D143+F143)</f>
        <v/>
      </c>
      <c r="K143" s="78">
        <f>IF($A143="","",C143+E143+G143)</f>
        <v/>
      </c>
      <c r="L143" s="79">
        <f>IF($A143="","",J143+H143)</f>
        <v/>
      </c>
      <c r="M143" s="80">
        <f>IF($A143="","",K143+I143)</f>
        <v/>
      </c>
      <c r="N143" s="77">
        <f>IF($A143="","",SUMIFS($J$5:$J$800,$A$5:$A$800,"&gt;="&amp;DATE(YEAR($A143),MONTH($A143),1),$A$5:$A$800,"&lt;="&amp;$A143)+IF(AND(YEAR($A143)=YEAR(Settings!$B$3),MONTH($A143)=MONTH(Settings!$B$3)),Settings!$B$10,0))</f>
        <v/>
      </c>
      <c r="O143" s="78">
        <f>IF($A143="","",SUMIFS($K$5:$K$800,$A$5:$A$800,"&gt;="&amp;DATE(YEAR($A143),MONTH($A143),1),$A$5:$A$800,"&lt;="&amp;$A143)+IF(AND(YEAR($A143)=YEAR(Settings!$B$3),MONTH($A143)=MONTH(Settings!$B$3)),Settings!$B$11,0))</f>
        <v/>
      </c>
      <c r="P143" s="77">
        <f>IF($A143="","",SUMIFS($H$5:$H$800,$A$5:$A$800,"&gt;="&amp;DATE(YEAR($A143),MONTH($A143),1),$A$5:$A$800,"&lt;="&amp;$A143)+IF(AND(YEAR($A143)=YEAR(Settings!$B$3),MONTH($A143)=MONTH(Settings!$B$3)),Settings!$B$12,0))</f>
        <v/>
      </c>
      <c r="Q143" s="78">
        <f>IF($A143="","",SUMIFS($I$5:$I$800,$A$5:$A$800,"&gt;="&amp;DATE(YEAR($A143),MONTH($A143),1),$A$5:$A$800,"&lt;="&amp;$A143)+IF(AND(YEAR($A143)=YEAR(Settings!$B$3),MONTH($A143)=MONTH(Settings!$B$3)),Settings!$B$13,0))</f>
        <v/>
      </c>
      <c r="R143" s="77">
        <f>IF($A143="","",N143+P143)</f>
        <v/>
      </c>
      <c r="S143" s="78">
        <f>IF($A143="","",O143+Q143)</f>
        <v/>
      </c>
    </row>
    <row r="144">
      <c r="A144" s="67" t="n"/>
      <c r="B144" s="75" t="n"/>
      <c r="C144" s="76" t="n"/>
      <c r="D144" s="75" t="n"/>
      <c r="E144" s="76" t="n"/>
      <c r="F144" s="75" t="n"/>
      <c r="G144" s="76" t="n"/>
      <c r="H144" s="75" t="n"/>
      <c r="I144" s="76" t="n"/>
      <c r="J144" s="77">
        <f>IF($A144="","",B144+D144+F144)</f>
        <v/>
      </c>
      <c r="K144" s="78">
        <f>IF($A144="","",C144+E144+G144)</f>
        <v/>
      </c>
      <c r="L144" s="79">
        <f>IF($A144="","",J144+H144)</f>
        <v/>
      </c>
      <c r="M144" s="80">
        <f>IF($A144="","",K144+I144)</f>
        <v/>
      </c>
      <c r="N144" s="77">
        <f>IF($A144="","",SUMIFS($J$5:$J$800,$A$5:$A$800,"&gt;="&amp;DATE(YEAR($A144),MONTH($A144),1),$A$5:$A$800,"&lt;="&amp;$A144)+IF(AND(YEAR($A144)=YEAR(Settings!$B$3),MONTH($A144)=MONTH(Settings!$B$3)),Settings!$B$10,0))</f>
        <v/>
      </c>
      <c r="O144" s="78">
        <f>IF($A144="","",SUMIFS($K$5:$K$800,$A$5:$A$800,"&gt;="&amp;DATE(YEAR($A144),MONTH($A144),1),$A$5:$A$800,"&lt;="&amp;$A144)+IF(AND(YEAR($A144)=YEAR(Settings!$B$3),MONTH($A144)=MONTH(Settings!$B$3)),Settings!$B$11,0))</f>
        <v/>
      </c>
      <c r="P144" s="77">
        <f>IF($A144="","",SUMIFS($H$5:$H$800,$A$5:$A$800,"&gt;="&amp;DATE(YEAR($A144),MONTH($A144),1),$A$5:$A$800,"&lt;="&amp;$A144)+IF(AND(YEAR($A144)=YEAR(Settings!$B$3),MONTH($A144)=MONTH(Settings!$B$3)),Settings!$B$12,0))</f>
        <v/>
      </c>
      <c r="Q144" s="78">
        <f>IF($A144="","",SUMIFS($I$5:$I$800,$A$5:$A$800,"&gt;="&amp;DATE(YEAR($A144),MONTH($A144),1),$A$5:$A$800,"&lt;="&amp;$A144)+IF(AND(YEAR($A144)=YEAR(Settings!$B$3),MONTH($A144)=MONTH(Settings!$B$3)),Settings!$B$13,0))</f>
        <v/>
      </c>
      <c r="R144" s="77">
        <f>IF($A144="","",N144+P144)</f>
        <v/>
      </c>
      <c r="S144" s="78">
        <f>IF($A144="","",O144+Q144)</f>
        <v/>
      </c>
    </row>
    <row r="145">
      <c r="A145" s="67" t="n"/>
      <c r="B145" s="75" t="n"/>
      <c r="C145" s="76" t="n"/>
      <c r="D145" s="75" t="n"/>
      <c r="E145" s="76" t="n"/>
      <c r="F145" s="75" t="n"/>
      <c r="G145" s="76" t="n"/>
      <c r="H145" s="75" t="n"/>
      <c r="I145" s="76" t="n"/>
      <c r="J145" s="77">
        <f>IF($A145="","",B145+D145+F145)</f>
        <v/>
      </c>
      <c r="K145" s="78">
        <f>IF($A145="","",C145+E145+G145)</f>
        <v/>
      </c>
      <c r="L145" s="79">
        <f>IF($A145="","",J145+H145)</f>
        <v/>
      </c>
      <c r="M145" s="80">
        <f>IF($A145="","",K145+I145)</f>
        <v/>
      </c>
      <c r="N145" s="77">
        <f>IF($A145="","",SUMIFS($J$5:$J$800,$A$5:$A$800,"&gt;="&amp;DATE(YEAR($A145),MONTH($A145),1),$A$5:$A$800,"&lt;="&amp;$A145)+IF(AND(YEAR($A145)=YEAR(Settings!$B$3),MONTH($A145)=MONTH(Settings!$B$3)),Settings!$B$10,0))</f>
        <v/>
      </c>
      <c r="O145" s="78">
        <f>IF($A145="","",SUMIFS($K$5:$K$800,$A$5:$A$800,"&gt;="&amp;DATE(YEAR($A145),MONTH($A145),1),$A$5:$A$800,"&lt;="&amp;$A145)+IF(AND(YEAR($A145)=YEAR(Settings!$B$3),MONTH($A145)=MONTH(Settings!$B$3)),Settings!$B$11,0))</f>
        <v/>
      </c>
      <c r="P145" s="77">
        <f>IF($A145="","",SUMIFS($H$5:$H$800,$A$5:$A$800,"&gt;="&amp;DATE(YEAR($A145),MONTH($A145),1),$A$5:$A$800,"&lt;="&amp;$A145)+IF(AND(YEAR($A145)=YEAR(Settings!$B$3),MONTH($A145)=MONTH(Settings!$B$3)),Settings!$B$12,0))</f>
        <v/>
      </c>
      <c r="Q145" s="78">
        <f>IF($A145="","",SUMIFS($I$5:$I$800,$A$5:$A$800,"&gt;="&amp;DATE(YEAR($A145),MONTH($A145),1),$A$5:$A$800,"&lt;="&amp;$A145)+IF(AND(YEAR($A145)=YEAR(Settings!$B$3),MONTH($A145)=MONTH(Settings!$B$3)),Settings!$B$13,0))</f>
        <v/>
      </c>
      <c r="R145" s="77">
        <f>IF($A145="","",N145+P145)</f>
        <v/>
      </c>
      <c r="S145" s="78">
        <f>IF($A145="","",O145+Q145)</f>
        <v/>
      </c>
    </row>
    <row r="146">
      <c r="A146" s="67" t="n"/>
      <c r="B146" s="75" t="n"/>
      <c r="C146" s="76" t="n"/>
      <c r="D146" s="75" t="n"/>
      <c r="E146" s="76" t="n"/>
      <c r="F146" s="75" t="n"/>
      <c r="G146" s="76" t="n"/>
      <c r="H146" s="75" t="n"/>
      <c r="I146" s="76" t="n"/>
      <c r="J146" s="77">
        <f>IF($A146="","",B146+D146+F146)</f>
        <v/>
      </c>
      <c r="K146" s="78">
        <f>IF($A146="","",C146+E146+G146)</f>
        <v/>
      </c>
      <c r="L146" s="79">
        <f>IF($A146="","",J146+H146)</f>
        <v/>
      </c>
      <c r="M146" s="80">
        <f>IF($A146="","",K146+I146)</f>
        <v/>
      </c>
      <c r="N146" s="77">
        <f>IF($A146="","",SUMIFS($J$5:$J$800,$A$5:$A$800,"&gt;="&amp;DATE(YEAR($A146),MONTH($A146),1),$A$5:$A$800,"&lt;="&amp;$A146)+IF(AND(YEAR($A146)=YEAR(Settings!$B$3),MONTH($A146)=MONTH(Settings!$B$3)),Settings!$B$10,0))</f>
        <v/>
      </c>
      <c r="O146" s="78">
        <f>IF($A146="","",SUMIFS($K$5:$K$800,$A$5:$A$800,"&gt;="&amp;DATE(YEAR($A146),MONTH($A146),1),$A$5:$A$800,"&lt;="&amp;$A146)+IF(AND(YEAR($A146)=YEAR(Settings!$B$3),MONTH($A146)=MONTH(Settings!$B$3)),Settings!$B$11,0))</f>
        <v/>
      </c>
      <c r="P146" s="77">
        <f>IF($A146="","",SUMIFS($H$5:$H$800,$A$5:$A$800,"&gt;="&amp;DATE(YEAR($A146),MONTH($A146),1),$A$5:$A$800,"&lt;="&amp;$A146)+IF(AND(YEAR($A146)=YEAR(Settings!$B$3),MONTH($A146)=MONTH(Settings!$B$3)),Settings!$B$12,0))</f>
        <v/>
      </c>
      <c r="Q146" s="78">
        <f>IF($A146="","",SUMIFS($I$5:$I$800,$A$5:$A$800,"&gt;="&amp;DATE(YEAR($A146),MONTH($A146),1),$A$5:$A$800,"&lt;="&amp;$A146)+IF(AND(YEAR($A146)=YEAR(Settings!$B$3),MONTH($A146)=MONTH(Settings!$B$3)),Settings!$B$13,0))</f>
        <v/>
      </c>
      <c r="R146" s="77">
        <f>IF($A146="","",N146+P146)</f>
        <v/>
      </c>
      <c r="S146" s="78">
        <f>IF($A146="","",O146+Q146)</f>
        <v/>
      </c>
    </row>
    <row r="147">
      <c r="A147" s="67" t="n"/>
      <c r="B147" s="75" t="n"/>
      <c r="C147" s="76" t="n"/>
      <c r="D147" s="75" t="n"/>
      <c r="E147" s="76" t="n"/>
      <c r="F147" s="75" t="n"/>
      <c r="G147" s="76" t="n"/>
      <c r="H147" s="75" t="n"/>
      <c r="I147" s="76" t="n"/>
      <c r="J147" s="77">
        <f>IF($A147="","",B147+D147+F147)</f>
        <v/>
      </c>
      <c r="K147" s="78">
        <f>IF($A147="","",C147+E147+G147)</f>
        <v/>
      </c>
      <c r="L147" s="79">
        <f>IF($A147="","",J147+H147)</f>
        <v/>
      </c>
      <c r="M147" s="80">
        <f>IF($A147="","",K147+I147)</f>
        <v/>
      </c>
      <c r="N147" s="77">
        <f>IF($A147="","",SUMIFS($J$5:$J$800,$A$5:$A$800,"&gt;="&amp;DATE(YEAR($A147),MONTH($A147),1),$A$5:$A$800,"&lt;="&amp;$A147)+IF(AND(YEAR($A147)=YEAR(Settings!$B$3),MONTH($A147)=MONTH(Settings!$B$3)),Settings!$B$10,0))</f>
        <v/>
      </c>
      <c r="O147" s="78">
        <f>IF($A147="","",SUMIFS($K$5:$K$800,$A$5:$A$800,"&gt;="&amp;DATE(YEAR($A147),MONTH($A147),1),$A$5:$A$800,"&lt;="&amp;$A147)+IF(AND(YEAR($A147)=YEAR(Settings!$B$3),MONTH($A147)=MONTH(Settings!$B$3)),Settings!$B$11,0))</f>
        <v/>
      </c>
      <c r="P147" s="77">
        <f>IF($A147="","",SUMIFS($H$5:$H$800,$A$5:$A$800,"&gt;="&amp;DATE(YEAR($A147),MONTH($A147),1),$A$5:$A$800,"&lt;="&amp;$A147)+IF(AND(YEAR($A147)=YEAR(Settings!$B$3),MONTH($A147)=MONTH(Settings!$B$3)),Settings!$B$12,0))</f>
        <v/>
      </c>
      <c r="Q147" s="78">
        <f>IF($A147="","",SUMIFS($I$5:$I$800,$A$5:$A$800,"&gt;="&amp;DATE(YEAR($A147),MONTH($A147),1),$A$5:$A$800,"&lt;="&amp;$A147)+IF(AND(YEAR($A147)=YEAR(Settings!$B$3),MONTH($A147)=MONTH(Settings!$B$3)),Settings!$B$13,0))</f>
        <v/>
      </c>
      <c r="R147" s="77">
        <f>IF($A147="","",N147+P147)</f>
        <v/>
      </c>
      <c r="S147" s="78">
        <f>IF($A147="","",O147+Q147)</f>
        <v/>
      </c>
    </row>
    <row r="148">
      <c r="A148" s="67" t="n"/>
      <c r="B148" s="75" t="n"/>
      <c r="C148" s="76" t="n"/>
      <c r="D148" s="75" t="n"/>
      <c r="E148" s="76" t="n"/>
      <c r="F148" s="75" t="n"/>
      <c r="G148" s="76" t="n"/>
      <c r="H148" s="75" t="n"/>
      <c r="I148" s="76" t="n"/>
      <c r="J148" s="77">
        <f>IF($A148="","",B148+D148+F148)</f>
        <v/>
      </c>
      <c r="K148" s="78">
        <f>IF($A148="","",C148+E148+G148)</f>
        <v/>
      </c>
      <c r="L148" s="79">
        <f>IF($A148="","",J148+H148)</f>
        <v/>
      </c>
      <c r="M148" s="80">
        <f>IF($A148="","",K148+I148)</f>
        <v/>
      </c>
      <c r="N148" s="77">
        <f>IF($A148="","",SUMIFS($J$5:$J$800,$A$5:$A$800,"&gt;="&amp;DATE(YEAR($A148),MONTH($A148),1),$A$5:$A$800,"&lt;="&amp;$A148)+IF(AND(YEAR($A148)=YEAR(Settings!$B$3),MONTH($A148)=MONTH(Settings!$B$3)),Settings!$B$10,0))</f>
        <v/>
      </c>
      <c r="O148" s="78">
        <f>IF($A148="","",SUMIFS($K$5:$K$800,$A$5:$A$800,"&gt;="&amp;DATE(YEAR($A148),MONTH($A148),1),$A$5:$A$800,"&lt;="&amp;$A148)+IF(AND(YEAR($A148)=YEAR(Settings!$B$3),MONTH($A148)=MONTH(Settings!$B$3)),Settings!$B$11,0))</f>
        <v/>
      </c>
      <c r="P148" s="77">
        <f>IF($A148="","",SUMIFS($H$5:$H$800,$A$5:$A$800,"&gt;="&amp;DATE(YEAR($A148),MONTH($A148),1),$A$5:$A$800,"&lt;="&amp;$A148)+IF(AND(YEAR($A148)=YEAR(Settings!$B$3),MONTH($A148)=MONTH(Settings!$B$3)),Settings!$B$12,0))</f>
        <v/>
      </c>
      <c r="Q148" s="78">
        <f>IF($A148="","",SUMIFS($I$5:$I$800,$A$5:$A$800,"&gt;="&amp;DATE(YEAR($A148),MONTH($A148),1),$A$5:$A$800,"&lt;="&amp;$A148)+IF(AND(YEAR($A148)=YEAR(Settings!$B$3),MONTH($A148)=MONTH(Settings!$B$3)),Settings!$B$13,0))</f>
        <v/>
      </c>
      <c r="R148" s="77">
        <f>IF($A148="","",N148+P148)</f>
        <v/>
      </c>
      <c r="S148" s="78">
        <f>IF($A148="","",O148+Q148)</f>
        <v/>
      </c>
    </row>
    <row r="149">
      <c r="A149" s="67" t="n"/>
      <c r="B149" s="75" t="n"/>
      <c r="C149" s="76" t="n"/>
      <c r="D149" s="75" t="n"/>
      <c r="E149" s="76" t="n"/>
      <c r="F149" s="75" t="n"/>
      <c r="G149" s="76" t="n"/>
      <c r="H149" s="75" t="n"/>
      <c r="I149" s="76" t="n"/>
      <c r="J149" s="77">
        <f>IF($A149="","",B149+D149+F149)</f>
        <v/>
      </c>
      <c r="K149" s="78">
        <f>IF($A149="","",C149+E149+G149)</f>
        <v/>
      </c>
      <c r="L149" s="79">
        <f>IF($A149="","",J149+H149)</f>
        <v/>
      </c>
      <c r="M149" s="80">
        <f>IF($A149="","",K149+I149)</f>
        <v/>
      </c>
      <c r="N149" s="77">
        <f>IF($A149="","",SUMIFS($J$5:$J$800,$A$5:$A$800,"&gt;="&amp;DATE(YEAR($A149),MONTH($A149),1),$A$5:$A$800,"&lt;="&amp;$A149)+IF(AND(YEAR($A149)=YEAR(Settings!$B$3),MONTH($A149)=MONTH(Settings!$B$3)),Settings!$B$10,0))</f>
        <v/>
      </c>
      <c r="O149" s="78">
        <f>IF($A149="","",SUMIFS($K$5:$K$800,$A$5:$A$800,"&gt;="&amp;DATE(YEAR($A149),MONTH($A149),1),$A$5:$A$800,"&lt;="&amp;$A149)+IF(AND(YEAR($A149)=YEAR(Settings!$B$3),MONTH($A149)=MONTH(Settings!$B$3)),Settings!$B$11,0))</f>
        <v/>
      </c>
      <c r="P149" s="77">
        <f>IF($A149="","",SUMIFS($H$5:$H$800,$A$5:$A$800,"&gt;="&amp;DATE(YEAR($A149),MONTH($A149),1),$A$5:$A$800,"&lt;="&amp;$A149)+IF(AND(YEAR($A149)=YEAR(Settings!$B$3),MONTH($A149)=MONTH(Settings!$B$3)),Settings!$B$12,0))</f>
        <v/>
      </c>
      <c r="Q149" s="78">
        <f>IF($A149="","",SUMIFS($I$5:$I$800,$A$5:$A$800,"&gt;="&amp;DATE(YEAR($A149),MONTH($A149),1),$A$5:$A$800,"&lt;="&amp;$A149)+IF(AND(YEAR($A149)=YEAR(Settings!$B$3),MONTH($A149)=MONTH(Settings!$B$3)),Settings!$B$13,0))</f>
        <v/>
      </c>
      <c r="R149" s="77">
        <f>IF($A149="","",N149+P149)</f>
        <v/>
      </c>
      <c r="S149" s="78">
        <f>IF($A149="","",O149+Q149)</f>
        <v/>
      </c>
    </row>
    <row r="150">
      <c r="A150" s="67" t="n"/>
      <c r="B150" s="75" t="n"/>
      <c r="C150" s="76" t="n"/>
      <c r="D150" s="75" t="n"/>
      <c r="E150" s="76" t="n"/>
      <c r="F150" s="75" t="n"/>
      <c r="G150" s="76" t="n"/>
      <c r="H150" s="75" t="n"/>
      <c r="I150" s="76" t="n"/>
      <c r="J150" s="77">
        <f>IF($A150="","",B150+D150+F150)</f>
        <v/>
      </c>
      <c r="K150" s="78">
        <f>IF($A150="","",C150+E150+G150)</f>
        <v/>
      </c>
      <c r="L150" s="79">
        <f>IF($A150="","",J150+H150)</f>
        <v/>
      </c>
      <c r="M150" s="80">
        <f>IF($A150="","",K150+I150)</f>
        <v/>
      </c>
      <c r="N150" s="77">
        <f>IF($A150="","",SUMIFS($J$5:$J$800,$A$5:$A$800,"&gt;="&amp;DATE(YEAR($A150),MONTH($A150),1),$A$5:$A$800,"&lt;="&amp;$A150)+IF(AND(YEAR($A150)=YEAR(Settings!$B$3),MONTH($A150)=MONTH(Settings!$B$3)),Settings!$B$10,0))</f>
        <v/>
      </c>
      <c r="O150" s="78">
        <f>IF($A150="","",SUMIFS($K$5:$K$800,$A$5:$A$800,"&gt;="&amp;DATE(YEAR($A150),MONTH($A150),1),$A$5:$A$800,"&lt;="&amp;$A150)+IF(AND(YEAR($A150)=YEAR(Settings!$B$3),MONTH($A150)=MONTH(Settings!$B$3)),Settings!$B$11,0))</f>
        <v/>
      </c>
      <c r="P150" s="77">
        <f>IF($A150="","",SUMIFS($H$5:$H$800,$A$5:$A$800,"&gt;="&amp;DATE(YEAR($A150),MONTH($A150),1),$A$5:$A$800,"&lt;="&amp;$A150)+IF(AND(YEAR($A150)=YEAR(Settings!$B$3),MONTH($A150)=MONTH(Settings!$B$3)),Settings!$B$12,0))</f>
        <v/>
      </c>
      <c r="Q150" s="78">
        <f>IF($A150="","",SUMIFS($I$5:$I$800,$A$5:$A$800,"&gt;="&amp;DATE(YEAR($A150),MONTH($A150),1),$A$5:$A$800,"&lt;="&amp;$A150)+IF(AND(YEAR($A150)=YEAR(Settings!$B$3),MONTH($A150)=MONTH(Settings!$B$3)),Settings!$B$13,0))</f>
        <v/>
      </c>
      <c r="R150" s="77">
        <f>IF($A150="","",N150+P150)</f>
        <v/>
      </c>
      <c r="S150" s="78">
        <f>IF($A150="","",O150+Q150)</f>
        <v/>
      </c>
    </row>
    <row r="151">
      <c r="A151" s="67" t="n"/>
      <c r="B151" s="75" t="n"/>
      <c r="C151" s="76" t="n"/>
      <c r="D151" s="75" t="n"/>
      <c r="E151" s="76" t="n"/>
      <c r="F151" s="75" t="n"/>
      <c r="G151" s="76" t="n"/>
      <c r="H151" s="75" t="n"/>
      <c r="I151" s="76" t="n"/>
      <c r="J151" s="77">
        <f>IF($A151="","",B151+D151+F151)</f>
        <v/>
      </c>
      <c r="K151" s="78">
        <f>IF($A151="","",C151+E151+G151)</f>
        <v/>
      </c>
      <c r="L151" s="79">
        <f>IF($A151="","",J151+H151)</f>
        <v/>
      </c>
      <c r="M151" s="80">
        <f>IF($A151="","",K151+I151)</f>
        <v/>
      </c>
      <c r="N151" s="77">
        <f>IF($A151="","",SUMIFS($J$5:$J$800,$A$5:$A$800,"&gt;="&amp;DATE(YEAR($A151),MONTH($A151),1),$A$5:$A$800,"&lt;="&amp;$A151)+IF(AND(YEAR($A151)=YEAR(Settings!$B$3),MONTH($A151)=MONTH(Settings!$B$3)),Settings!$B$10,0))</f>
        <v/>
      </c>
      <c r="O151" s="78">
        <f>IF($A151="","",SUMIFS($K$5:$K$800,$A$5:$A$800,"&gt;="&amp;DATE(YEAR($A151),MONTH($A151),1),$A$5:$A$800,"&lt;="&amp;$A151)+IF(AND(YEAR($A151)=YEAR(Settings!$B$3),MONTH($A151)=MONTH(Settings!$B$3)),Settings!$B$11,0))</f>
        <v/>
      </c>
      <c r="P151" s="77">
        <f>IF($A151="","",SUMIFS($H$5:$H$800,$A$5:$A$800,"&gt;="&amp;DATE(YEAR($A151),MONTH($A151),1),$A$5:$A$800,"&lt;="&amp;$A151)+IF(AND(YEAR($A151)=YEAR(Settings!$B$3),MONTH($A151)=MONTH(Settings!$B$3)),Settings!$B$12,0))</f>
        <v/>
      </c>
      <c r="Q151" s="78">
        <f>IF($A151="","",SUMIFS($I$5:$I$800,$A$5:$A$800,"&gt;="&amp;DATE(YEAR($A151),MONTH($A151),1),$A$5:$A$800,"&lt;="&amp;$A151)+IF(AND(YEAR($A151)=YEAR(Settings!$B$3),MONTH($A151)=MONTH(Settings!$B$3)),Settings!$B$13,0))</f>
        <v/>
      </c>
      <c r="R151" s="77">
        <f>IF($A151="","",N151+P151)</f>
        <v/>
      </c>
      <c r="S151" s="78">
        <f>IF($A151="","",O151+Q151)</f>
        <v/>
      </c>
    </row>
    <row r="152">
      <c r="A152" s="67" t="n"/>
      <c r="B152" s="75" t="n"/>
      <c r="C152" s="76" t="n"/>
      <c r="D152" s="75" t="n"/>
      <c r="E152" s="76" t="n"/>
      <c r="F152" s="75" t="n"/>
      <c r="G152" s="76" t="n"/>
      <c r="H152" s="75" t="n"/>
      <c r="I152" s="76" t="n"/>
      <c r="J152" s="77">
        <f>IF($A152="","",B152+D152+F152)</f>
        <v/>
      </c>
      <c r="K152" s="78">
        <f>IF($A152="","",C152+E152+G152)</f>
        <v/>
      </c>
      <c r="L152" s="79">
        <f>IF($A152="","",J152+H152)</f>
        <v/>
      </c>
      <c r="M152" s="80">
        <f>IF($A152="","",K152+I152)</f>
        <v/>
      </c>
      <c r="N152" s="77">
        <f>IF($A152="","",SUMIFS($J$5:$J$800,$A$5:$A$800,"&gt;="&amp;DATE(YEAR($A152),MONTH($A152),1),$A$5:$A$800,"&lt;="&amp;$A152)+IF(AND(YEAR($A152)=YEAR(Settings!$B$3),MONTH($A152)=MONTH(Settings!$B$3)),Settings!$B$10,0))</f>
        <v/>
      </c>
      <c r="O152" s="78">
        <f>IF($A152="","",SUMIFS($K$5:$K$800,$A$5:$A$800,"&gt;="&amp;DATE(YEAR($A152),MONTH($A152),1),$A$5:$A$800,"&lt;="&amp;$A152)+IF(AND(YEAR($A152)=YEAR(Settings!$B$3),MONTH($A152)=MONTH(Settings!$B$3)),Settings!$B$11,0))</f>
        <v/>
      </c>
      <c r="P152" s="77">
        <f>IF($A152="","",SUMIFS($H$5:$H$800,$A$5:$A$800,"&gt;="&amp;DATE(YEAR($A152),MONTH($A152),1),$A$5:$A$800,"&lt;="&amp;$A152)+IF(AND(YEAR($A152)=YEAR(Settings!$B$3),MONTH($A152)=MONTH(Settings!$B$3)),Settings!$B$12,0))</f>
        <v/>
      </c>
      <c r="Q152" s="78">
        <f>IF($A152="","",SUMIFS($I$5:$I$800,$A$5:$A$800,"&gt;="&amp;DATE(YEAR($A152),MONTH($A152),1),$A$5:$A$800,"&lt;="&amp;$A152)+IF(AND(YEAR($A152)=YEAR(Settings!$B$3),MONTH($A152)=MONTH(Settings!$B$3)),Settings!$B$13,0))</f>
        <v/>
      </c>
      <c r="R152" s="77">
        <f>IF($A152="","",N152+P152)</f>
        <v/>
      </c>
      <c r="S152" s="78">
        <f>IF($A152="","",O152+Q152)</f>
        <v/>
      </c>
    </row>
    <row r="153">
      <c r="A153" s="67" t="n"/>
      <c r="B153" s="75" t="n"/>
      <c r="C153" s="76" t="n"/>
      <c r="D153" s="75" t="n"/>
      <c r="E153" s="76" t="n"/>
      <c r="F153" s="75" t="n"/>
      <c r="G153" s="76" t="n"/>
      <c r="H153" s="75" t="n"/>
      <c r="I153" s="76" t="n"/>
      <c r="J153" s="77">
        <f>IF($A153="","",B153+D153+F153)</f>
        <v/>
      </c>
      <c r="K153" s="78">
        <f>IF($A153="","",C153+E153+G153)</f>
        <v/>
      </c>
      <c r="L153" s="79">
        <f>IF($A153="","",J153+H153)</f>
        <v/>
      </c>
      <c r="M153" s="80">
        <f>IF($A153="","",K153+I153)</f>
        <v/>
      </c>
      <c r="N153" s="77">
        <f>IF($A153="","",SUMIFS($J$5:$J$800,$A$5:$A$800,"&gt;="&amp;DATE(YEAR($A153),MONTH($A153),1),$A$5:$A$800,"&lt;="&amp;$A153)+IF(AND(YEAR($A153)=YEAR(Settings!$B$3),MONTH($A153)=MONTH(Settings!$B$3)),Settings!$B$10,0))</f>
        <v/>
      </c>
      <c r="O153" s="78">
        <f>IF($A153="","",SUMIFS($K$5:$K$800,$A$5:$A$800,"&gt;="&amp;DATE(YEAR($A153),MONTH($A153),1),$A$5:$A$800,"&lt;="&amp;$A153)+IF(AND(YEAR($A153)=YEAR(Settings!$B$3),MONTH($A153)=MONTH(Settings!$B$3)),Settings!$B$11,0))</f>
        <v/>
      </c>
      <c r="P153" s="77">
        <f>IF($A153="","",SUMIFS($H$5:$H$800,$A$5:$A$800,"&gt;="&amp;DATE(YEAR($A153),MONTH($A153),1),$A$5:$A$800,"&lt;="&amp;$A153)+IF(AND(YEAR($A153)=YEAR(Settings!$B$3),MONTH($A153)=MONTH(Settings!$B$3)),Settings!$B$12,0))</f>
        <v/>
      </c>
      <c r="Q153" s="78">
        <f>IF($A153="","",SUMIFS($I$5:$I$800,$A$5:$A$800,"&gt;="&amp;DATE(YEAR($A153),MONTH($A153),1),$A$5:$A$800,"&lt;="&amp;$A153)+IF(AND(YEAR($A153)=YEAR(Settings!$B$3),MONTH($A153)=MONTH(Settings!$B$3)),Settings!$B$13,0))</f>
        <v/>
      </c>
      <c r="R153" s="77">
        <f>IF($A153="","",N153+P153)</f>
        <v/>
      </c>
      <c r="S153" s="78">
        <f>IF($A153="","",O153+Q153)</f>
        <v/>
      </c>
    </row>
    <row r="154">
      <c r="A154" s="67" t="n"/>
      <c r="B154" s="75" t="n"/>
      <c r="C154" s="76" t="n"/>
      <c r="D154" s="75" t="n"/>
      <c r="E154" s="76" t="n"/>
      <c r="F154" s="75" t="n"/>
      <c r="G154" s="76" t="n"/>
      <c r="H154" s="75" t="n"/>
      <c r="I154" s="76" t="n"/>
      <c r="J154" s="77">
        <f>IF($A154="","",B154+D154+F154)</f>
        <v/>
      </c>
      <c r="K154" s="78">
        <f>IF($A154="","",C154+E154+G154)</f>
        <v/>
      </c>
      <c r="L154" s="79">
        <f>IF($A154="","",J154+H154)</f>
        <v/>
      </c>
      <c r="M154" s="80">
        <f>IF($A154="","",K154+I154)</f>
        <v/>
      </c>
      <c r="N154" s="77">
        <f>IF($A154="","",SUMIFS($J$5:$J$800,$A$5:$A$800,"&gt;="&amp;DATE(YEAR($A154),MONTH($A154),1),$A$5:$A$800,"&lt;="&amp;$A154)+IF(AND(YEAR($A154)=YEAR(Settings!$B$3),MONTH($A154)=MONTH(Settings!$B$3)),Settings!$B$10,0))</f>
        <v/>
      </c>
      <c r="O154" s="78">
        <f>IF($A154="","",SUMIFS($K$5:$K$800,$A$5:$A$800,"&gt;="&amp;DATE(YEAR($A154),MONTH($A154),1),$A$5:$A$800,"&lt;="&amp;$A154)+IF(AND(YEAR($A154)=YEAR(Settings!$B$3),MONTH($A154)=MONTH(Settings!$B$3)),Settings!$B$11,0))</f>
        <v/>
      </c>
      <c r="P154" s="77">
        <f>IF($A154="","",SUMIFS($H$5:$H$800,$A$5:$A$800,"&gt;="&amp;DATE(YEAR($A154),MONTH($A154),1),$A$5:$A$800,"&lt;="&amp;$A154)+IF(AND(YEAR($A154)=YEAR(Settings!$B$3),MONTH($A154)=MONTH(Settings!$B$3)),Settings!$B$12,0))</f>
        <v/>
      </c>
      <c r="Q154" s="78">
        <f>IF($A154="","",SUMIFS($I$5:$I$800,$A$5:$A$800,"&gt;="&amp;DATE(YEAR($A154),MONTH($A154),1),$A$5:$A$800,"&lt;="&amp;$A154)+IF(AND(YEAR($A154)=YEAR(Settings!$B$3),MONTH($A154)=MONTH(Settings!$B$3)),Settings!$B$13,0))</f>
        <v/>
      </c>
      <c r="R154" s="77">
        <f>IF($A154="","",N154+P154)</f>
        <v/>
      </c>
      <c r="S154" s="78">
        <f>IF($A154="","",O154+Q154)</f>
        <v/>
      </c>
    </row>
    <row r="155">
      <c r="A155" s="67" t="n"/>
      <c r="B155" s="75" t="n"/>
      <c r="C155" s="76" t="n"/>
      <c r="D155" s="75" t="n"/>
      <c r="E155" s="76" t="n"/>
      <c r="F155" s="75" t="n"/>
      <c r="G155" s="76" t="n"/>
      <c r="H155" s="75" t="n"/>
      <c r="I155" s="76" t="n"/>
      <c r="J155" s="77">
        <f>IF($A155="","",B155+D155+F155)</f>
        <v/>
      </c>
      <c r="K155" s="78">
        <f>IF($A155="","",C155+E155+G155)</f>
        <v/>
      </c>
      <c r="L155" s="79">
        <f>IF($A155="","",J155+H155)</f>
        <v/>
      </c>
      <c r="M155" s="80">
        <f>IF($A155="","",K155+I155)</f>
        <v/>
      </c>
      <c r="N155" s="77">
        <f>IF($A155="","",SUMIFS($J$5:$J$800,$A$5:$A$800,"&gt;="&amp;DATE(YEAR($A155),MONTH($A155),1),$A$5:$A$800,"&lt;="&amp;$A155)+IF(AND(YEAR($A155)=YEAR(Settings!$B$3),MONTH($A155)=MONTH(Settings!$B$3)),Settings!$B$10,0))</f>
        <v/>
      </c>
      <c r="O155" s="78">
        <f>IF($A155="","",SUMIFS($K$5:$K$800,$A$5:$A$800,"&gt;="&amp;DATE(YEAR($A155),MONTH($A155),1),$A$5:$A$800,"&lt;="&amp;$A155)+IF(AND(YEAR($A155)=YEAR(Settings!$B$3),MONTH($A155)=MONTH(Settings!$B$3)),Settings!$B$11,0))</f>
        <v/>
      </c>
      <c r="P155" s="77">
        <f>IF($A155="","",SUMIFS($H$5:$H$800,$A$5:$A$800,"&gt;="&amp;DATE(YEAR($A155),MONTH($A155),1),$A$5:$A$800,"&lt;="&amp;$A155)+IF(AND(YEAR($A155)=YEAR(Settings!$B$3),MONTH($A155)=MONTH(Settings!$B$3)),Settings!$B$12,0))</f>
        <v/>
      </c>
      <c r="Q155" s="78">
        <f>IF($A155="","",SUMIFS($I$5:$I$800,$A$5:$A$800,"&gt;="&amp;DATE(YEAR($A155),MONTH($A155),1),$A$5:$A$800,"&lt;="&amp;$A155)+IF(AND(YEAR($A155)=YEAR(Settings!$B$3),MONTH($A155)=MONTH(Settings!$B$3)),Settings!$B$13,0))</f>
        <v/>
      </c>
      <c r="R155" s="77">
        <f>IF($A155="","",N155+P155)</f>
        <v/>
      </c>
      <c r="S155" s="78">
        <f>IF($A155="","",O155+Q155)</f>
        <v/>
      </c>
    </row>
    <row r="156">
      <c r="A156" s="67" t="n"/>
      <c r="B156" s="75" t="n"/>
      <c r="C156" s="76" t="n"/>
      <c r="D156" s="75" t="n"/>
      <c r="E156" s="76" t="n"/>
      <c r="F156" s="75" t="n"/>
      <c r="G156" s="76" t="n"/>
      <c r="H156" s="75" t="n"/>
      <c r="I156" s="76" t="n"/>
      <c r="J156" s="77">
        <f>IF($A156="","",B156+D156+F156)</f>
        <v/>
      </c>
      <c r="K156" s="78">
        <f>IF($A156="","",C156+E156+G156)</f>
        <v/>
      </c>
      <c r="L156" s="79">
        <f>IF($A156="","",J156+H156)</f>
        <v/>
      </c>
      <c r="M156" s="80">
        <f>IF($A156="","",K156+I156)</f>
        <v/>
      </c>
      <c r="N156" s="77">
        <f>IF($A156="","",SUMIFS($J$5:$J$800,$A$5:$A$800,"&gt;="&amp;DATE(YEAR($A156),MONTH($A156),1),$A$5:$A$800,"&lt;="&amp;$A156)+IF(AND(YEAR($A156)=YEAR(Settings!$B$3),MONTH($A156)=MONTH(Settings!$B$3)),Settings!$B$10,0))</f>
        <v/>
      </c>
      <c r="O156" s="78">
        <f>IF($A156="","",SUMIFS($K$5:$K$800,$A$5:$A$800,"&gt;="&amp;DATE(YEAR($A156),MONTH($A156),1),$A$5:$A$800,"&lt;="&amp;$A156)+IF(AND(YEAR($A156)=YEAR(Settings!$B$3),MONTH($A156)=MONTH(Settings!$B$3)),Settings!$B$11,0))</f>
        <v/>
      </c>
      <c r="P156" s="77">
        <f>IF($A156="","",SUMIFS($H$5:$H$800,$A$5:$A$800,"&gt;="&amp;DATE(YEAR($A156),MONTH($A156),1),$A$5:$A$800,"&lt;="&amp;$A156)+IF(AND(YEAR($A156)=YEAR(Settings!$B$3),MONTH($A156)=MONTH(Settings!$B$3)),Settings!$B$12,0))</f>
        <v/>
      </c>
      <c r="Q156" s="78">
        <f>IF($A156="","",SUMIFS($I$5:$I$800,$A$5:$A$800,"&gt;="&amp;DATE(YEAR($A156),MONTH($A156),1),$A$5:$A$800,"&lt;="&amp;$A156)+IF(AND(YEAR($A156)=YEAR(Settings!$B$3),MONTH($A156)=MONTH(Settings!$B$3)),Settings!$B$13,0))</f>
        <v/>
      </c>
      <c r="R156" s="77">
        <f>IF($A156="","",N156+P156)</f>
        <v/>
      </c>
      <c r="S156" s="78">
        <f>IF($A156="","",O156+Q156)</f>
        <v/>
      </c>
    </row>
    <row r="157">
      <c r="A157" s="67" t="n"/>
      <c r="B157" s="75" t="n"/>
      <c r="C157" s="76" t="n"/>
      <c r="D157" s="75" t="n"/>
      <c r="E157" s="76" t="n"/>
      <c r="F157" s="75" t="n"/>
      <c r="G157" s="76" t="n"/>
      <c r="H157" s="75" t="n"/>
      <c r="I157" s="76" t="n"/>
      <c r="J157" s="77">
        <f>IF($A157="","",B157+D157+F157)</f>
        <v/>
      </c>
      <c r="K157" s="78">
        <f>IF($A157="","",C157+E157+G157)</f>
        <v/>
      </c>
      <c r="L157" s="79">
        <f>IF($A157="","",J157+H157)</f>
        <v/>
      </c>
      <c r="M157" s="80">
        <f>IF($A157="","",K157+I157)</f>
        <v/>
      </c>
      <c r="N157" s="77">
        <f>IF($A157="","",SUMIFS($J$5:$J$800,$A$5:$A$800,"&gt;="&amp;DATE(YEAR($A157),MONTH($A157),1),$A$5:$A$800,"&lt;="&amp;$A157)+IF(AND(YEAR($A157)=YEAR(Settings!$B$3),MONTH($A157)=MONTH(Settings!$B$3)),Settings!$B$10,0))</f>
        <v/>
      </c>
      <c r="O157" s="78">
        <f>IF($A157="","",SUMIFS($K$5:$K$800,$A$5:$A$800,"&gt;="&amp;DATE(YEAR($A157),MONTH($A157),1),$A$5:$A$800,"&lt;="&amp;$A157)+IF(AND(YEAR($A157)=YEAR(Settings!$B$3),MONTH($A157)=MONTH(Settings!$B$3)),Settings!$B$11,0))</f>
        <v/>
      </c>
      <c r="P157" s="77">
        <f>IF($A157="","",SUMIFS($H$5:$H$800,$A$5:$A$800,"&gt;="&amp;DATE(YEAR($A157),MONTH($A157),1),$A$5:$A$800,"&lt;="&amp;$A157)+IF(AND(YEAR($A157)=YEAR(Settings!$B$3),MONTH($A157)=MONTH(Settings!$B$3)),Settings!$B$12,0))</f>
        <v/>
      </c>
      <c r="Q157" s="78">
        <f>IF($A157="","",SUMIFS($I$5:$I$800,$A$5:$A$800,"&gt;="&amp;DATE(YEAR($A157),MONTH($A157),1),$A$5:$A$800,"&lt;="&amp;$A157)+IF(AND(YEAR($A157)=YEAR(Settings!$B$3),MONTH($A157)=MONTH(Settings!$B$3)),Settings!$B$13,0))</f>
        <v/>
      </c>
      <c r="R157" s="77">
        <f>IF($A157="","",N157+P157)</f>
        <v/>
      </c>
      <c r="S157" s="78">
        <f>IF($A157="","",O157+Q157)</f>
        <v/>
      </c>
    </row>
    <row r="158">
      <c r="A158" s="67" t="n"/>
      <c r="B158" s="75" t="n"/>
      <c r="C158" s="76" t="n"/>
      <c r="D158" s="75" t="n"/>
      <c r="E158" s="76" t="n"/>
      <c r="F158" s="75" t="n"/>
      <c r="G158" s="76" t="n"/>
      <c r="H158" s="75" t="n"/>
      <c r="I158" s="76" t="n"/>
      <c r="J158" s="77">
        <f>IF($A158="","",B158+D158+F158)</f>
        <v/>
      </c>
      <c r="K158" s="78">
        <f>IF($A158="","",C158+E158+G158)</f>
        <v/>
      </c>
      <c r="L158" s="79">
        <f>IF($A158="","",J158+H158)</f>
        <v/>
      </c>
      <c r="M158" s="80">
        <f>IF($A158="","",K158+I158)</f>
        <v/>
      </c>
      <c r="N158" s="77">
        <f>IF($A158="","",SUMIFS($J$5:$J$800,$A$5:$A$800,"&gt;="&amp;DATE(YEAR($A158),MONTH($A158),1),$A$5:$A$800,"&lt;="&amp;$A158)+IF(AND(YEAR($A158)=YEAR(Settings!$B$3),MONTH($A158)=MONTH(Settings!$B$3)),Settings!$B$10,0))</f>
        <v/>
      </c>
      <c r="O158" s="78">
        <f>IF($A158="","",SUMIFS($K$5:$K$800,$A$5:$A$800,"&gt;="&amp;DATE(YEAR($A158),MONTH($A158),1),$A$5:$A$800,"&lt;="&amp;$A158)+IF(AND(YEAR($A158)=YEAR(Settings!$B$3),MONTH($A158)=MONTH(Settings!$B$3)),Settings!$B$11,0))</f>
        <v/>
      </c>
      <c r="P158" s="77">
        <f>IF($A158="","",SUMIFS($H$5:$H$800,$A$5:$A$800,"&gt;="&amp;DATE(YEAR($A158),MONTH($A158),1),$A$5:$A$800,"&lt;="&amp;$A158)+IF(AND(YEAR($A158)=YEAR(Settings!$B$3),MONTH($A158)=MONTH(Settings!$B$3)),Settings!$B$12,0))</f>
        <v/>
      </c>
      <c r="Q158" s="78">
        <f>IF($A158="","",SUMIFS($I$5:$I$800,$A$5:$A$800,"&gt;="&amp;DATE(YEAR($A158),MONTH($A158),1),$A$5:$A$800,"&lt;="&amp;$A158)+IF(AND(YEAR($A158)=YEAR(Settings!$B$3),MONTH($A158)=MONTH(Settings!$B$3)),Settings!$B$13,0))</f>
        <v/>
      </c>
      <c r="R158" s="77">
        <f>IF($A158="","",N158+P158)</f>
        <v/>
      </c>
      <c r="S158" s="78">
        <f>IF($A158="","",O158+Q158)</f>
        <v/>
      </c>
    </row>
    <row r="159">
      <c r="A159" s="67" t="n"/>
      <c r="B159" s="75" t="n"/>
      <c r="C159" s="76" t="n"/>
      <c r="D159" s="75" t="n"/>
      <c r="E159" s="76" t="n"/>
      <c r="F159" s="75" t="n"/>
      <c r="G159" s="76" t="n"/>
      <c r="H159" s="75" t="n"/>
      <c r="I159" s="76" t="n"/>
      <c r="J159" s="77">
        <f>IF($A159="","",B159+D159+F159)</f>
        <v/>
      </c>
      <c r="K159" s="78">
        <f>IF($A159="","",C159+E159+G159)</f>
        <v/>
      </c>
      <c r="L159" s="79">
        <f>IF($A159="","",J159+H159)</f>
        <v/>
      </c>
      <c r="M159" s="80">
        <f>IF($A159="","",K159+I159)</f>
        <v/>
      </c>
      <c r="N159" s="77">
        <f>IF($A159="","",SUMIFS($J$5:$J$800,$A$5:$A$800,"&gt;="&amp;DATE(YEAR($A159),MONTH($A159),1),$A$5:$A$800,"&lt;="&amp;$A159)+IF(AND(YEAR($A159)=YEAR(Settings!$B$3),MONTH($A159)=MONTH(Settings!$B$3)),Settings!$B$10,0))</f>
        <v/>
      </c>
      <c r="O159" s="78">
        <f>IF($A159="","",SUMIFS($K$5:$K$800,$A$5:$A$800,"&gt;="&amp;DATE(YEAR($A159),MONTH($A159),1),$A$5:$A$800,"&lt;="&amp;$A159)+IF(AND(YEAR($A159)=YEAR(Settings!$B$3),MONTH($A159)=MONTH(Settings!$B$3)),Settings!$B$11,0))</f>
        <v/>
      </c>
      <c r="P159" s="77">
        <f>IF($A159="","",SUMIFS($H$5:$H$800,$A$5:$A$800,"&gt;="&amp;DATE(YEAR($A159),MONTH($A159),1),$A$5:$A$800,"&lt;="&amp;$A159)+IF(AND(YEAR($A159)=YEAR(Settings!$B$3),MONTH($A159)=MONTH(Settings!$B$3)),Settings!$B$12,0))</f>
        <v/>
      </c>
      <c r="Q159" s="78">
        <f>IF($A159="","",SUMIFS($I$5:$I$800,$A$5:$A$800,"&gt;="&amp;DATE(YEAR($A159),MONTH($A159),1),$A$5:$A$800,"&lt;="&amp;$A159)+IF(AND(YEAR($A159)=YEAR(Settings!$B$3),MONTH($A159)=MONTH(Settings!$B$3)),Settings!$B$13,0))</f>
        <v/>
      </c>
      <c r="R159" s="77">
        <f>IF($A159="","",N159+P159)</f>
        <v/>
      </c>
      <c r="S159" s="78">
        <f>IF($A159="","",O159+Q159)</f>
        <v/>
      </c>
    </row>
    <row r="160">
      <c r="A160" s="67" t="n"/>
      <c r="B160" s="75" t="n"/>
      <c r="C160" s="76" t="n"/>
      <c r="D160" s="75" t="n"/>
      <c r="E160" s="76" t="n"/>
      <c r="F160" s="75" t="n"/>
      <c r="G160" s="76" t="n"/>
      <c r="H160" s="75" t="n"/>
      <c r="I160" s="76" t="n"/>
      <c r="J160" s="77">
        <f>IF($A160="","",B160+D160+F160)</f>
        <v/>
      </c>
      <c r="K160" s="78">
        <f>IF($A160="","",C160+E160+G160)</f>
        <v/>
      </c>
      <c r="L160" s="79">
        <f>IF($A160="","",J160+H160)</f>
        <v/>
      </c>
      <c r="M160" s="80">
        <f>IF($A160="","",K160+I160)</f>
        <v/>
      </c>
      <c r="N160" s="77">
        <f>IF($A160="","",SUMIFS($J$5:$J$800,$A$5:$A$800,"&gt;="&amp;DATE(YEAR($A160),MONTH($A160),1),$A$5:$A$800,"&lt;="&amp;$A160)+IF(AND(YEAR($A160)=YEAR(Settings!$B$3),MONTH($A160)=MONTH(Settings!$B$3)),Settings!$B$10,0))</f>
        <v/>
      </c>
      <c r="O160" s="78">
        <f>IF($A160="","",SUMIFS($K$5:$K$800,$A$5:$A$800,"&gt;="&amp;DATE(YEAR($A160),MONTH($A160),1),$A$5:$A$800,"&lt;="&amp;$A160)+IF(AND(YEAR($A160)=YEAR(Settings!$B$3),MONTH($A160)=MONTH(Settings!$B$3)),Settings!$B$11,0))</f>
        <v/>
      </c>
      <c r="P160" s="77">
        <f>IF($A160="","",SUMIFS($H$5:$H$800,$A$5:$A$800,"&gt;="&amp;DATE(YEAR($A160),MONTH($A160),1),$A$5:$A$800,"&lt;="&amp;$A160)+IF(AND(YEAR($A160)=YEAR(Settings!$B$3),MONTH($A160)=MONTH(Settings!$B$3)),Settings!$B$12,0))</f>
        <v/>
      </c>
      <c r="Q160" s="78">
        <f>IF($A160="","",SUMIFS($I$5:$I$800,$A$5:$A$800,"&gt;="&amp;DATE(YEAR($A160),MONTH($A160),1),$A$5:$A$800,"&lt;="&amp;$A160)+IF(AND(YEAR($A160)=YEAR(Settings!$B$3),MONTH($A160)=MONTH(Settings!$B$3)),Settings!$B$13,0))</f>
        <v/>
      </c>
      <c r="R160" s="77">
        <f>IF($A160="","",N160+P160)</f>
        <v/>
      </c>
      <c r="S160" s="78">
        <f>IF($A160="","",O160+Q160)</f>
        <v/>
      </c>
    </row>
    <row r="161">
      <c r="A161" s="67" t="n"/>
      <c r="B161" s="75" t="n"/>
      <c r="C161" s="76" t="n"/>
      <c r="D161" s="75" t="n"/>
      <c r="E161" s="76" t="n"/>
      <c r="F161" s="75" t="n"/>
      <c r="G161" s="76" t="n"/>
      <c r="H161" s="75" t="n"/>
      <c r="I161" s="76" t="n"/>
      <c r="J161" s="77">
        <f>IF($A161="","",B161+D161+F161)</f>
        <v/>
      </c>
      <c r="K161" s="78">
        <f>IF($A161="","",C161+E161+G161)</f>
        <v/>
      </c>
      <c r="L161" s="79">
        <f>IF($A161="","",J161+H161)</f>
        <v/>
      </c>
      <c r="M161" s="80">
        <f>IF($A161="","",K161+I161)</f>
        <v/>
      </c>
      <c r="N161" s="77">
        <f>IF($A161="","",SUMIFS($J$5:$J$800,$A$5:$A$800,"&gt;="&amp;DATE(YEAR($A161),MONTH($A161),1),$A$5:$A$800,"&lt;="&amp;$A161)+IF(AND(YEAR($A161)=YEAR(Settings!$B$3),MONTH($A161)=MONTH(Settings!$B$3)),Settings!$B$10,0))</f>
        <v/>
      </c>
      <c r="O161" s="78">
        <f>IF($A161="","",SUMIFS($K$5:$K$800,$A$5:$A$800,"&gt;="&amp;DATE(YEAR($A161),MONTH($A161),1),$A$5:$A$800,"&lt;="&amp;$A161)+IF(AND(YEAR($A161)=YEAR(Settings!$B$3),MONTH($A161)=MONTH(Settings!$B$3)),Settings!$B$11,0))</f>
        <v/>
      </c>
      <c r="P161" s="77">
        <f>IF($A161="","",SUMIFS($H$5:$H$800,$A$5:$A$800,"&gt;="&amp;DATE(YEAR($A161),MONTH($A161),1),$A$5:$A$800,"&lt;="&amp;$A161)+IF(AND(YEAR($A161)=YEAR(Settings!$B$3),MONTH($A161)=MONTH(Settings!$B$3)),Settings!$B$12,0))</f>
        <v/>
      </c>
      <c r="Q161" s="78">
        <f>IF($A161="","",SUMIFS($I$5:$I$800,$A$5:$A$800,"&gt;="&amp;DATE(YEAR($A161),MONTH($A161),1),$A$5:$A$800,"&lt;="&amp;$A161)+IF(AND(YEAR($A161)=YEAR(Settings!$B$3),MONTH($A161)=MONTH(Settings!$B$3)),Settings!$B$13,0))</f>
        <v/>
      </c>
      <c r="R161" s="77">
        <f>IF($A161="","",N161+P161)</f>
        <v/>
      </c>
      <c r="S161" s="78">
        <f>IF($A161="","",O161+Q161)</f>
        <v/>
      </c>
    </row>
    <row r="162">
      <c r="A162" s="67" t="n"/>
      <c r="B162" s="75" t="n"/>
      <c r="C162" s="76" t="n"/>
      <c r="D162" s="75" t="n"/>
      <c r="E162" s="76" t="n"/>
      <c r="F162" s="75" t="n"/>
      <c r="G162" s="76" t="n"/>
      <c r="H162" s="75" t="n"/>
      <c r="I162" s="76" t="n"/>
      <c r="J162" s="77">
        <f>IF($A162="","",B162+D162+F162)</f>
        <v/>
      </c>
      <c r="K162" s="78">
        <f>IF($A162="","",C162+E162+G162)</f>
        <v/>
      </c>
      <c r="L162" s="79">
        <f>IF($A162="","",J162+H162)</f>
        <v/>
      </c>
      <c r="M162" s="80">
        <f>IF($A162="","",K162+I162)</f>
        <v/>
      </c>
      <c r="N162" s="77">
        <f>IF($A162="","",SUMIFS($J$5:$J$800,$A$5:$A$800,"&gt;="&amp;DATE(YEAR($A162),MONTH($A162),1),$A$5:$A$800,"&lt;="&amp;$A162)+IF(AND(YEAR($A162)=YEAR(Settings!$B$3),MONTH($A162)=MONTH(Settings!$B$3)),Settings!$B$10,0))</f>
        <v/>
      </c>
      <c r="O162" s="78">
        <f>IF($A162="","",SUMIFS($K$5:$K$800,$A$5:$A$800,"&gt;="&amp;DATE(YEAR($A162),MONTH($A162),1),$A$5:$A$800,"&lt;="&amp;$A162)+IF(AND(YEAR($A162)=YEAR(Settings!$B$3),MONTH($A162)=MONTH(Settings!$B$3)),Settings!$B$11,0))</f>
        <v/>
      </c>
      <c r="P162" s="77">
        <f>IF($A162="","",SUMIFS($H$5:$H$800,$A$5:$A$800,"&gt;="&amp;DATE(YEAR($A162),MONTH($A162),1),$A$5:$A$800,"&lt;="&amp;$A162)+IF(AND(YEAR($A162)=YEAR(Settings!$B$3),MONTH($A162)=MONTH(Settings!$B$3)),Settings!$B$12,0))</f>
        <v/>
      </c>
      <c r="Q162" s="78">
        <f>IF($A162="","",SUMIFS($I$5:$I$800,$A$5:$A$800,"&gt;="&amp;DATE(YEAR($A162),MONTH($A162),1),$A$5:$A$800,"&lt;="&amp;$A162)+IF(AND(YEAR($A162)=YEAR(Settings!$B$3),MONTH($A162)=MONTH(Settings!$B$3)),Settings!$B$13,0))</f>
        <v/>
      </c>
      <c r="R162" s="77">
        <f>IF($A162="","",N162+P162)</f>
        <v/>
      </c>
      <c r="S162" s="78">
        <f>IF($A162="","",O162+Q162)</f>
        <v/>
      </c>
    </row>
    <row r="163">
      <c r="A163" s="67" t="n"/>
      <c r="B163" s="75" t="n"/>
      <c r="C163" s="76" t="n"/>
      <c r="D163" s="75" t="n"/>
      <c r="E163" s="76" t="n"/>
      <c r="F163" s="75" t="n"/>
      <c r="G163" s="76" t="n"/>
      <c r="H163" s="75" t="n"/>
      <c r="I163" s="76" t="n"/>
      <c r="J163" s="77">
        <f>IF($A163="","",B163+D163+F163)</f>
        <v/>
      </c>
      <c r="K163" s="78">
        <f>IF($A163="","",C163+E163+G163)</f>
        <v/>
      </c>
      <c r="L163" s="79">
        <f>IF($A163="","",J163+H163)</f>
        <v/>
      </c>
      <c r="M163" s="80">
        <f>IF($A163="","",K163+I163)</f>
        <v/>
      </c>
      <c r="N163" s="77">
        <f>IF($A163="","",SUMIFS($J$5:$J$800,$A$5:$A$800,"&gt;="&amp;DATE(YEAR($A163),MONTH($A163),1),$A$5:$A$800,"&lt;="&amp;$A163)+IF(AND(YEAR($A163)=YEAR(Settings!$B$3),MONTH($A163)=MONTH(Settings!$B$3)),Settings!$B$10,0))</f>
        <v/>
      </c>
      <c r="O163" s="78">
        <f>IF($A163="","",SUMIFS($K$5:$K$800,$A$5:$A$800,"&gt;="&amp;DATE(YEAR($A163),MONTH($A163),1),$A$5:$A$800,"&lt;="&amp;$A163)+IF(AND(YEAR($A163)=YEAR(Settings!$B$3),MONTH($A163)=MONTH(Settings!$B$3)),Settings!$B$11,0))</f>
        <v/>
      </c>
      <c r="P163" s="77">
        <f>IF($A163="","",SUMIFS($H$5:$H$800,$A$5:$A$800,"&gt;="&amp;DATE(YEAR($A163),MONTH($A163),1),$A$5:$A$800,"&lt;="&amp;$A163)+IF(AND(YEAR($A163)=YEAR(Settings!$B$3),MONTH($A163)=MONTH(Settings!$B$3)),Settings!$B$12,0))</f>
        <v/>
      </c>
      <c r="Q163" s="78">
        <f>IF($A163="","",SUMIFS($I$5:$I$800,$A$5:$A$800,"&gt;="&amp;DATE(YEAR($A163),MONTH($A163),1),$A$5:$A$800,"&lt;="&amp;$A163)+IF(AND(YEAR($A163)=YEAR(Settings!$B$3),MONTH($A163)=MONTH(Settings!$B$3)),Settings!$B$13,0))</f>
        <v/>
      </c>
      <c r="R163" s="77">
        <f>IF($A163="","",N163+P163)</f>
        <v/>
      </c>
      <c r="S163" s="78">
        <f>IF($A163="","",O163+Q163)</f>
        <v/>
      </c>
    </row>
    <row r="164">
      <c r="A164" s="67" t="n"/>
      <c r="B164" s="75" t="n"/>
      <c r="C164" s="76" t="n"/>
      <c r="D164" s="75" t="n"/>
      <c r="E164" s="76" t="n"/>
      <c r="F164" s="75" t="n"/>
      <c r="G164" s="76" t="n"/>
      <c r="H164" s="75" t="n"/>
      <c r="I164" s="76" t="n"/>
      <c r="J164" s="77">
        <f>IF($A164="","",B164+D164+F164)</f>
        <v/>
      </c>
      <c r="K164" s="78">
        <f>IF($A164="","",C164+E164+G164)</f>
        <v/>
      </c>
      <c r="L164" s="79">
        <f>IF($A164="","",J164+H164)</f>
        <v/>
      </c>
      <c r="M164" s="80">
        <f>IF($A164="","",K164+I164)</f>
        <v/>
      </c>
      <c r="N164" s="77">
        <f>IF($A164="","",SUMIFS($J$5:$J$800,$A$5:$A$800,"&gt;="&amp;DATE(YEAR($A164),MONTH($A164),1),$A$5:$A$800,"&lt;="&amp;$A164)+IF(AND(YEAR($A164)=YEAR(Settings!$B$3),MONTH($A164)=MONTH(Settings!$B$3)),Settings!$B$10,0))</f>
        <v/>
      </c>
      <c r="O164" s="78">
        <f>IF($A164="","",SUMIFS($K$5:$K$800,$A$5:$A$800,"&gt;="&amp;DATE(YEAR($A164),MONTH($A164),1),$A$5:$A$800,"&lt;="&amp;$A164)+IF(AND(YEAR($A164)=YEAR(Settings!$B$3),MONTH($A164)=MONTH(Settings!$B$3)),Settings!$B$11,0))</f>
        <v/>
      </c>
      <c r="P164" s="77">
        <f>IF($A164="","",SUMIFS($H$5:$H$800,$A$5:$A$800,"&gt;="&amp;DATE(YEAR($A164),MONTH($A164),1),$A$5:$A$800,"&lt;="&amp;$A164)+IF(AND(YEAR($A164)=YEAR(Settings!$B$3),MONTH($A164)=MONTH(Settings!$B$3)),Settings!$B$12,0))</f>
        <v/>
      </c>
      <c r="Q164" s="78">
        <f>IF($A164="","",SUMIFS($I$5:$I$800,$A$5:$A$800,"&gt;="&amp;DATE(YEAR($A164),MONTH($A164),1),$A$5:$A$800,"&lt;="&amp;$A164)+IF(AND(YEAR($A164)=YEAR(Settings!$B$3),MONTH($A164)=MONTH(Settings!$B$3)),Settings!$B$13,0))</f>
        <v/>
      </c>
      <c r="R164" s="77">
        <f>IF($A164="","",N164+P164)</f>
        <v/>
      </c>
      <c r="S164" s="78">
        <f>IF($A164="","",O164+Q164)</f>
        <v/>
      </c>
    </row>
    <row r="165">
      <c r="A165" s="67" t="n"/>
      <c r="B165" s="75" t="n"/>
      <c r="C165" s="76" t="n"/>
      <c r="D165" s="75" t="n"/>
      <c r="E165" s="76" t="n"/>
      <c r="F165" s="75" t="n"/>
      <c r="G165" s="76" t="n"/>
      <c r="H165" s="75" t="n"/>
      <c r="I165" s="76" t="n"/>
      <c r="J165" s="77">
        <f>IF($A165="","",B165+D165+F165)</f>
        <v/>
      </c>
      <c r="K165" s="78">
        <f>IF($A165="","",C165+E165+G165)</f>
        <v/>
      </c>
      <c r="L165" s="79">
        <f>IF($A165="","",J165+H165)</f>
        <v/>
      </c>
      <c r="M165" s="80">
        <f>IF($A165="","",K165+I165)</f>
        <v/>
      </c>
      <c r="N165" s="77">
        <f>IF($A165="","",SUMIFS($J$5:$J$800,$A$5:$A$800,"&gt;="&amp;DATE(YEAR($A165),MONTH($A165),1),$A$5:$A$800,"&lt;="&amp;$A165)+IF(AND(YEAR($A165)=YEAR(Settings!$B$3),MONTH($A165)=MONTH(Settings!$B$3)),Settings!$B$10,0))</f>
        <v/>
      </c>
      <c r="O165" s="78">
        <f>IF($A165="","",SUMIFS($K$5:$K$800,$A$5:$A$800,"&gt;="&amp;DATE(YEAR($A165),MONTH($A165),1),$A$5:$A$800,"&lt;="&amp;$A165)+IF(AND(YEAR($A165)=YEAR(Settings!$B$3),MONTH($A165)=MONTH(Settings!$B$3)),Settings!$B$11,0))</f>
        <v/>
      </c>
      <c r="P165" s="77">
        <f>IF($A165="","",SUMIFS($H$5:$H$800,$A$5:$A$800,"&gt;="&amp;DATE(YEAR($A165),MONTH($A165),1),$A$5:$A$800,"&lt;="&amp;$A165)+IF(AND(YEAR($A165)=YEAR(Settings!$B$3),MONTH($A165)=MONTH(Settings!$B$3)),Settings!$B$12,0))</f>
        <v/>
      </c>
      <c r="Q165" s="78">
        <f>IF($A165="","",SUMIFS($I$5:$I$800,$A$5:$A$800,"&gt;="&amp;DATE(YEAR($A165),MONTH($A165),1),$A$5:$A$800,"&lt;="&amp;$A165)+IF(AND(YEAR($A165)=YEAR(Settings!$B$3),MONTH($A165)=MONTH(Settings!$B$3)),Settings!$B$13,0))</f>
        <v/>
      </c>
      <c r="R165" s="77">
        <f>IF($A165="","",N165+P165)</f>
        <v/>
      </c>
      <c r="S165" s="78">
        <f>IF($A165="","",O165+Q165)</f>
        <v/>
      </c>
    </row>
    <row r="166">
      <c r="A166" s="67" t="n"/>
      <c r="B166" s="75" t="n"/>
      <c r="C166" s="76" t="n"/>
      <c r="D166" s="75" t="n"/>
      <c r="E166" s="76" t="n"/>
      <c r="F166" s="75" t="n"/>
      <c r="G166" s="76" t="n"/>
      <c r="H166" s="75" t="n"/>
      <c r="I166" s="76" t="n"/>
      <c r="J166" s="77">
        <f>IF($A166="","",B166+D166+F166)</f>
        <v/>
      </c>
      <c r="K166" s="78">
        <f>IF($A166="","",C166+E166+G166)</f>
        <v/>
      </c>
      <c r="L166" s="79">
        <f>IF($A166="","",J166+H166)</f>
        <v/>
      </c>
      <c r="M166" s="80">
        <f>IF($A166="","",K166+I166)</f>
        <v/>
      </c>
      <c r="N166" s="77">
        <f>IF($A166="","",SUMIFS($J$5:$J$800,$A$5:$A$800,"&gt;="&amp;DATE(YEAR($A166),MONTH($A166),1),$A$5:$A$800,"&lt;="&amp;$A166)+IF(AND(YEAR($A166)=YEAR(Settings!$B$3),MONTH($A166)=MONTH(Settings!$B$3)),Settings!$B$10,0))</f>
        <v/>
      </c>
      <c r="O166" s="78">
        <f>IF($A166="","",SUMIFS($K$5:$K$800,$A$5:$A$800,"&gt;="&amp;DATE(YEAR($A166),MONTH($A166),1),$A$5:$A$800,"&lt;="&amp;$A166)+IF(AND(YEAR($A166)=YEAR(Settings!$B$3),MONTH($A166)=MONTH(Settings!$B$3)),Settings!$B$11,0))</f>
        <v/>
      </c>
      <c r="P166" s="77">
        <f>IF($A166="","",SUMIFS($H$5:$H$800,$A$5:$A$800,"&gt;="&amp;DATE(YEAR($A166),MONTH($A166),1),$A$5:$A$800,"&lt;="&amp;$A166)+IF(AND(YEAR($A166)=YEAR(Settings!$B$3),MONTH($A166)=MONTH(Settings!$B$3)),Settings!$B$12,0))</f>
        <v/>
      </c>
      <c r="Q166" s="78">
        <f>IF($A166="","",SUMIFS($I$5:$I$800,$A$5:$A$800,"&gt;="&amp;DATE(YEAR($A166),MONTH($A166),1),$A$5:$A$800,"&lt;="&amp;$A166)+IF(AND(YEAR($A166)=YEAR(Settings!$B$3),MONTH($A166)=MONTH(Settings!$B$3)),Settings!$B$13,0))</f>
        <v/>
      </c>
      <c r="R166" s="77">
        <f>IF($A166="","",N166+P166)</f>
        <v/>
      </c>
      <c r="S166" s="78">
        <f>IF($A166="","",O166+Q166)</f>
        <v/>
      </c>
    </row>
    <row r="167">
      <c r="A167" s="67" t="n"/>
      <c r="B167" s="75" t="n"/>
      <c r="C167" s="76" t="n"/>
      <c r="D167" s="75" t="n"/>
      <c r="E167" s="76" t="n"/>
      <c r="F167" s="75" t="n"/>
      <c r="G167" s="76" t="n"/>
      <c r="H167" s="75" t="n"/>
      <c r="I167" s="76" t="n"/>
      <c r="J167" s="77">
        <f>IF($A167="","",B167+D167+F167)</f>
        <v/>
      </c>
      <c r="K167" s="78">
        <f>IF($A167="","",C167+E167+G167)</f>
        <v/>
      </c>
      <c r="L167" s="79">
        <f>IF($A167="","",J167+H167)</f>
        <v/>
      </c>
      <c r="M167" s="80">
        <f>IF($A167="","",K167+I167)</f>
        <v/>
      </c>
      <c r="N167" s="77">
        <f>IF($A167="","",SUMIFS($J$5:$J$800,$A$5:$A$800,"&gt;="&amp;DATE(YEAR($A167),MONTH($A167),1),$A$5:$A$800,"&lt;="&amp;$A167)+IF(AND(YEAR($A167)=YEAR(Settings!$B$3),MONTH($A167)=MONTH(Settings!$B$3)),Settings!$B$10,0))</f>
        <v/>
      </c>
      <c r="O167" s="78">
        <f>IF($A167="","",SUMIFS($K$5:$K$800,$A$5:$A$800,"&gt;="&amp;DATE(YEAR($A167),MONTH($A167),1),$A$5:$A$800,"&lt;="&amp;$A167)+IF(AND(YEAR($A167)=YEAR(Settings!$B$3),MONTH($A167)=MONTH(Settings!$B$3)),Settings!$B$11,0))</f>
        <v/>
      </c>
      <c r="P167" s="77">
        <f>IF($A167="","",SUMIFS($H$5:$H$800,$A$5:$A$800,"&gt;="&amp;DATE(YEAR($A167),MONTH($A167),1),$A$5:$A$800,"&lt;="&amp;$A167)+IF(AND(YEAR($A167)=YEAR(Settings!$B$3),MONTH($A167)=MONTH(Settings!$B$3)),Settings!$B$12,0))</f>
        <v/>
      </c>
      <c r="Q167" s="78">
        <f>IF($A167="","",SUMIFS($I$5:$I$800,$A$5:$A$800,"&gt;="&amp;DATE(YEAR($A167),MONTH($A167),1),$A$5:$A$800,"&lt;="&amp;$A167)+IF(AND(YEAR($A167)=YEAR(Settings!$B$3),MONTH($A167)=MONTH(Settings!$B$3)),Settings!$B$13,0))</f>
        <v/>
      </c>
      <c r="R167" s="77">
        <f>IF($A167="","",N167+P167)</f>
        <v/>
      </c>
      <c r="S167" s="78">
        <f>IF($A167="","",O167+Q167)</f>
        <v/>
      </c>
    </row>
    <row r="168">
      <c r="A168" s="67" t="n"/>
      <c r="B168" s="75" t="n"/>
      <c r="C168" s="76" t="n"/>
      <c r="D168" s="75" t="n"/>
      <c r="E168" s="76" t="n"/>
      <c r="F168" s="75" t="n"/>
      <c r="G168" s="76" t="n"/>
      <c r="H168" s="75" t="n"/>
      <c r="I168" s="76" t="n"/>
      <c r="J168" s="77">
        <f>IF($A168="","",B168+D168+F168)</f>
        <v/>
      </c>
      <c r="K168" s="78">
        <f>IF($A168="","",C168+E168+G168)</f>
        <v/>
      </c>
      <c r="L168" s="79">
        <f>IF($A168="","",J168+H168)</f>
        <v/>
      </c>
      <c r="M168" s="80">
        <f>IF($A168="","",K168+I168)</f>
        <v/>
      </c>
      <c r="N168" s="77">
        <f>IF($A168="","",SUMIFS($J$5:$J$800,$A$5:$A$800,"&gt;="&amp;DATE(YEAR($A168),MONTH($A168),1),$A$5:$A$800,"&lt;="&amp;$A168)+IF(AND(YEAR($A168)=YEAR(Settings!$B$3),MONTH($A168)=MONTH(Settings!$B$3)),Settings!$B$10,0))</f>
        <v/>
      </c>
      <c r="O168" s="78">
        <f>IF($A168="","",SUMIFS($K$5:$K$800,$A$5:$A$800,"&gt;="&amp;DATE(YEAR($A168),MONTH($A168),1),$A$5:$A$800,"&lt;="&amp;$A168)+IF(AND(YEAR($A168)=YEAR(Settings!$B$3),MONTH($A168)=MONTH(Settings!$B$3)),Settings!$B$11,0))</f>
        <v/>
      </c>
      <c r="P168" s="77">
        <f>IF($A168="","",SUMIFS($H$5:$H$800,$A$5:$A$800,"&gt;="&amp;DATE(YEAR($A168),MONTH($A168),1),$A$5:$A$800,"&lt;="&amp;$A168)+IF(AND(YEAR($A168)=YEAR(Settings!$B$3),MONTH($A168)=MONTH(Settings!$B$3)),Settings!$B$12,0))</f>
        <v/>
      </c>
      <c r="Q168" s="78">
        <f>IF($A168="","",SUMIFS($I$5:$I$800,$A$5:$A$800,"&gt;="&amp;DATE(YEAR($A168),MONTH($A168),1),$A$5:$A$800,"&lt;="&amp;$A168)+IF(AND(YEAR($A168)=YEAR(Settings!$B$3),MONTH($A168)=MONTH(Settings!$B$3)),Settings!$B$13,0))</f>
        <v/>
      </c>
      <c r="R168" s="77">
        <f>IF($A168="","",N168+P168)</f>
        <v/>
      </c>
      <c r="S168" s="78">
        <f>IF($A168="","",O168+Q168)</f>
        <v/>
      </c>
    </row>
    <row r="169">
      <c r="A169" s="67" t="n"/>
      <c r="B169" s="75" t="n"/>
      <c r="C169" s="76" t="n"/>
      <c r="D169" s="75" t="n"/>
      <c r="E169" s="76" t="n"/>
      <c r="F169" s="75" t="n"/>
      <c r="G169" s="76" t="n"/>
      <c r="H169" s="75" t="n"/>
      <c r="I169" s="76" t="n"/>
      <c r="J169" s="77">
        <f>IF($A169="","",B169+D169+F169)</f>
        <v/>
      </c>
      <c r="K169" s="78">
        <f>IF($A169="","",C169+E169+G169)</f>
        <v/>
      </c>
      <c r="L169" s="79">
        <f>IF($A169="","",J169+H169)</f>
        <v/>
      </c>
      <c r="M169" s="80">
        <f>IF($A169="","",K169+I169)</f>
        <v/>
      </c>
      <c r="N169" s="77">
        <f>IF($A169="","",SUMIFS($J$5:$J$800,$A$5:$A$800,"&gt;="&amp;DATE(YEAR($A169),MONTH($A169),1),$A$5:$A$800,"&lt;="&amp;$A169)+IF(AND(YEAR($A169)=YEAR(Settings!$B$3),MONTH($A169)=MONTH(Settings!$B$3)),Settings!$B$10,0))</f>
        <v/>
      </c>
      <c r="O169" s="78">
        <f>IF($A169="","",SUMIFS($K$5:$K$800,$A$5:$A$800,"&gt;="&amp;DATE(YEAR($A169),MONTH($A169),1),$A$5:$A$800,"&lt;="&amp;$A169)+IF(AND(YEAR($A169)=YEAR(Settings!$B$3),MONTH($A169)=MONTH(Settings!$B$3)),Settings!$B$11,0))</f>
        <v/>
      </c>
      <c r="P169" s="77">
        <f>IF($A169="","",SUMIFS($H$5:$H$800,$A$5:$A$800,"&gt;="&amp;DATE(YEAR($A169),MONTH($A169),1),$A$5:$A$800,"&lt;="&amp;$A169)+IF(AND(YEAR($A169)=YEAR(Settings!$B$3),MONTH($A169)=MONTH(Settings!$B$3)),Settings!$B$12,0))</f>
        <v/>
      </c>
      <c r="Q169" s="78">
        <f>IF($A169="","",SUMIFS($I$5:$I$800,$A$5:$A$800,"&gt;="&amp;DATE(YEAR($A169),MONTH($A169),1),$A$5:$A$800,"&lt;="&amp;$A169)+IF(AND(YEAR($A169)=YEAR(Settings!$B$3),MONTH($A169)=MONTH(Settings!$B$3)),Settings!$B$13,0))</f>
        <v/>
      </c>
      <c r="R169" s="77">
        <f>IF($A169="","",N169+P169)</f>
        <v/>
      </c>
      <c r="S169" s="78">
        <f>IF($A169="","",O169+Q169)</f>
        <v/>
      </c>
    </row>
    <row r="170">
      <c r="A170" s="67" t="n"/>
      <c r="B170" s="75" t="n"/>
      <c r="C170" s="76" t="n"/>
      <c r="D170" s="75" t="n"/>
      <c r="E170" s="76" t="n"/>
      <c r="F170" s="75" t="n"/>
      <c r="G170" s="76" t="n"/>
      <c r="H170" s="75" t="n"/>
      <c r="I170" s="76" t="n"/>
      <c r="J170" s="77">
        <f>IF($A170="","",B170+D170+F170)</f>
        <v/>
      </c>
      <c r="K170" s="78">
        <f>IF($A170="","",C170+E170+G170)</f>
        <v/>
      </c>
      <c r="L170" s="79">
        <f>IF($A170="","",J170+H170)</f>
        <v/>
      </c>
      <c r="M170" s="80">
        <f>IF($A170="","",K170+I170)</f>
        <v/>
      </c>
      <c r="N170" s="77">
        <f>IF($A170="","",SUMIFS($J$5:$J$800,$A$5:$A$800,"&gt;="&amp;DATE(YEAR($A170),MONTH($A170),1),$A$5:$A$800,"&lt;="&amp;$A170)+IF(AND(YEAR($A170)=YEAR(Settings!$B$3),MONTH($A170)=MONTH(Settings!$B$3)),Settings!$B$10,0))</f>
        <v/>
      </c>
      <c r="O170" s="78">
        <f>IF($A170="","",SUMIFS($K$5:$K$800,$A$5:$A$800,"&gt;="&amp;DATE(YEAR($A170),MONTH($A170),1),$A$5:$A$800,"&lt;="&amp;$A170)+IF(AND(YEAR($A170)=YEAR(Settings!$B$3),MONTH($A170)=MONTH(Settings!$B$3)),Settings!$B$11,0))</f>
        <v/>
      </c>
      <c r="P170" s="77">
        <f>IF($A170="","",SUMIFS($H$5:$H$800,$A$5:$A$800,"&gt;="&amp;DATE(YEAR($A170),MONTH($A170),1),$A$5:$A$800,"&lt;="&amp;$A170)+IF(AND(YEAR($A170)=YEAR(Settings!$B$3),MONTH($A170)=MONTH(Settings!$B$3)),Settings!$B$12,0))</f>
        <v/>
      </c>
      <c r="Q170" s="78">
        <f>IF($A170="","",SUMIFS($I$5:$I$800,$A$5:$A$800,"&gt;="&amp;DATE(YEAR($A170),MONTH($A170),1),$A$5:$A$800,"&lt;="&amp;$A170)+IF(AND(YEAR($A170)=YEAR(Settings!$B$3),MONTH($A170)=MONTH(Settings!$B$3)),Settings!$B$13,0))</f>
        <v/>
      </c>
      <c r="R170" s="77">
        <f>IF($A170="","",N170+P170)</f>
        <v/>
      </c>
      <c r="S170" s="78">
        <f>IF($A170="","",O170+Q170)</f>
        <v/>
      </c>
    </row>
    <row r="171">
      <c r="A171" s="67" t="n"/>
      <c r="B171" s="75" t="n"/>
      <c r="C171" s="76" t="n"/>
      <c r="D171" s="75" t="n"/>
      <c r="E171" s="76" t="n"/>
      <c r="F171" s="75" t="n"/>
      <c r="G171" s="76" t="n"/>
      <c r="H171" s="75" t="n"/>
      <c r="I171" s="76" t="n"/>
      <c r="J171" s="77">
        <f>IF($A171="","",B171+D171+F171)</f>
        <v/>
      </c>
      <c r="K171" s="78">
        <f>IF($A171="","",C171+E171+G171)</f>
        <v/>
      </c>
      <c r="L171" s="79">
        <f>IF($A171="","",J171+H171)</f>
        <v/>
      </c>
      <c r="M171" s="80">
        <f>IF($A171="","",K171+I171)</f>
        <v/>
      </c>
      <c r="N171" s="77">
        <f>IF($A171="","",SUMIFS($J$5:$J$800,$A$5:$A$800,"&gt;="&amp;DATE(YEAR($A171),MONTH($A171),1),$A$5:$A$800,"&lt;="&amp;$A171)+IF(AND(YEAR($A171)=YEAR(Settings!$B$3),MONTH($A171)=MONTH(Settings!$B$3)),Settings!$B$10,0))</f>
        <v/>
      </c>
      <c r="O171" s="78">
        <f>IF($A171="","",SUMIFS($K$5:$K$800,$A$5:$A$800,"&gt;="&amp;DATE(YEAR($A171),MONTH($A171),1),$A$5:$A$800,"&lt;="&amp;$A171)+IF(AND(YEAR($A171)=YEAR(Settings!$B$3),MONTH($A171)=MONTH(Settings!$B$3)),Settings!$B$11,0))</f>
        <v/>
      </c>
      <c r="P171" s="77">
        <f>IF($A171="","",SUMIFS($H$5:$H$800,$A$5:$A$800,"&gt;="&amp;DATE(YEAR($A171),MONTH($A171),1),$A$5:$A$800,"&lt;="&amp;$A171)+IF(AND(YEAR($A171)=YEAR(Settings!$B$3),MONTH($A171)=MONTH(Settings!$B$3)),Settings!$B$12,0))</f>
        <v/>
      </c>
      <c r="Q171" s="78">
        <f>IF($A171="","",SUMIFS($I$5:$I$800,$A$5:$A$800,"&gt;="&amp;DATE(YEAR($A171),MONTH($A171),1),$A$5:$A$800,"&lt;="&amp;$A171)+IF(AND(YEAR($A171)=YEAR(Settings!$B$3),MONTH($A171)=MONTH(Settings!$B$3)),Settings!$B$13,0))</f>
        <v/>
      </c>
      <c r="R171" s="77">
        <f>IF($A171="","",N171+P171)</f>
        <v/>
      </c>
      <c r="S171" s="78">
        <f>IF($A171="","",O171+Q171)</f>
        <v/>
      </c>
    </row>
    <row r="172">
      <c r="A172" s="67" t="n"/>
      <c r="B172" s="75" t="n"/>
      <c r="C172" s="76" t="n"/>
      <c r="D172" s="75" t="n"/>
      <c r="E172" s="76" t="n"/>
      <c r="F172" s="75" t="n"/>
      <c r="G172" s="76" t="n"/>
      <c r="H172" s="75" t="n"/>
      <c r="I172" s="76" t="n"/>
      <c r="J172" s="77">
        <f>IF($A172="","",B172+D172+F172)</f>
        <v/>
      </c>
      <c r="K172" s="78">
        <f>IF($A172="","",C172+E172+G172)</f>
        <v/>
      </c>
      <c r="L172" s="79">
        <f>IF($A172="","",J172+H172)</f>
        <v/>
      </c>
      <c r="M172" s="80">
        <f>IF($A172="","",K172+I172)</f>
        <v/>
      </c>
      <c r="N172" s="77">
        <f>IF($A172="","",SUMIFS($J$5:$J$800,$A$5:$A$800,"&gt;="&amp;DATE(YEAR($A172),MONTH($A172),1),$A$5:$A$800,"&lt;="&amp;$A172)+IF(AND(YEAR($A172)=YEAR(Settings!$B$3),MONTH($A172)=MONTH(Settings!$B$3)),Settings!$B$10,0))</f>
        <v/>
      </c>
      <c r="O172" s="78">
        <f>IF($A172="","",SUMIFS($K$5:$K$800,$A$5:$A$800,"&gt;="&amp;DATE(YEAR($A172),MONTH($A172),1),$A$5:$A$800,"&lt;="&amp;$A172)+IF(AND(YEAR($A172)=YEAR(Settings!$B$3),MONTH($A172)=MONTH(Settings!$B$3)),Settings!$B$11,0))</f>
        <v/>
      </c>
      <c r="P172" s="77">
        <f>IF($A172="","",SUMIFS($H$5:$H$800,$A$5:$A$800,"&gt;="&amp;DATE(YEAR($A172),MONTH($A172),1),$A$5:$A$800,"&lt;="&amp;$A172)+IF(AND(YEAR($A172)=YEAR(Settings!$B$3),MONTH($A172)=MONTH(Settings!$B$3)),Settings!$B$12,0))</f>
        <v/>
      </c>
      <c r="Q172" s="78">
        <f>IF($A172="","",SUMIFS($I$5:$I$800,$A$5:$A$800,"&gt;="&amp;DATE(YEAR($A172),MONTH($A172),1),$A$5:$A$800,"&lt;="&amp;$A172)+IF(AND(YEAR($A172)=YEAR(Settings!$B$3),MONTH($A172)=MONTH(Settings!$B$3)),Settings!$B$13,0))</f>
        <v/>
      </c>
      <c r="R172" s="77">
        <f>IF($A172="","",N172+P172)</f>
        <v/>
      </c>
      <c r="S172" s="78">
        <f>IF($A172="","",O172+Q172)</f>
        <v/>
      </c>
    </row>
    <row r="173">
      <c r="A173" s="67" t="n"/>
      <c r="B173" s="75" t="n"/>
      <c r="C173" s="76" t="n"/>
      <c r="D173" s="75" t="n"/>
      <c r="E173" s="76" t="n"/>
      <c r="F173" s="75" t="n"/>
      <c r="G173" s="76" t="n"/>
      <c r="H173" s="75" t="n"/>
      <c r="I173" s="76" t="n"/>
      <c r="J173" s="77">
        <f>IF($A173="","",B173+D173+F173)</f>
        <v/>
      </c>
      <c r="K173" s="78">
        <f>IF($A173="","",C173+E173+G173)</f>
        <v/>
      </c>
      <c r="L173" s="79">
        <f>IF($A173="","",J173+H173)</f>
        <v/>
      </c>
      <c r="M173" s="80">
        <f>IF($A173="","",K173+I173)</f>
        <v/>
      </c>
      <c r="N173" s="77">
        <f>IF($A173="","",SUMIFS($J$5:$J$800,$A$5:$A$800,"&gt;="&amp;DATE(YEAR($A173),MONTH($A173),1),$A$5:$A$800,"&lt;="&amp;$A173)+IF(AND(YEAR($A173)=YEAR(Settings!$B$3),MONTH($A173)=MONTH(Settings!$B$3)),Settings!$B$10,0))</f>
        <v/>
      </c>
      <c r="O173" s="78">
        <f>IF($A173="","",SUMIFS($K$5:$K$800,$A$5:$A$800,"&gt;="&amp;DATE(YEAR($A173),MONTH($A173),1),$A$5:$A$800,"&lt;="&amp;$A173)+IF(AND(YEAR($A173)=YEAR(Settings!$B$3),MONTH($A173)=MONTH(Settings!$B$3)),Settings!$B$11,0))</f>
        <v/>
      </c>
      <c r="P173" s="77">
        <f>IF($A173="","",SUMIFS($H$5:$H$800,$A$5:$A$800,"&gt;="&amp;DATE(YEAR($A173),MONTH($A173),1),$A$5:$A$800,"&lt;="&amp;$A173)+IF(AND(YEAR($A173)=YEAR(Settings!$B$3),MONTH($A173)=MONTH(Settings!$B$3)),Settings!$B$12,0))</f>
        <v/>
      </c>
      <c r="Q173" s="78">
        <f>IF($A173="","",SUMIFS($I$5:$I$800,$A$5:$A$800,"&gt;="&amp;DATE(YEAR($A173),MONTH($A173),1),$A$5:$A$800,"&lt;="&amp;$A173)+IF(AND(YEAR($A173)=YEAR(Settings!$B$3),MONTH($A173)=MONTH(Settings!$B$3)),Settings!$B$13,0))</f>
        <v/>
      </c>
      <c r="R173" s="77">
        <f>IF($A173="","",N173+P173)</f>
        <v/>
      </c>
      <c r="S173" s="78">
        <f>IF($A173="","",O173+Q173)</f>
        <v/>
      </c>
    </row>
    <row r="174">
      <c r="A174" s="67" t="n"/>
      <c r="B174" s="75" t="n"/>
      <c r="C174" s="76" t="n"/>
      <c r="D174" s="75" t="n"/>
      <c r="E174" s="76" t="n"/>
      <c r="F174" s="75" t="n"/>
      <c r="G174" s="76" t="n"/>
      <c r="H174" s="75" t="n"/>
      <c r="I174" s="76" t="n"/>
      <c r="J174" s="77">
        <f>IF($A174="","",B174+D174+F174)</f>
        <v/>
      </c>
      <c r="K174" s="78">
        <f>IF($A174="","",C174+E174+G174)</f>
        <v/>
      </c>
      <c r="L174" s="79">
        <f>IF($A174="","",J174+H174)</f>
        <v/>
      </c>
      <c r="M174" s="80">
        <f>IF($A174="","",K174+I174)</f>
        <v/>
      </c>
      <c r="N174" s="77">
        <f>IF($A174="","",SUMIFS($J$5:$J$800,$A$5:$A$800,"&gt;="&amp;DATE(YEAR($A174),MONTH($A174),1),$A$5:$A$800,"&lt;="&amp;$A174)+IF(AND(YEAR($A174)=YEAR(Settings!$B$3),MONTH($A174)=MONTH(Settings!$B$3)),Settings!$B$10,0))</f>
        <v/>
      </c>
      <c r="O174" s="78">
        <f>IF($A174="","",SUMIFS($K$5:$K$800,$A$5:$A$800,"&gt;="&amp;DATE(YEAR($A174),MONTH($A174),1),$A$5:$A$800,"&lt;="&amp;$A174)+IF(AND(YEAR($A174)=YEAR(Settings!$B$3),MONTH($A174)=MONTH(Settings!$B$3)),Settings!$B$11,0))</f>
        <v/>
      </c>
      <c r="P174" s="77">
        <f>IF($A174="","",SUMIFS($H$5:$H$800,$A$5:$A$800,"&gt;="&amp;DATE(YEAR($A174),MONTH($A174),1),$A$5:$A$800,"&lt;="&amp;$A174)+IF(AND(YEAR($A174)=YEAR(Settings!$B$3),MONTH($A174)=MONTH(Settings!$B$3)),Settings!$B$12,0))</f>
        <v/>
      </c>
      <c r="Q174" s="78">
        <f>IF($A174="","",SUMIFS($I$5:$I$800,$A$5:$A$800,"&gt;="&amp;DATE(YEAR($A174),MONTH($A174),1),$A$5:$A$800,"&lt;="&amp;$A174)+IF(AND(YEAR($A174)=YEAR(Settings!$B$3),MONTH($A174)=MONTH(Settings!$B$3)),Settings!$B$13,0))</f>
        <v/>
      </c>
      <c r="R174" s="77">
        <f>IF($A174="","",N174+P174)</f>
        <v/>
      </c>
      <c r="S174" s="78">
        <f>IF($A174="","",O174+Q174)</f>
        <v/>
      </c>
    </row>
    <row r="175">
      <c r="A175" s="67" t="n"/>
      <c r="B175" s="75" t="n"/>
      <c r="C175" s="76" t="n"/>
      <c r="D175" s="75" t="n"/>
      <c r="E175" s="76" t="n"/>
      <c r="F175" s="75" t="n"/>
      <c r="G175" s="76" t="n"/>
      <c r="H175" s="75" t="n"/>
      <c r="I175" s="76" t="n"/>
      <c r="J175" s="77">
        <f>IF($A175="","",B175+D175+F175)</f>
        <v/>
      </c>
      <c r="K175" s="78">
        <f>IF($A175="","",C175+E175+G175)</f>
        <v/>
      </c>
      <c r="L175" s="79">
        <f>IF($A175="","",J175+H175)</f>
        <v/>
      </c>
      <c r="M175" s="80">
        <f>IF($A175="","",K175+I175)</f>
        <v/>
      </c>
      <c r="N175" s="77">
        <f>IF($A175="","",SUMIFS($J$5:$J$800,$A$5:$A$800,"&gt;="&amp;DATE(YEAR($A175),MONTH($A175),1),$A$5:$A$800,"&lt;="&amp;$A175)+IF(AND(YEAR($A175)=YEAR(Settings!$B$3),MONTH($A175)=MONTH(Settings!$B$3)),Settings!$B$10,0))</f>
        <v/>
      </c>
      <c r="O175" s="78">
        <f>IF($A175="","",SUMIFS($K$5:$K$800,$A$5:$A$800,"&gt;="&amp;DATE(YEAR($A175),MONTH($A175),1),$A$5:$A$800,"&lt;="&amp;$A175)+IF(AND(YEAR($A175)=YEAR(Settings!$B$3),MONTH($A175)=MONTH(Settings!$B$3)),Settings!$B$11,0))</f>
        <v/>
      </c>
      <c r="P175" s="77">
        <f>IF($A175="","",SUMIFS($H$5:$H$800,$A$5:$A$800,"&gt;="&amp;DATE(YEAR($A175),MONTH($A175),1),$A$5:$A$800,"&lt;="&amp;$A175)+IF(AND(YEAR($A175)=YEAR(Settings!$B$3),MONTH($A175)=MONTH(Settings!$B$3)),Settings!$B$12,0))</f>
        <v/>
      </c>
      <c r="Q175" s="78">
        <f>IF($A175="","",SUMIFS($I$5:$I$800,$A$5:$A$800,"&gt;="&amp;DATE(YEAR($A175),MONTH($A175),1),$A$5:$A$800,"&lt;="&amp;$A175)+IF(AND(YEAR($A175)=YEAR(Settings!$B$3),MONTH($A175)=MONTH(Settings!$B$3)),Settings!$B$13,0))</f>
        <v/>
      </c>
      <c r="R175" s="77">
        <f>IF($A175="","",N175+P175)</f>
        <v/>
      </c>
      <c r="S175" s="78">
        <f>IF($A175="","",O175+Q175)</f>
        <v/>
      </c>
    </row>
    <row r="176">
      <c r="A176" s="67" t="n"/>
      <c r="B176" s="75" t="n"/>
      <c r="C176" s="76" t="n"/>
      <c r="D176" s="75" t="n"/>
      <c r="E176" s="76" t="n"/>
      <c r="F176" s="75" t="n"/>
      <c r="G176" s="76" t="n"/>
      <c r="H176" s="75" t="n"/>
      <c r="I176" s="76" t="n"/>
      <c r="J176" s="77">
        <f>IF($A176="","",B176+D176+F176)</f>
        <v/>
      </c>
      <c r="K176" s="78">
        <f>IF($A176="","",C176+E176+G176)</f>
        <v/>
      </c>
      <c r="L176" s="79">
        <f>IF($A176="","",J176+H176)</f>
        <v/>
      </c>
      <c r="M176" s="80">
        <f>IF($A176="","",K176+I176)</f>
        <v/>
      </c>
      <c r="N176" s="77">
        <f>IF($A176="","",SUMIFS($J$5:$J$800,$A$5:$A$800,"&gt;="&amp;DATE(YEAR($A176),MONTH($A176),1),$A$5:$A$800,"&lt;="&amp;$A176)+IF(AND(YEAR($A176)=YEAR(Settings!$B$3),MONTH($A176)=MONTH(Settings!$B$3)),Settings!$B$10,0))</f>
        <v/>
      </c>
      <c r="O176" s="78">
        <f>IF($A176="","",SUMIFS($K$5:$K$800,$A$5:$A$800,"&gt;="&amp;DATE(YEAR($A176),MONTH($A176),1),$A$5:$A$800,"&lt;="&amp;$A176)+IF(AND(YEAR($A176)=YEAR(Settings!$B$3),MONTH($A176)=MONTH(Settings!$B$3)),Settings!$B$11,0))</f>
        <v/>
      </c>
      <c r="P176" s="77">
        <f>IF($A176="","",SUMIFS($H$5:$H$800,$A$5:$A$800,"&gt;="&amp;DATE(YEAR($A176),MONTH($A176),1),$A$5:$A$800,"&lt;="&amp;$A176)+IF(AND(YEAR($A176)=YEAR(Settings!$B$3),MONTH($A176)=MONTH(Settings!$B$3)),Settings!$B$12,0))</f>
        <v/>
      </c>
      <c r="Q176" s="78">
        <f>IF($A176="","",SUMIFS($I$5:$I$800,$A$5:$A$800,"&gt;="&amp;DATE(YEAR($A176),MONTH($A176),1),$A$5:$A$800,"&lt;="&amp;$A176)+IF(AND(YEAR($A176)=YEAR(Settings!$B$3),MONTH($A176)=MONTH(Settings!$B$3)),Settings!$B$13,0))</f>
        <v/>
      </c>
      <c r="R176" s="77">
        <f>IF($A176="","",N176+P176)</f>
        <v/>
      </c>
      <c r="S176" s="78">
        <f>IF($A176="","",O176+Q176)</f>
        <v/>
      </c>
    </row>
    <row r="177">
      <c r="A177" s="67" t="n"/>
      <c r="B177" s="75" t="n"/>
      <c r="C177" s="76" t="n"/>
      <c r="D177" s="75" t="n"/>
      <c r="E177" s="76" t="n"/>
      <c r="F177" s="75" t="n"/>
      <c r="G177" s="76" t="n"/>
      <c r="H177" s="75" t="n"/>
      <c r="I177" s="76" t="n"/>
      <c r="J177" s="77">
        <f>IF($A177="","",B177+D177+F177)</f>
        <v/>
      </c>
      <c r="K177" s="78">
        <f>IF($A177="","",C177+E177+G177)</f>
        <v/>
      </c>
      <c r="L177" s="79">
        <f>IF($A177="","",J177+H177)</f>
        <v/>
      </c>
      <c r="M177" s="80">
        <f>IF($A177="","",K177+I177)</f>
        <v/>
      </c>
      <c r="N177" s="77">
        <f>IF($A177="","",SUMIFS($J$5:$J$800,$A$5:$A$800,"&gt;="&amp;DATE(YEAR($A177),MONTH($A177),1),$A$5:$A$800,"&lt;="&amp;$A177)+IF(AND(YEAR($A177)=YEAR(Settings!$B$3),MONTH($A177)=MONTH(Settings!$B$3)),Settings!$B$10,0))</f>
        <v/>
      </c>
      <c r="O177" s="78">
        <f>IF($A177="","",SUMIFS($K$5:$K$800,$A$5:$A$800,"&gt;="&amp;DATE(YEAR($A177),MONTH($A177),1),$A$5:$A$800,"&lt;="&amp;$A177)+IF(AND(YEAR($A177)=YEAR(Settings!$B$3),MONTH($A177)=MONTH(Settings!$B$3)),Settings!$B$11,0))</f>
        <v/>
      </c>
      <c r="P177" s="77">
        <f>IF($A177="","",SUMIFS($H$5:$H$800,$A$5:$A$800,"&gt;="&amp;DATE(YEAR($A177),MONTH($A177),1),$A$5:$A$800,"&lt;="&amp;$A177)+IF(AND(YEAR($A177)=YEAR(Settings!$B$3),MONTH($A177)=MONTH(Settings!$B$3)),Settings!$B$12,0))</f>
        <v/>
      </c>
      <c r="Q177" s="78">
        <f>IF($A177="","",SUMIFS($I$5:$I$800,$A$5:$A$800,"&gt;="&amp;DATE(YEAR($A177),MONTH($A177),1),$A$5:$A$800,"&lt;="&amp;$A177)+IF(AND(YEAR($A177)=YEAR(Settings!$B$3),MONTH($A177)=MONTH(Settings!$B$3)),Settings!$B$13,0))</f>
        <v/>
      </c>
      <c r="R177" s="77">
        <f>IF($A177="","",N177+P177)</f>
        <v/>
      </c>
      <c r="S177" s="78">
        <f>IF($A177="","",O177+Q177)</f>
        <v/>
      </c>
    </row>
    <row r="178">
      <c r="A178" s="67" t="n"/>
      <c r="B178" s="75" t="n"/>
      <c r="C178" s="76" t="n"/>
      <c r="D178" s="75" t="n"/>
      <c r="E178" s="76" t="n"/>
      <c r="F178" s="75" t="n"/>
      <c r="G178" s="76" t="n"/>
      <c r="H178" s="75" t="n"/>
      <c r="I178" s="76" t="n"/>
      <c r="J178" s="77">
        <f>IF($A178="","",B178+D178+F178)</f>
        <v/>
      </c>
      <c r="K178" s="78">
        <f>IF($A178="","",C178+E178+G178)</f>
        <v/>
      </c>
      <c r="L178" s="79">
        <f>IF($A178="","",J178+H178)</f>
        <v/>
      </c>
      <c r="M178" s="80">
        <f>IF($A178="","",K178+I178)</f>
        <v/>
      </c>
      <c r="N178" s="77">
        <f>IF($A178="","",SUMIFS($J$5:$J$800,$A$5:$A$800,"&gt;="&amp;DATE(YEAR($A178),MONTH($A178),1),$A$5:$A$800,"&lt;="&amp;$A178)+IF(AND(YEAR($A178)=YEAR(Settings!$B$3),MONTH($A178)=MONTH(Settings!$B$3)),Settings!$B$10,0))</f>
        <v/>
      </c>
      <c r="O178" s="78">
        <f>IF($A178="","",SUMIFS($K$5:$K$800,$A$5:$A$800,"&gt;="&amp;DATE(YEAR($A178),MONTH($A178),1),$A$5:$A$800,"&lt;="&amp;$A178)+IF(AND(YEAR($A178)=YEAR(Settings!$B$3),MONTH($A178)=MONTH(Settings!$B$3)),Settings!$B$11,0))</f>
        <v/>
      </c>
      <c r="P178" s="77">
        <f>IF($A178="","",SUMIFS($H$5:$H$800,$A$5:$A$800,"&gt;="&amp;DATE(YEAR($A178),MONTH($A178),1),$A$5:$A$800,"&lt;="&amp;$A178)+IF(AND(YEAR($A178)=YEAR(Settings!$B$3),MONTH($A178)=MONTH(Settings!$B$3)),Settings!$B$12,0))</f>
        <v/>
      </c>
      <c r="Q178" s="78">
        <f>IF($A178="","",SUMIFS($I$5:$I$800,$A$5:$A$800,"&gt;="&amp;DATE(YEAR($A178),MONTH($A178),1),$A$5:$A$800,"&lt;="&amp;$A178)+IF(AND(YEAR($A178)=YEAR(Settings!$B$3),MONTH($A178)=MONTH(Settings!$B$3)),Settings!$B$13,0))</f>
        <v/>
      </c>
      <c r="R178" s="77">
        <f>IF($A178="","",N178+P178)</f>
        <v/>
      </c>
      <c r="S178" s="78">
        <f>IF($A178="","",O178+Q178)</f>
        <v/>
      </c>
    </row>
    <row r="179">
      <c r="A179" s="67" t="n"/>
      <c r="B179" s="75" t="n"/>
      <c r="C179" s="76" t="n"/>
      <c r="D179" s="75" t="n"/>
      <c r="E179" s="76" t="n"/>
      <c r="F179" s="75" t="n"/>
      <c r="G179" s="76" t="n"/>
      <c r="H179" s="75" t="n"/>
      <c r="I179" s="76" t="n"/>
      <c r="J179" s="77">
        <f>IF($A179="","",B179+D179+F179)</f>
        <v/>
      </c>
      <c r="K179" s="78">
        <f>IF($A179="","",C179+E179+G179)</f>
        <v/>
      </c>
      <c r="L179" s="79">
        <f>IF($A179="","",J179+H179)</f>
        <v/>
      </c>
      <c r="M179" s="80">
        <f>IF($A179="","",K179+I179)</f>
        <v/>
      </c>
      <c r="N179" s="77">
        <f>IF($A179="","",SUMIFS($J$5:$J$800,$A$5:$A$800,"&gt;="&amp;DATE(YEAR($A179),MONTH($A179),1),$A$5:$A$800,"&lt;="&amp;$A179)+IF(AND(YEAR($A179)=YEAR(Settings!$B$3),MONTH($A179)=MONTH(Settings!$B$3)),Settings!$B$10,0))</f>
        <v/>
      </c>
      <c r="O179" s="78">
        <f>IF($A179="","",SUMIFS($K$5:$K$800,$A$5:$A$800,"&gt;="&amp;DATE(YEAR($A179),MONTH($A179),1),$A$5:$A$800,"&lt;="&amp;$A179)+IF(AND(YEAR($A179)=YEAR(Settings!$B$3),MONTH($A179)=MONTH(Settings!$B$3)),Settings!$B$11,0))</f>
        <v/>
      </c>
      <c r="P179" s="77">
        <f>IF($A179="","",SUMIFS($H$5:$H$800,$A$5:$A$800,"&gt;="&amp;DATE(YEAR($A179),MONTH($A179),1),$A$5:$A$800,"&lt;="&amp;$A179)+IF(AND(YEAR($A179)=YEAR(Settings!$B$3),MONTH($A179)=MONTH(Settings!$B$3)),Settings!$B$12,0))</f>
        <v/>
      </c>
      <c r="Q179" s="78">
        <f>IF($A179="","",SUMIFS($I$5:$I$800,$A$5:$A$800,"&gt;="&amp;DATE(YEAR($A179),MONTH($A179),1),$A$5:$A$800,"&lt;="&amp;$A179)+IF(AND(YEAR($A179)=YEAR(Settings!$B$3),MONTH($A179)=MONTH(Settings!$B$3)),Settings!$B$13,0))</f>
        <v/>
      </c>
      <c r="R179" s="77">
        <f>IF($A179="","",N179+P179)</f>
        <v/>
      </c>
      <c r="S179" s="78">
        <f>IF($A179="","",O179+Q179)</f>
        <v/>
      </c>
    </row>
    <row r="180">
      <c r="A180" s="67" t="n"/>
      <c r="B180" s="75" t="n"/>
      <c r="C180" s="76" t="n"/>
      <c r="D180" s="75" t="n"/>
      <c r="E180" s="76" t="n"/>
      <c r="F180" s="75" t="n"/>
      <c r="G180" s="76" t="n"/>
      <c r="H180" s="75" t="n"/>
      <c r="I180" s="76" t="n"/>
      <c r="J180" s="77">
        <f>IF($A180="","",B180+D180+F180)</f>
        <v/>
      </c>
      <c r="K180" s="78">
        <f>IF($A180="","",C180+E180+G180)</f>
        <v/>
      </c>
      <c r="L180" s="79">
        <f>IF($A180="","",J180+H180)</f>
        <v/>
      </c>
      <c r="M180" s="80">
        <f>IF($A180="","",K180+I180)</f>
        <v/>
      </c>
      <c r="N180" s="77">
        <f>IF($A180="","",SUMIFS($J$5:$J$800,$A$5:$A$800,"&gt;="&amp;DATE(YEAR($A180),MONTH($A180),1),$A$5:$A$800,"&lt;="&amp;$A180)+IF(AND(YEAR($A180)=YEAR(Settings!$B$3),MONTH($A180)=MONTH(Settings!$B$3)),Settings!$B$10,0))</f>
        <v/>
      </c>
      <c r="O180" s="78">
        <f>IF($A180="","",SUMIFS($K$5:$K$800,$A$5:$A$800,"&gt;="&amp;DATE(YEAR($A180),MONTH($A180),1),$A$5:$A$800,"&lt;="&amp;$A180)+IF(AND(YEAR($A180)=YEAR(Settings!$B$3),MONTH($A180)=MONTH(Settings!$B$3)),Settings!$B$11,0))</f>
        <v/>
      </c>
      <c r="P180" s="77">
        <f>IF($A180="","",SUMIFS($H$5:$H$800,$A$5:$A$800,"&gt;="&amp;DATE(YEAR($A180),MONTH($A180),1),$A$5:$A$800,"&lt;="&amp;$A180)+IF(AND(YEAR($A180)=YEAR(Settings!$B$3),MONTH($A180)=MONTH(Settings!$B$3)),Settings!$B$12,0))</f>
        <v/>
      </c>
      <c r="Q180" s="78">
        <f>IF($A180="","",SUMIFS($I$5:$I$800,$A$5:$A$800,"&gt;="&amp;DATE(YEAR($A180),MONTH($A180),1),$A$5:$A$800,"&lt;="&amp;$A180)+IF(AND(YEAR($A180)=YEAR(Settings!$B$3),MONTH($A180)=MONTH(Settings!$B$3)),Settings!$B$13,0))</f>
        <v/>
      </c>
      <c r="R180" s="77">
        <f>IF($A180="","",N180+P180)</f>
        <v/>
      </c>
      <c r="S180" s="78">
        <f>IF($A180="","",O180+Q180)</f>
        <v/>
      </c>
    </row>
    <row r="181">
      <c r="A181" s="67" t="n"/>
      <c r="B181" s="75" t="n"/>
      <c r="C181" s="76" t="n"/>
      <c r="D181" s="75" t="n"/>
      <c r="E181" s="76" t="n"/>
      <c r="F181" s="75" t="n"/>
      <c r="G181" s="76" t="n"/>
      <c r="H181" s="75" t="n"/>
      <c r="I181" s="76" t="n"/>
      <c r="J181" s="77">
        <f>IF($A181="","",B181+D181+F181)</f>
        <v/>
      </c>
      <c r="K181" s="78">
        <f>IF($A181="","",C181+E181+G181)</f>
        <v/>
      </c>
      <c r="L181" s="79">
        <f>IF($A181="","",J181+H181)</f>
        <v/>
      </c>
      <c r="M181" s="80">
        <f>IF($A181="","",K181+I181)</f>
        <v/>
      </c>
      <c r="N181" s="77">
        <f>IF($A181="","",SUMIFS($J$5:$J$800,$A$5:$A$800,"&gt;="&amp;DATE(YEAR($A181),MONTH($A181),1),$A$5:$A$800,"&lt;="&amp;$A181)+IF(AND(YEAR($A181)=YEAR(Settings!$B$3),MONTH($A181)=MONTH(Settings!$B$3)),Settings!$B$10,0))</f>
        <v/>
      </c>
      <c r="O181" s="78">
        <f>IF($A181="","",SUMIFS($K$5:$K$800,$A$5:$A$800,"&gt;="&amp;DATE(YEAR($A181),MONTH($A181),1),$A$5:$A$800,"&lt;="&amp;$A181)+IF(AND(YEAR($A181)=YEAR(Settings!$B$3),MONTH($A181)=MONTH(Settings!$B$3)),Settings!$B$11,0))</f>
        <v/>
      </c>
      <c r="P181" s="77">
        <f>IF($A181="","",SUMIFS($H$5:$H$800,$A$5:$A$800,"&gt;="&amp;DATE(YEAR($A181),MONTH($A181),1),$A$5:$A$800,"&lt;="&amp;$A181)+IF(AND(YEAR($A181)=YEAR(Settings!$B$3),MONTH($A181)=MONTH(Settings!$B$3)),Settings!$B$12,0))</f>
        <v/>
      </c>
      <c r="Q181" s="78">
        <f>IF($A181="","",SUMIFS($I$5:$I$800,$A$5:$A$800,"&gt;="&amp;DATE(YEAR($A181),MONTH($A181),1),$A$5:$A$800,"&lt;="&amp;$A181)+IF(AND(YEAR($A181)=YEAR(Settings!$B$3),MONTH($A181)=MONTH(Settings!$B$3)),Settings!$B$13,0))</f>
        <v/>
      </c>
      <c r="R181" s="77">
        <f>IF($A181="","",N181+P181)</f>
        <v/>
      </c>
      <c r="S181" s="78">
        <f>IF($A181="","",O181+Q181)</f>
        <v/>
      </c>
    </row>
    <row r="182">
      <c r="A182" s="67" t="n"/>
      <c r="B182" s="75" t="n"/>
      <c r="C182" s="76" t="n"/>
      <c r="D182" s="75" t="n"/>
      <c r="E182" s="76" t="n"/>
      <c r="F182" s="75" t="n"/>
      <c r="G182" s="76" t="n"/>
      <c r="H182" s="75" t="n"/>
      <c r="I182" s="76" t="n"/>
      <c r="J182" s="77">
        <f>IF($A182="","",B182+D182+F182)</f>
        <v/>
      </c>
      <c r="K182" s="78">
        <f>IF($A182="","",C182+E182+G182)</f>
        <v/>
      </c>
      <c r="L182" s="79">
        <f>IF($A182="","",J182+H182)</f>
        <v/>
      </c>
      <c r="M182" s="80">
        <f>IF($A182="","",K182+I182)</f>
        <v/>
      </c>
      <c r="N182" s="77">
        <f>IF($A182="","",SUMIFS($J$5:$J$800,$A$5:$A$800,"&gt;="&amp;DATE(YEAR($A182),MONTH($A182),1),$A$5:$A$800,"&lt;="&amp;$A182)+IF(AND(YEAR($A182)=YEAR(Settings!$B$3),MONTH($A182)=MONTH(Settings!$B$3)),Settings!$B$10,0))</f>
        <v/>
      </c>
      <c r="O182" s="78">
        <f>IF($A182="","",SUMIFS($K$5:$K$800,$A$5:$A$800,"&gt;="&amp;DATE(YEAR($A182),MONTH($A182),1),$A$5:$A$800,"&lt;="&amp;$A182)+IF(AND(YEAR($A182)=YEAR(Settings!$B$3),MONTH($A182)=MONTH(Settings!$B$3)),Settings!$B$11,0))</f>
        <v/>
      </c>
      <c r="P182" s="77">
        <f>IF($A182="","",SUMIFS($H$5:$H$800,$A$5:$A$800,"&gt;="&amp;DATE(YEAR($A182),MONTH($A182),1),$A$5:$A$800,"&lt;="&amp;$A182)+IF(AND(YEAR($A182)=YEAR(Settings!$B$3),MONTH($A182)=MONTH(Settings!$B$3)),Settings!$B$12,0))</f>
        <v/>
      </c>
      <c r="Q182" s="78">
        <f>IF($A182="","",SUMIFS($I$5:$I$800,$A$5:$A$800,"&gt;="&amp;DATE(YEAR($A182),MONTH($A182),1),$A$5:$A$800,"&lt;="&amp;$A182)+IF(AND(YEAR($A182)=YEAR(Settings!$B$3),MONTH($A182)=MONTH(Settings!$B$3)),Settings!$B$13,0))</f>
        <v/>
      </c>
      <c r="R182" s="77">
        <f>IF($A182="","",N182+P182)</f>
        <v/>
      </c>
      <c r="S182" s="78">
        <f>IF($A182="","",O182+Q182)</f>
        <v/>
      </c>
    </row>
    <row r="183">
      <c r="A183" s="67" t="n"/>
      <c r="B183" s="75" t="n"/>
      <c r="C183" s="76" t="n"/>
      <c r="D183" s="75" t="n"/>
      <c r="E183" s="76" t="n"/>
      <c r="F183" s="75" t="n"/>
      <c r="G183" s="76" t="n"/>
      <c r="H183" s="75" t="n"/>
      <c r="I183" s="76" t="n"/>
      <c r="J183" s="77">
        <f>IF($A183="","",B183+D183+F183)</f>
        <v/>
      </c>
      <c r="K183" s="78">
        <f>IF($A183="","",C183+E183+G183)</f>
        <v/>
      </c>
      <c r="L183" s="79">
        <f>IF($A183="","",J183+H183)</f>
        <v/>
      </c>
      <c r="M183" s="80">
        <f>IF($A183="","",K183+I183)</f>
        <v/>
      </c>
      <c r="N183" s="77">
        <f>IF($A183="","",SUMIFS($J$5:$J$800,$A$5:$A$800,"&gt;="&amp;DATE(YEAR($A183),MONTH($A183),1),$A$5:$A$800,"&lt;="&amp;$A183)+IF(AND(YEAR($A183)=YEAR(Settings!$B$3),MONTH($A183)=MONTH(Settings!$B$3)),Settings!$B$10,0))</f>
        <v/>
      </c>
      <c r="O183" s="78">
        <f>IF($A183="","",SUMIFS($K$5:$K$800,$A$5:$A$800,"&gt;="&amp;DATE(YEAR($A183),MONTH($A183),1),$A$5:$A$800,"&lt;="&amp;$A183)+IF(AND(YEAR($A183)=YEAR(Settings!$B$3),MONTH($A183)=MONTH(Settings!$B$3)),Settings!$B$11,0))</f>
        <v/>
      </c>
      <c r="P183" s="77">
        <f>IF($A183="","",SUMIFS($H$5:$H$800,$A$5:$A$800,"&gt;="&amp;DATE(YEAR($A183),MONTH($A183),1),$A$5:$A$800,"&lt;="&amp;$A183)+IF(AND(YEAR($A183)=YEAR(Settings!$B$3),MONTH($A183)=MONTH(Settings!$B$3)),Settings!$B$12,0))</f>
        <v/>
      </c>
      <c r="Q183" s="78">
        <f>IF($A183="","",SUMIFS($I$5:$I$800,$A$5:$A$800,"&gt;="&amp;DATE(YEAR($A183),MONTH($A183),1),$A$5:$A$800,"&lt;="&amp;$A183)+IF(AND(YEAR($A183)=YEAR(Settings!$B$3),MONTH($A183)=MONTH(Settings!$B$3)),Settings!$B$13,0))</f>
        <v/>
      </c>
      <c r="R183" s="77">
        <f>IF($A183="","",N183+P183)</f>
        <v/>
      </c>
      <c r="S183" s="78">
        <f>IF($A183="","",O183+Q183)</f>
        <v/>
      </c>
    </row>
    <row r="184">
      <c r="A184" s="67" t="n"/>
      <c r="B184" s="75" t="n"/>
      <c r="C184" s="76" t="n"/>
      <c r="D184" s="75" t="n"/>
      <c r="E184" s="76" t="n"/>
      <c r="F184" s="75" t="n"/>
      <c r="G184" s="76" t="n"/>
      <c r="H184" s="75" t="n"/>
      <c r="I184" s="76" t="n"/>
      <c r="J184" s="77">
        <f>IF($A184="","",B184+D184+F184)</f>
        <v/>
      </c>
      <c r="K184" s="78">
        <f>IF($A184="","",C184+E184+G184)</f>
        <v/>
      </c>
      <c r="L184" s="79">
        <f>IF($A184="","",J184+H184)</f>
        <v/>
      </c>
      <c r="M184" s="80">
        <f>IF($A184="","",K184+I184)</f>
        <v/>
      </c>
      <c r="N184" s="77">
        <f>IF($A184="","",SUMIFS($J$5:$J$800,$A$5:$A$800,"&gt;="&amp;DATE(YEAR($A184),MONTH($A184),1),$A$5:$A$800,"&lt;="&amp;$A184)+IF(AND(YEAR($A184)=YEAR(Settings!$B$3),MONTH($A184)=MONTH(Settings!$B$3)),Settings!$B$10,0))</f>
        <v/>
      </c>
      <c r="O184" s="78">
        <f>IF($A184="","",SUMIFS($K$5:$K$800,$A$5:$A$800,"&gt;="&amp;DATE(YEAR($A184),MONTH($A184),1),$A$5:$A$800,"&lt;="&amp;$A184)+IF(AND(YEAR($A184)=YEAR(Settings!$B$3),MONTH($A184)=MONTH(Settings!$B$3)),Settings!$B$11,0))</f>
        <v/>
      </c>
      <c r="P184" s="77">
        <f>IF($A184="","",SUMIFS($H$5:$H$800,$A$5:$A$800,"&gt;="&amp;DATE(YEAR($A184),MONTH($A184),1),$A$5:$A$800,"&lt;="&amp;$A184)+IF(AND(YEAR($A184)=YEAR(Settings!$B$3),MONTH($A184)=MONTH(Settings!$B$3)),Settings!$B$12,0))</f>
        <v/>
      </c>
      <c r="Q184" s="78">
        <f>IF($A184="","",SUMIFS($I$5:$I$800,$A$5:$A$800,"&gt;="&amp;DATE(YEAR($A184),MONTH($A184),1),$A$5:$A$800,"&lt;="&amp;$A184)+IF(AND(YEAR($A184)=YEAR(Settings!$B$3),MONTH($A184)=MONTH(Settings!$B$3)),Settings!$B$13,0))</f>
        <v/>
      </c>
      <c r="R184" s="77">
        <f>IF($A184="","",N184+P184)</f>
        <v/>
      </c>
      <c r="S184" s="78">
        <f>IF($A184="","",O184+Q184)</f>
        <v/>
      </c>
    </row>
    <row r="185">
      <c r="A185" s="67" t="n"/>
      <c r="B185" s="75" t="n"/>
      <c r="C185" s="76" t="n"/>
      <c r="D185" s="75" t="n"/>
      <c r="E185" s="76" t="n"/>
      <c r="F185" s="75" t="n"/>
      <c r="G185" s="76" t="n"/>
      <c r="H185" s="75" t="n"/>
      <c r="I185" s="76" t="n"/>
      <c r="J185" s="77">
        <f>IF($A185="","",B185+D185+F185)</f>
        <v/>
      </c>
      <c r="K185" s="78">
        <f>IF($A185="","",C185+E185+G185)</f>
        <v/>
      </c>
      <c r="L185" s="79">
        <f>IF($A185="","",J185+H185)</f>
        <v/>
      </c>
      <c r="M185" s="80">
        <f>IF($A185="","",K185+I185)</f>
        <v/>
      </c>
      <c r="N185" s="77">
        <f>IF($A185="","",SUMIFS($J$5:$J$800,$A$5:$A$800,"&gt;="&amp;DATE(YEAR($A185),MONTH($A185),1),$A$5:$A$800,"&lt;="&amp;$A185)+IF(AND(YEAR($A185)=YEAR(Settings!$B$3),MONTH($A185)=MONTH(Settings!$B$3)),Settings!$B$10,0))</f>
        <v/>
      </c>
      <c r="O185" s="78">
        <f>IF($A185="","",SUMIFS($K$5:$K$800,$A$5:$A$800,"&gt;="&amp;DATE(YEAR($A185),MONTH($A185),1),$A$5:$A$800,"&lt;="&amp;$A185)+IF(AND(YEAR($A185)=YEAR(Settings!$B$3),MONTH($A185)=MONTH(Settings!$B$3)),Settings!$B$11,0))</f>
        <v/>
      </c>
      <c r="P185" s="77">
        <f>IF($A185="","",SUMIFS($H$5:$H$800,$A$5:$A$800,"&gt;="&amp;DATE(YEAR($A185),MONTH($A185),1),$A$5:$A$800,"&lt;="&amp;$A185)+IF(AND(YEAR($A185)=YEAR(Settings!$B$3),MONTH($A185)=MONTH(Settings!$B$3)),Settings!$B$12,0))</f>
        <v/>
      </c>
      <c r="Q185" s="78">
        <f>IF($A185="","",SUMIFS($I$5:$I$800,$A$5:$A$800,"&gt;="&amp;DATE(YEAR($A185),MONTH($A185),1),$A$5:$A$800,"&lt;="&amp;$A185)+IF(AND(YEAR($A185)=YEAR(Settings!$B$3),MONTH($A185)=MONTH(Settings!$B$3)),Settings!$B$13,0))</f>
        <v/>
      </c>
      <c r="R185" s="77">
        <f>IF($A185="","",N185+P185)</f>
        <v/>
      </c>
      <c r="S185" s="78">
        <f>IF($A185="","",O185+Q185)</f>
        <v/>
      </c>
    </row>
    <row r="186">
      <c r="A186" s="67" t="n"/>
      <c r="B186" s="75" t="n"/>
      <c r="C186" s="76" t="n"/>
      <c r="D186" s="75" t="n"/>
      <c r="E186" s="76" t="n"/>
      <c r="F186" s="75" t="n"/>
      <c r="G186" s="76" t="n"/>
      <c r="H186" s="75" t="n"/>
      <c r="I186" s="76" t="n"/>
      <c r="J186" s="77">
        <f>IF($A186="","",B186+D186+F186)</f>
        <v/>
      </c>
      <c r="K186" s="78">
        <f>IF($A186="","",C186+E186+G186)</f>
        <v/>
      </c>
      <c r="L186" s="79">
        <f>IF($A186="","",J186+H186)</f>
        <v/>
      </c>
      <c r="M186" s="80">
        <f>IF($A186="","",K186+I186)</f>
        <v/>
      </c>
      <c r="N186" s="77">
        <f>IF($A186="","",SUMIFS($J$5:$J$800,$A$5:$A$800,"&gt;="&amp;DATE(YEAR($A186),MONTH($A186),1),$A$5:$A$800,"&lt;="&amp;$A186)+IF(AND(YEAR($A186)=YEAR(Settings!$B$3),MONTH($A186)=MONTH(Settings!$B$3)),Settings!$B$10,0))</f>
        <v/>
      </c>
      <c r="O186" s="78">
        <f>IF($A186="","",SUMIFS($K$5:$K$800,$A$5:$A$800,"&gt;="&amp;DATE(YEAR($A186),MONTH($A186),1),$A$5:$A$800,"&lt;="&amp;$A186)+IF(AND(YEAR($A186)=YEAR(Settings!$B$3),MONTH($A186)=MONTH(Settings!$B$3)),Settings!$B$11,0))</f>
        <v/>
      </c>
      <c r="P186" s="77">
        <f>IF($A186="","",SUMIFS($H$5:$H$800,$A$5:$A$800,"&gt;="&amp;DATE(YEAR($A186),MONTH($A186),1),$A$5:$A$800,"&lt;="&amp;$A186)+IF(AND(YEAR($A186)=YEAR(Settings!$B$3),MONTH($A186)=MONTH(Settings!$B$3)),Settings!$B$12,0))</f>
        <v/>
      </c>
      <c r="Q186" s="78">
        <f>IF($A186="","",SUMIFS($I$5:$I$800,$A$5:$A$800,"&gt;="&amp;DATE(YEAR($A186),MONTH($A186),1),$A$5:$A$800,"&lt;="&amp;$A186)+IF(AND(YEAR($A186)=YEAR(Settings!$B$3),MONTH($A186)=MONTH(Settings!$B$3)),Settings!$B$13,0))</f>
        <v/>
      </c>
      <c r="R186" s="77">
        <f>IF($A186="","",N186+P186)</f>
        <v/>
      </c>
      <c r="S186" s="78">
        <f>IF($A186="","",O186+Q186)</f>
        <v/>
      </c>
    </row>
    <row r="187">
      <c r="A187" s="67" t="n"/>
      <c r="B187" s="75" t="n"/>
      <c r="C187" s="76" t="n"/>
      <c r="D187" s="75" t="n"/>
      <c r="E187" s="76" t="n"/>
      <c r="F187" s="75" t="n"/>
      <c r="G187" s="76" t="n"/>
      <c r="H187" s="75" t="n"/>
      <c r="I187" s="76" t="n"/>
      <c r="J187" s="77">
        <f>IF($A187="","",B187+D187+F187)</f>
        <v/>
      </c>
      <c r="K187" s="78">
        <f>IF($A187="","",C187+E187+G187)</f>
        <v/>
      </c>
      <c r="L187" s="79">
        <f>IF($A187="","",J187+H187)</f>
        <v/>
      </c>
      <c r="M187" s="80">
        <f>IF($A187="","",K187+I187)</f>
        <v/>
      </c>
      <c r="N187" s="77">
        <f>IF($A187="","",SUMIFS($J$5:$J$800,$A$5:$A$800,"&gt;="&amp;DATE(YEAR($A187),MONTH($A187),1),$A$5:$A$800,"&lt;="&amp;$A187)+IF(AND(YEAR($A187)=YEAR(Settings!$B$3),MONTH($A187)=MONTH(Settings!$B$3)),Settings!$B$10,0))</f>
        <v/>
      </c>
      <c r="O187" s="78">
        <f>IF($A187="","",SUMIFS($K$5:$K$800,$A$5:$A$800,"&gt;="&amp;DATE(YEAR($A187),MONTH($A187),1),$A$5:$A$800,"&lt;="&amp;$A187)+IF(AND(YEAR($A187)=YEAR(Settings!$B$3),MONTH($A187)=MONTH(Settings!$B$3)),Settings!$B$11,0))</f>
        <v/>
      </c>
      <c r="P187" s="77">
        <f>IF($A187="","",SUMIFS($H$5:$H$800,$A$5:$A$800,"&gt;="&amp;DATE(YEAR($A187),MONTH($A187),1),$A$5:$A$800,"&lt;="&amp;$A187)+IF(AND(YEAR($A187)=YEAR(Settings!$B$3),MONTH($A187)=MONTH(Settings!$B$3)),Settings!$B$12,0))</f>
        <v/>
      </c>
      <c r="Q187" s="78">
        <f>IF($A187="","",SUMIFS($I$5:$I$800,$A$5:$A$800,"&gt;="&amp;DATE(YEAR($A187),MONTH($A187),1),$A$5:$A$800,"&lt;="&amp;$A187)+IF(AND(YEAR($A187)=YEAR(Settings!$B$3),MONTH($A187)=MONTH(Settings!$B$3)),Settings!$B$13,0))</f>
        <v/>
      </c>
      <c r="R187" s="77">
        <f>IF($A187="","",N187+P187)</f>
        <v/>
      </c>
      <c r="S187" s="78">
        <f>IF($A187="","",O187+Q187)</f>
        <v/>
      </c>
    </row>
    <row r="188">
      <c r="A188" s="67" t="n"/>
      <c r="B188" s="75" t="n"/>
      <c r="C188" s="76" t="n"/>
      <c r="D188" s="75" t="n"/>
      <c r="E188" s="76" t="n"/>
      <c r="F188" s="75" t="n"/>
      <c r="G188" s="76" t="n"/>
      <c r="H188" s="75" t="n"/>
      <c r="I188" s="76" t="n"/>
      <c r="J188" s="77">
        <f>IF($A188="","",B188+D188+F188)</f>
        <v/>
      </c>
      <c r="K188" s="78">
        <f>IF($A188="","",C188+E188+G188)</f>
        <v/>
      </c>
      <c r="L188" s="79">
        <f>IF($A188="","",J188+H188)</f>
        <v/>
      </c>
      <c r="M188" s="80">
        <f>IF($A188="","",K188+I188)</f>
        <v/>
      </c>
      <c r="N188" s="77">
        <f>IF($A188="","",SUMIFS($J$5:$J$800,$A$5:$A$800,"&gt;="&amp;DATE(YEAR($A188),MONTH($A188),1),$A$5:$A$800,"&lt;="&amp;$A188)+IF(AND(YEAR($A188)=YEAR(Settings!$B$3),MONTH($A188)=MONTH(Settings!$B$3)),Settings!$B$10,0))</f>
        <v/>
      </c>
      <c r="O188" s="78">
        <f>IF($A188="","",SUMIFS($K$5:$K$800,$A$5:$A$800,"&gt;="&amp;DATE(YEAR($A188),MONTH($A188),1),$A$5:$A$800,"&lt;="&amp;$A188)+IF(AND(YEAR($A188)=YEAR(Settings!$B$3),MONTH($A188)=MONTH(Settings!$B$3)),Settings!$B$11,0))</f>
        <v/>
      </c>
      <c r="P188" s="77">
        <f>IF($A188="","",SUMIFS($H$5:$H$800,$A$5:$A$800,"&gt;="&amp;DATE(YEAR($A188),MONTH($A188),1),$A$5:$A$800,"&lt;="&amp;$A188)+IF(AND(YEAR($A188)=YEAR(Settings!$B$3),MONTH($A188)=MONTH(Settings!$B$3)),Settings!$B$12,0))</f>
        <v/>
      </c>
      <c r="Q188" s="78">
        <f>IF($A188="","",SUMIFS($I$5:$I$800,$A$5:$A$800,"&gt;="&amp;DATE(YEAR($A188),MONTH($A188),1),$A$5:$A$800,"&lt;="&amp;$A188)+IF(AND(YEAR($A188)=YEAR(Settings!$B$3),MONTH($A188)=MONTH(Settings!$B$3)),Settings!$B$13,0))</f>
        <v/>
      </c>
      <c r="R188" s="77">
        <f>IF($A188="","",N188+P188)</f>
        <v/>
      </c>
      <c r="S188" s="78">
        <f>IF($A188="","",O188+Q188)</f>
        <v/>
      </c>
    </row>
    <row r="189">
      <c r="A189" s="67" t="n"/>
      <c r="B189" s="75" t="n"/>
      <c r="C189" s="76" t="n"/>
      <c r="D189" s="75" t="n"/>
      <c r="E189" s="76" t="n"/>
      <c r="F189" s="75" t="n"/>
      <c r="G189" s="76" t="n"/>
      <c r="H189" s="75" t="n"/>
      <c r="I189" s="76" t="n"/>
      <c r="J189" s="77">
        <f>IF($A189="","",B189+D189+F189)</f>
        <v/>
      </c>
      <c r="K189" s="78">
        <f>IF($A189="","",C189+E189+G189)</f>
        <v/>
      </c>
      <c r="L189" s="79">
        <f>IF($A189="","",J189+H189)</f>
        <v/>
      </c>
      <c r="M189" s="80">
        <f>IF($A189="","",K189+I189)</f>
        <v/>
      </c>
      <c r="N189" s="77">
        <f>IF($A189="","",SUMIFS($J$5:$J$800,$A$5:$A$800,"&gt;="&amp;DATE(YEAR($A189),MONTH($A189),1),$A$5:$A$800,"&lt;="&amp;$A189)+IF(AND(YEAR($A189)=YEAR(Settings!$B$3),MONTH($A189)=MONTH(Settings!$B$3)),Settings!$B$10,0))</f>
        <v/>
      </c>
      <c r="O189" s="78">
        <f>IF($A189="","",SUMIFS($K$5:$K$800,$A$5:$A$800,"&gt;="&amp;DATE(YEAR($A189),MONTH($A189),1),$A$5:$A$800,"&lt;="&amp;$A189)+IF(AND(YEAR($A189)=YEAR(Settings!$B$3),MONTH($A189)=MONTH(Settings!$B$3)),Settings!$B$11,0))</f>
        <v/>
      </c>
      <c r="P189" s="77">
        <f>IF($A189="","",SUMIFS($H$5:$H$800,$A$5:$A$800,"&gt;="&amp;DATE(YEAR($A189),MONTH($A189),1),$A$5:$A$800,"&lt;="&amp;$A189)+IF(AND(YEAR($A189)=YEAR(Settings!$B$3),MONTH($A189)=MONTH(Settings!$B$3)),Settings!$B$12,0))</f>
        <v/>
      </c>
      <c r="Q189" s="78">
        <f>IF($A189="","",SUMIFS($I$5:$I$800,$A$5:$A$800,"&gt;="&amp;DATE(YEAR($A189),MONTH($A189),1),$A$5:$A$800,"&lt;="&amp;$A189)+IF(AND(YEAR($A189)=YEAR(Settings!$B$3),MONTH($A189)=MONTH(Settings!$B$3)),Settings!$B$13,0))</f>
        <v/>
      </c>
      <c r="R189" s="77">
        <f>IF($A189="","",N189+P189)</f>
        <v/>
      </c>
      <c r="S189" s="78">
        <f>IF($A189="","",O189+Q189)</f>
        <v/>
      </c>
    </row>
    <row r="190">
      <c r="A190" s="67" t="n"/>
      <c r="B190" s="75" t="n"/>
      <c r="C190" s="76" t="n"/>
      <c r="D190" s="75" t="n"/>
      <c r="E190" s="76" t="n"/>
      <c r="F190" s="75" t="n"/>
      <c r="G190" s="76" t="n"/>
      <c r="H190" s="75" t="n"/>
      <c r="I190" s="76" t="n"/>
      <c r="J190" s="77">
        <f>IF($A190="","",B190+D190+F190)</f>
        <v/>
      </c>
      <c r="K190" s="78">
        <f>IF($A190="","",C190+E190+G190)</f>
        <v/>
      </c>
      <c r="L190" s="79">
        <f>IF($A190="","",J190+H190)</f>
        <v/>
      </c>
      <c r="M190" s="80">
        <f>IF($A190="","",K190+I190)</f>
        <v/>
      </c>
      <c r="N190" s="77">
        <f>IF($A190="","",SUMIFS($J$5:$J$800,$A$5:$A$800,"&gt;="&amp;DATE(YEAR($A190),MONTH($A190),1),$A$5:$A$800,"&lt;="&amp;$A190)+IF(AND(YEAR($A190)=YEAR(Settings!$B$3),MONTH($A190)=MONTH(Settings!$B$3)),Settings!$B$10,0))</f>
        <v/>
      </c>
      <c r="O190" s="78">
        <f>IF($A190="","",SUMIFS($K$5:$K$800,$A$5:$A$800,"&gt;="&amp;DATE(YEAR($A190),MONTH($A190),1),$A$5:$A$800,"&lt;="&amp;$A190)+IF(AND(YEAR($A190)=YEAR(Settings!$B$3),MONTH($A190)=MONTH(Settings!$B$3)),Settings!$B$11,0))</f>
        <v/>
      </c>
      <c r="P190" s="77">
        <f>IF($A190="","",SUMIFS($H$5:$H$800,$A$5:$A$800,"&gt;="&amp;DATE(YEAR($A190),MONTH($A190),1),$A$5:$A$800,"&lt;="&amp;$A190)+IF(AND(YEAR($A190)=YEAR(Settings!$B$3),MONTH($A190)=MONTH(Settings!$B$3)),Settings!$B$12,0))</f>
        <v/>
      </c>
      <c r="Q190" s="78">
        <f>IF($A190="","",SUMIFS($I$5:$I$800,$A$5:$A$800,"&gt;="&amp;DATE(YEAR($A190),MONTH($A190),1),$A$5:$A$800,"&lt;="&amp;$A190)+IF(AND(YEAR($A190)=YEAR(Settings!$B$3),MONTH($A190)=MONTH(Settings!$B$3)),Settings!$B$13,0))</f>
        <v/>
      </c>
      <c r="R190" s="77">
        <f>IF($A190="","",N190+P190)</f>
        <v/>
      </c>
      <c r="S190" s="78">
        <f>IF($A190="","",O190+Q190)</f>
        <v/>
      </c>
    </row>
    <row r="191">
      <c r="A191" s="67" t="n"/>
      <c r="B191" s="75" t="n"/>
      <c r="C191" s="76" t="n"/>
      <c r="D191" s="75" t="n"/>
      <c r="E191" s="76" t="n"/>
      <c r="F191" s="75" t="n"/>
      <c r="G191" s="76" t="n"/>
      <c r="H191" s="75" t="n"/>
      <c r="I191" s="76" t="n"/>
      <c r="J191" s="77">
        <f>IF($A191="","",B191+D191+F191)</f>
        <v/>
      </c>
      <c r="K191" s="78">
        <f>IF($A191="","",C191+E191+G191)</f>
        <v/>
      </c>
      <c r="L191" s="79">
        <f>IF($A191="","",J191+H191)</f>
        <v/>
      </c>
      <c r="M191" s="80">
        <f>IF($A191="","",K191+I191)</f>
        <v/>
      </c>
      <c r="N191" s="77">
        <f>IF($A191="","",SUMIFS($J$5:$J$800,$A$5:$A$800,"&gt;="&amp;DATE(YEAR($A191),MONTH($A191),1),$A$5:$A$800,"&lt;="&amp;$A191)+IF(AND(YEAR($A191)=YEAR(Settings!$B$3),MONTH($A191)=MONTH(Settings!$B$3)),Settings!$B$10,0))</f>
        <v/>
      </c>
      <c r="O191" s="78">
        <f>IF($A191="","",SUMIFS($K$5:$K$800,$A$5:$A$800,"&gt;="&amp;DATE(YEAR($A191),MONTH($A191),1),$A$5:$A$800,"&lt;="&amp;$A191)+IF(AND(YEAR($A191)=YEAR(Settings!$B$3),MONTH($A191)=MONTH(Settings!$B$3)),Settings!$B$11,0))</f>
        <v/>
      </c>
      <c r="P191" s="77">
        <f>IF($A191="","",SUMIFS($H$5:$H$800,$A$5:$A$800,"&gt;="&amp;DATE(YEAR($A191),MONTH($A191),1),$A$5:$A$800,"&lt;="&amp;$A191)+IF(AND(YEAR($A191)=YEAR(Settings!$B$3),MONTH($A191)=MONTH(Settings!$B$3)),Settings!$B$12,0))</f>
        <v/>
      </c>
      <c r="Q191" s="78">
        <f>IF($A191="","",SUMIFS($I$5:$I$800,$A$5:$A$800,"&gt;="&amp;DATE(YEAR($A191),MONTH($A191),1),$A$5:$A$800,"&lt;="&amp;$A191)+IF(AND(YEAR($A191)=YEAR(Settings!$B$3),MONTH($A191)=MONTH(Settings!$B$3)),Settings!$B$13,0))</f>
        <v/>
      </c>
      <c r="R191" s="77">
        <f>IF($A191="","",N191+P191)</f>
        <v/>
      </c>
      <c r="S191" s="78">
        <f>IF($A191="","",O191+Q191)</f>
        <v/>
      </c>
    </row>
    <row r="192">
      <c r="A192" s="67" t="n"/>
      <c r="B192" s="75" t="n"/>
      <c r="C192" s="76" t="n"/>
      <c r="D192" s="75" t="n"/>
      <c r="E192" s="76" t="n"/>
      <c r="F192" s="75" t="n"/>
      <c r="G192" s="76" t="n"/>
      <c r="H192" s="75" t="n"/>
      <c r="I192" s="76" t="n"/>
      <c r="J192" s="77">
        <f>IF($A192="","",B192+D192+F192)</f>
        <v/>
      </c>
      <c r="K192" s="78">
        <f>IF($A192="","",C192+E192+G192)</f>
        <v/>
      </c>
      <c r="L192" s="79">
        <f>IF($A192="","",J192+H192)</f>
        <v/>
      </c>
      <c r="M192" s="80">
        <f>IF($A192="","",K192+I192)</f>
        <v/>
      </c>
      <c r="N192" s="77">
        <f>IF($A192="","",SUMIFS($J$5:$J$800,$A$5:$A$800,"&gt;="&amp;DATE(YEAR($A192),MONTH($A192),1),$A$5:$A$800,"&lt;="&amp;$A192)+IF(AND(YEAR($A192)=YEAR(Settings!$B$3),MONTH($A192)=MONTH(Settings!$B$3)),Settings!$B$10,0))</f>
        <v/>
      </c>
      <c r="O192" s="78">
        <f>IF($A192="","",SUMIFS($K$5:$K$800,$A$5:$A$800,"&gt;="&amp;DATE(YEAR($A192),MONTH($A192),1),$A$5:$A$800,"&lt;="&amp;$A192)+IF(AND(YEAR($A192)=YEAR(Settings!$B$3),MONTH($A192)=MONTH(Settings!$B$3)),Settings!$B$11,0))</f>
        <v/>
      </c>
      <c r="P192" s="77">
        <f>IF($A192="","",SUMIFS($H$5:$H$800,$A$5:$A$800,"&gt;="&amp;DATE(YEAR($A192),MONTH($A192),1),$A$5:$A$800,"&lt;="&amp;$A192)+IF(AND(YEAR($A192)=YEAR(Settings!$B$3),MONTH($A192)=MONTH(Settings!$B$3)),Settings!$B$12,0))</f>
        <v/>
      </c>
      <c r="Q192" s="78">
        <f>IF($A192="","",SUMIFS($I$5:$I$800,$A$5:$A$800,"&gt;="&amp;DATE(YEAR($A192),MONTH($A192),1),$A$5:$A$800,"&lt;="&amp;$A192)+IF(AND(YEAR($A192)=YEAR(Settings!$B$3),MONTH($A192)=MONTH(Settings!$B$3)),Settings!$B$13,0))</f>
        <v/>
      </c>
      <c r="R192" s="77">
        <f>IF($A192="","",N192+P192)</f>
        <v/>
      </c>
      <c r="S192" s="78">
        <f>IF($A192="","",O192+Q192)</f>
        <v/>
      </c>
    </row>
    <row r="193">
      <c r="A193" s="67" t="n"/>
      <c r="B193" s="75" t="n"/>
      <c r="C193" s="76" t="n"/>
      <c r="D193" s="75" t="n"/>
      <c r="E193" s="76" t="n"/>
      <c r="F193" s="75" t="n"/>
      <c r="G193" s="76" t="n"/>
      <c r="H193" s="75" t="n"/>
      <c r="I193" s="76" t="n"/>
      <c r="J193" s="77">
        <f>IF($A193="","",B193+D193+F193)</f>
        <v/>
      </c>
      <c r="K193" s="78">
        <f>IF($A193="","",C193+E193+G193)</f>
        <v/>
      </c>
      <c r="L193" s="79">
        <f>IF($A193="","",J193+H193)</f>
        <v/>
      </c>
      <c r="M193" s="80">
        <f>IF($A193="","",K193+I193)</f>
        <v/>
      </c>
      <c r="N193" s="77">
        <f>IF($A193="","",SUMIFS($J$5:$J$800,$A$5:$A$800,"&gt;="&amp;DATE(YEAR($A193),MONTH($A193),1),$A$5:$A$800,"&lt;="&amp;$A193)+IF(AND(YEAR($A193)=YEAR(Settings!$B$3),MONTH($A193)=MONTH(Settings!$B$3)),Settings!$B$10,0))</f>
        <v/>
      </c>
      <c r="O193" s="78">
        <f>IF($A193="","",SUMIFS($K$5:$K$800,$A$5:$A$800,"&gt;="&amp;DATE(YEAR($A193),MONTH($A193),1),$A$5:$A$800,"&lt;="&amp;$A193)+IF(AND(YEAR($A193)=YEAR(Settings!$B$3),MONTH($A193)=MONTH(Settings!$B$3)),Settings!$B$11,0))</f>
        <v/>
      </c>
      <c r="P193" s="77">
        <f>IF($A193="","",SUMIFS($H$5:$H$800,$A$5:$A$800,"&gt;="&amp;DATE(YEAR($A193),MONTH($A193),1),$A$5:$A$800,"&lt;="&amp;$A193)+IF(AND(YEAR($A193)=YEAR(Settings!$B$3),MONTH($A193)=MONTH(Settings!$B$3)),Settings!$B$12,0))</f>
        <v/>
      </c>
      <c r="Q193" s="78">
        <f>IF($A193="","",SUMIFS($I$5:$I$800,$A$5:$A$800,"&gt;="&amp;DATE(YEAR($A193),MONTH($A193),1),$A$5:$A$800,"&lt;="&amp;$A193)+IF(AND(YEAR($A193)=YEAR(Settings!$B$3),MONTH($A193)=MONTH(Settings!$B$3)),Settings!$B$13,0))</f>
        <v/>
      </c>
      <c r="R193" s="77">
        <f>IF($A193="","",N193+P193)</f>
        <v/>
      </c>
      <c r="S193" s="78">
        <f>IF($A193="","",O193+Q193)</f>
        <v/>
      </c>
    </row>
    <row r="194">
      <c r="A194" s="67" t="n"/>
      <c r="B194" s="75" t="n"/>
      <c r="C194" s="76" t="n"/>
      <c r="D194" s="75" t="n"/>
      <c r="E194" s="76" t="n"/>
      <c r="F194" s="75" t="n"/>
      <c r="G194" s="76" t="n"/>
      <c r="H194" s="75" t="n"/>
      <c r="I194" s="76" t="n"/>
      <c r="J194" s="77">
        <f>IF($A194="","",B194+D194+F194)</f>
        <v/>
      </c>
      <c r="K194" s="78">
        <f>IF($A194="","",C194+E194+G194)</f>
        <v/>
      </c>
      <c r="L194" s="79">
        <f>IF($A194="","",J194+H194)</f>
        <v/>
      </c>
      <c r="M194" s="80">
        <f>IF($A194="","",K194+I194)</f>
        <v/>
      </c>
      <c r="N194" s="77">
        <f>IF($A194="","",SUMIFS($J$5:$J$800,$A$5:$A$800,"&gt;="&amp;DATE(YEAR($A194),MONTH($A194),1),$A$5:$A$800,"&lt;="&amp;$A194)+IF(AND(YEAR($A194)=YEAR(Settings!$B$3),MONTH($A194)=MONTH(Settings!$B$3)),Settings!$B$10,0))</f>
        <v/>
      </c>
      <c r="O194" s="78">
        <f>IF($A194="","",SUMIFS($K$5:$K$800,$A$5:$A$800,"&gt;="&amp;DATE(YEAR($A194),MONTH($A194),1),$A$5:$A$800,"&lt;="&amp;$A194)+IF(AND(YEAR($A194)=YEAR(Settings!$B$3),MONTH($A194)=MONTH(Settings!$B$3)),Settings!$B$11,0))</f>
        <v/>
      </c>
      <c r="P194" s="77">
        <f>IF($A194="","",SUMIFS($H$5:$H$800,$A$5:$A$800,"&gt;="&amp;DATE(YEAR($A194),MONTH($A194),1),$A$5:$A$800,"&lt;="&amp;$A194)+IF(AND(YEAR($A194)=YEAR(Settings!$B$3),MONTH($A194)=MONTH(Settings!$B$3)),Settings!$B$12,0))</f>
        <v/>
      </c>
      <c r="Q194" s="78">
        <f>IF($A194="","",SUMIFS($I$5:$I$800,$A$5:$A$800,"&gt;="&amp;DATE(YEAR($A194),MONTH($A194),1),$A$5:$A$800,"&lt;="&amp;$A194)+IF(AND(YEAR($A194)=YEAR(Settings!$B$3),MONTH($A194)=MONTH(Settings!$B$3)),Settings!$B$13,0))</f>
        <v/>
      </c>
      <c r="R194" s="77">
        <f>IF($A194="","",N194+P194)</f>
        <v/>
      </c>
      <c r="S194" s="78">
        <f>IF($A194="","",O194+Q194)</f>
        <v/>
      </c>
    </row>
    <row r="195">
      <c r="A195" s="67" t="n"/>
      <c r="B195" s="75" t="n"/>
      <c r="C195" s="76" t="n"/>
      <c r="D195" s="75" t="n"/>
      <c r="E195" s="76" t="n"/>
      <c r="F195" s="75" t="n"/>
      <c r="G195" s="76" t="n"/>
      <c r="H195" s="75" t="n"/>
      <c r="I195" s="76" t="n"/>
      <c r="J195" s="77">
        <f>IF($A195="","",B195+D195+F195)</f>
        <v/>
      </c>
      <c r="K195" s="78">
        <f>IF($A195="","",C195+E195+G195)</f>
        <v/>
      </c>
      <c r="L195" s="79">
        <f>IF($A195="","",J195+H195)</f>
        <v/>
      </c>
      <c r="M195" s="80">
        <f>IF($A195="","",K195+I195)</f>
        <v/>
      </c>
      <c r="N195" s="77">
        <f>IF($A195="","",SUMIFS($J$5:$J$800,$A$5:$A$800,"&gt;="&amp;DATE(YEAR($A195),MONTH($A195),1),$A$5:$A$800,"&lt;="&amp;$A195)+IF(AND(YEAR($A195)=YEAR(Settings!$B$3),MONTH($A195)=MONTH(Settings!$B$3)),Settings!$B$10,0))</f>
        <v/>
      </c>
      <c r="O195" s="78">
        <f>IF($A195="","",SUMIFS($K$5:$K$800,$A$5:$A$800,"&gt;="&amp;DATE(YEAR($A195),MONTH($A195),1),$A$5:$A$800,"&lt;="&amp;$A195)+IF(AND(YEAR($A195)=YEAR(Settings!$B$3),MONTH($A195)=MONTH(Settings!$B$3)),Settings!$B$11,0))</f>
        <v/>
      </c>
      <c r="P195" s="77">
        <f>IF($A195="","",SUMIFS($H$5:$H$800,$A$5:$A$800,"&gt;="&amp;DATE(YEAR($A195),MONTH($A195),1),$A$5:$A$800,"&lt;="&amp;$A195)+IF(AND(YEAR($A195)=YEAR(Settings!$B$3),MONTH($A195)=MONTH(Settings!$B$3)),Settings!$B$12,0))</f>
        <v/>
      </c>
      <c r="Q195" s="78">
        <f>IF($A195="","",SUMIFS($I$5:$I$800,$A$5:$A$800,"&gt;="&amp;DATE(YEAR($A195),MONTH($A195),1),$A$5:$A$800,"&lt;="&amp;$A195)+IF(AND(YEAR($A195)=YEAR(Settings!$B$3),MONTH($A195)=MONTH(Settings!$B$3)),Settings!$B$13,0))</f>
        <v/>
      </c>
      <c r="R195" s="77">
        <f>IF($A195="","",N195+P195)</f>
        <v/>
      </c>
      <c r="S195" s="78">
        <f>IF($A195="","",O195+Q195)</f>
        <v/>
      </c>
    </row>
    <row r="196">
      <c r="A196" s="67" t="n"/>
      <c r="B196" s="75" t="n"/>
      <c r="C196" s="76" t="n"/>
      <c r="D196" s="75" t="n"/>
      <c r="E196" s="76" t="n"/>
      <c r="F196" s="75" t="n"/>
      <c r="G196" s="76" t="n"/>
      <c r="H196" s="75" t="n"/>
      <c r="I196" s="76" t="n"/>
      <c r="J196" s="77">
        <f>IF($A196="","",B196+D196+F196)</f>
        <v/>
      </c>
      <c r="K196" s="78">
        <f>IF($A196="","",C196+E196+G196)</f>
        <v/>
      </c>
      <c r="L196" s="79">
        <f>IF($A196="","",J196+H196)</f>
        <v/>
      </c>
      <c r="M196" s="80">
        <f>IF($A196="","",K196+I196)</f>
        <v/>
      </c>
      <c r="N196" s="77">
        <f>IF($A196="","",SUMIFS($J$5:$J$800,$A$5:$A$800,"&gt;="&amp;DATE(YEAR($A196),MONTH($A196),1),$A$5:$A$800,"&lt;="&amp;$A196)+IF(AND(YEAR($A196)=YEAR(Settings!$B$3),MONTH($A196)=MONTH(Settings!$B$3)),Settings!$B$10,0))</f>
        <v/>
      </c>
      <c r="O196" s="78">
        <f>IF($A196="","",SUMIFS($K$5:$K$800,$A$5:$A$800,"&gt;="&amp;DATE(YEAR($A196),MONTH($A196),1),$A$5:$A$800,"&lt;="&amp;$A196)+IF(AND(YEAR($A196)=YEAR(Settings!$B$3),MONTH($A196)=MONTH(Settings!$B$3)),Settings!$B$11,0))</f>
        <v/>
      </c>
      <c r="P196" s="77">
        <f>IF($A196="","",SUMIFS($H$5:$H$800,$A$5:$A$800,"&gt;="&amp;DATE(YEAR($A196),MONTH($A196),1),$A$5:$A$800,"&lt;="&amp;$A196)+IF(AND(YEAR($A196)=YEAR(Settings!$B$3),MONTH($A196)=MONTH(Settings!$B$3)),Settings!$B$12,0))</f>
        <v/>
      </c>
      <c r="Q196" s="78">
        <f>IF($A196="","",SUMIFS($I$5:$I$800,$A$5:$A$800,"&gt;="&amp;DATE(YEAR($A196),MONTH($A196),1),$A$5:$A$800,"&lt;="&amp;$A196)+IF(AND(YEAR($A196)=YEAR(Settings!$B$3),MONTH($A196)=MONTH(Settings!$B$3)),Settings!$B$13,0))</f>
        <v/>
      </c>
      <c r="R196" s="77">
        <f>IF($A196="","",N196+P196)</f>
        <v/>
      </c>
      <c r="S196" s="78">
        <f>IF($A196="","",O196+Q196)</f>
        <v/>
      </c>
    </row>
    <row r="197">
      <c r="A197" s="67" t="n"/>
      <c r="B197" s="75" t="n"/>
      <c r="C197" s="76" t="n"/>
      <c r="D197" s="75" t="n"/>
      <c r="E197" s="76" t="n"/>
      <c r="F197" s="75" t="n"/>
      <c r="G197" s="76" t="n"/>
      <c r="H197" s="75" t="n"/>
      <c r="I197" s="76" t="n"/>
      <c r="J197" s="77">
        <f>IF($A197="","",B197+D197+F197)</f>
        <v/>
      </c>
      <c r="K197" s="78">
        <f>IF($A197="","",C197+E197+G197)</f>
        <v/>
      </c>
      <c r="L197" s="79">
        <f>IF($A197="","",J197+H197)</f>
        <v/>
      </c>
      <c r="M197" s="80">
        <f>IF($A197="","",K197+I197)</f>
        <v/>
      </c>
      <c r="N197" s="77">
        <f>IF($A197="","",SUMIFS($J$5:$J$800,$A$5:$A$800,"&gt;="&amp;DATE(YEAR($A197),MONTH($A197),1),$A$5:$A$800,"&lt;="&amp;$A197)+IF(AND(YEAR($A197)=YEAR(Settings!$B$3),MONTH($A197)=MONTH(Settings!$B$3)),Settings!$B$10,0))</f>
        <v/>
      </c>
      <c r="O197" s="78">
        <f>IF($A197="","",SUMIFS($K$5:$K$800,$A$5:$A$800,"&gt;="&amp;DATE(YEAR($A197),MONTH($A197),1),$A$5:$A$800,"&lt;="&amp;$A197)+IF(AND(YEAR($A197)=YEAR(Settings!$B$3),MONTH($A197)=MONTH(Settings!$B$3)),Settings!$B$11,0))</f>
        <v/>
      </c>
      <c r="P197" s="77">
        <f>IF($A197="","",SUMIFS($H$5:$H$800,$A$5:$A$800,"&gt;="&amp;DATE(YEAR($A197),MONTH($A197),1),$A$5:$A$800,"&lt;="&amp;$A197)+IF(AND(YEAR($A197)=YEAR(Settings!$B$3),MONTH($A197)=MONTH(Settings!$B$3)),Settings!$B$12,0))</f>
        <v/>
      </c>
      <c r="Q197" s="78">
        <f>IF($A197="","",SUMIFS($I$5:$I$800,$A$5:$A$800,"&gt;="&amp;DATE(YEAR($A197),MONTH($A197),1),$A$5:$A$800,"&lt;="&amp;$A197)+IF(AND(YEAR($A197)=YEAR(Settings!$B$3),MONTH($A197)=MONTH(Settings!$B$3)),Settings!$B$13,0))</f>
        <v/>
      </c>
      <c r="R197" s="77">
        <f>IF($A197="","",N197+P197)</f>
        <v/>
      </c>
      <c r="S197" s="78">
        <f>IF($A197="","",O197+Q197)</f>
        <v/>
      </c>
    </row>
    <row r="198">
      <c r="A198" s="67" t="n"/>
      <c r="B198" s="75" t="n"/>
      <c r="C198" s="76" t="n"/>
      <c r="D198" s="75" t="n"/>
      <c r="E198" s="76" t="n"/>
      <c r="F198" s="75" t="n"/>
      <c r="G198" s="76" t="n"/>
      <c r="H198" s="75" t="n"/>
      <c r="I198" s="76" t="n"/>
      <c r="J198" s="77">
        <f>IF($A198="","",B198+D198+F198)</f>
        <v/>
      </c>
      <c r="K198" s="78">
        <f>IF($A198="","",C198+E198+G198)</f>
        <v/>
      </c>
      <c r="L198" s="79">
        <f>IF($A198="","",J198+H198)</f>
        <v/>
      </c>
      <c r="M198" s="80">
        <f>IF($A198="","",K198+I198)</f>
        <v/>
      </c>
      <c r="N198" s="77">
        <f>IF($A198="","",SUMIFS($J$5:$J$800,$A$5:$A$800,"&gt;="&amp;DATE(YEAR($A198),MONTH($A198),1),$A$5:$A$800,"&lt;="&amp;$A198)+IF(AND(YEAR($A198)=YEAR(Settings!$B$3),MONTH($A198)=MONTH(Settings!$B$3)),Settings!$B$10,0))</f>
        <v/>
      </c>
      <c r="O198" s="78">
        <f>IF($A198="","",SUMIFS($K$5:$K$800,$A$5:$A$800,"&gt;="&amp;DATE(YEAR($A198),MONTH($A198),1),$A$5:$A$800,"&lt;="&amp;$A198)+IF(AND(YEAR($A198)=YEAR(Settings!$B$3),MONTH($A198)=MONTH(Settings!$B$3)),Settings!$B$11,0))</f>
        <v/>
      </c>
      <c r="P198" s="77">
        <f>IF($A198="","",SUMIFS($H$5:$H$800,$A$5:$A$800,"&gt;="&amp;DATE(YEAR($A198),MONTH($A198),1),$A$5:$A$800,"&lt;="&amp;$A198)+IF(AND(YEAR($A198)=YEAR(Settings!$B$3),MONTH($A198)=MONTH(Settings!$B$3)),Settings!$B$12,0))</f>
        <v/>
      </c>
      <c r="Q198" s="78">
        <f>IF($A198="","",SUMIFS($I$5:$I$800,$A$5:$A$800,"&gt;="&amp;DATE(YEAR($A198),MONTH($A198),1),$A$5:$A$800,"&lt;="&amp;$A198)+IF(AND(YEAR($A198)=YEAR(Settings!$B$3),MONTH($A198)=MONTH(Settings!$B$3)),Settings!$B$13,0))</f>
        <v/>
      </c>
      <c r="R198" s="77">
        <f>IF($A198="","",N198+P198)</f>
        <v/>
      </c>
      <c r="S198" s="78">
        <f>IF($A198="","",O198+Q198)</f>
        <v/>
      </c>
    </row>
    <row r="199">
      <c r="A199" s="67" t="n"/>
      <c r="B199" s="75" t="n"/>
      <c r="C199" s="76" t="n"/>
      <c r="D199" s="75" t="n"/>
      <c r="E199" s="76" t="n"/>
      <c r="F199" s="75" t="n"/>
      <c r="G199" s="76" t="n"/>
      <c r="H199" s="75" t="n"/>
      <c r="I199" s="76" t="n"/>
      <c r="J199" s="77">
        <f>IF($A199="","",B199+D199+F199)</f>
        <v/>
      </c>
      <c r="K199" s="78">
        <f>IF($A199="","",C199+E199+G199)</f>
        <v/>
      </c>
      <c r="L199" s="79">
        <f>IF($A199="","",J199+H199)</f>
        <v/>
      </c>
      <c r="M199" s="80">
        <f>IF($A199="","",K199+I199)</f>
        <v/>
      </c>
      <c r="N199" s="77">
        <f>IF($A199="","",SUMIFS($J$5:$J$800,$A$5:$A$800,"&gt;="&amp;DATE(YEAR($A199),MONTH($A199),1),$A$5:$A$800,"&lt;="&amp;$A199)+IF(AND(YEAR($A199)=YEAR(Settings!$B$3),MONTH($A199)=MONTH(Settings!$B$3)),Settings!$B$10,0))</f>
        <v/>
      </c>
      <c r="O199" s="78">
        <f>IF($A199="","",SUMIFS($K$5:$K$800,$A$5:$A$800,"&gt;="&amp;DATE(YEAR($A199),MONTH($A199),1),$A$5:$A$800,"&lt;="&amp;$A199)+IF(AND(YEAR($A199)=YEAR(Settings!$B$3),MONTH($A199)=MONTH(Settings!$B$3)),Settings!$B$11,0))</f>
        <v/>
      </c>
      <c r="P199" s="77">
        <f>IF($A199="","",SUMIFS($H$5:$H$800,$A$5:$A$800,"&gt;="&amp;DATE(YEAR($A199),MONTH($A199),1),$A$5:$A$800,"&lt;="&amp;$A199)+IF(AND(YEAR($A199)=YEAR(Settings!$B$3),MONTH($A199)=MONTH(Settings!$B$3)),Settings!$B$12,0))</f>
        <v/>
      </c>
      <c r="Q199" s="78">
        <f>IF($A199="","",SUMIFS($I$5:$I$800,$A$5:$A$800,"&gt;="&amp;DATE(YEAR($A199),MONTH($A199),1),$A$5:$A$800,"&lt;="&amp;$A199)+IF(AND(YEAR($A199)=YEAR(Settings!$B$3),MONTH($A199)=MONTH(Settings!$B$3)),Settings!$B$13,0))</f>
        <v/>
      </c>
      <c r="R199" s="77">
        <f>IF($A199="","",N199+P199)</f>
        <v/>
      </c>
      <c r="S199" s="78">
        <f>IF($A199="","",O199+Q199)</f>
        <v/>
      </c>
    </row>
    <row r="200">
      <c r="A200" s="67" t="n"/>
      <c r="B200" s="75" t="n"/>
      <c r="C200" s="76" t="n"/>
      <c r="D200" s="75" t="n"/>
      <c r="E200" s="76" t="n"/>
      <c r="F200" s="75" t="n"/>
      <c r="G200" s="76" t="n"/>
      <c r="H200" s="75" t="n"/>
      <c r="I200" s="76" t="n"/>
      <c r="J200" s="77">
        <f>IF($A200="","",B200+D200+F200)</f>
        <v/>
      </c>
      <c r="K200" s="78">
        <f>IF($A200="","",C200+E200+G200)</f>
        <v/>
      </c>
      <c r="L200" s="79">
        <f>IF($A200="","",J200+H200)</f>
        <v/>
      </c>
      <c r="M200" s="80">
        <f>IF($A200="","",K200+I200)</f>
        <v/>
      </c>
      <c r="N200" s="77">
        <f>IF($A200="","",SUMIFS($J$5:$J$800,$A$5:$A$800,"&gt;="&amp;DATE(YEAR($A200),MONTH($A200),1),$A$5:$A$800,"&lt;="&amp;$A200)+IF(AND(YEAR($A200)=YEAR(Settings!$B$3),MONTH($A200)=MONTH(Settings!$B$3)),Settings!$B$10,0))</f>
        <v/>
      </c>
      <c r="O200" s="78">
        <f>IF($A200="","",SUMIFS($K$5:$K$800,$A$5:$A$800,"&gt;="&amp;DATE(YEAR($A200),MONTH($A200),1),$A$5:$A$800,"&lt;="&amp;$A200)+IF(AND(YEAR($A200)=YEAR(Settings!$B$3),MONTH($A200)=MONTH(Settings!$B$3)),Settings!$B$11,0))</f>
        <v/>
      </c>
      <c r="P200" s="77">
        <f>IF($A200="","",SUMIFS($H$5:$H$800,$A$5:$A$800,"&gt;="&amp;DATE(YEAR($A200),MONTH($A200),1),$A$5:$A$800,"&lt;="&amp;$A200)+IF(AND(YEAR($A200)=YEAR(Settings!$B$3),MONTH($A200)=MONTH(Settings!$B$3)),Settings!$B$12,0))</f>
        <v/>
      </c>
      <c r="Q200" s="78">
        <f>IF($A200="","",SUMIFS($I$5:$I$800,$A$5:$A$800,"&gt;="&amp;DATE(YEAR($A200),MONTH($A200),1),$A$5:$A$800,"&lt;="&amp;$A200)+IF(AND(YEAR($A200)=YEAR(Settings!$B$3),MONTH($A200)=MONTH(Settings!$B$3)),Settings!$B$13,0))</f>
        <v/>
      </c>
      <c r="R200" s="77">
        <f>IF($A200="","",N200+P200)</f>
        <v/>
      </c>
      <c r="S200" s="78">
        <f>IF($A200="","",O200+Q200)</f>
        <v/>
      </c>
    </row>
    <row r="201">
      <c r="A201" s="67" t="n"/>
      <c r="B201" s="75" t="n"/>
      <c r="C201" s="76" t="n"/>
      <c r="D201" s="75" t="n"/>
      <c r="E201" s="76" t="n"/>
      <c r="F201" s="75" t="n"/>
      <c r="G201" s="76" t="n"/>
      <c r="H201" s="75" t="n"/>
      <c r="I201" s="76" t="n"/>
      <c r="J201" s="77">
        <f>IF($A201="","",B201+D201+F201)</f>
        <v/>
      </c>
      <c r="K201" s="78">
        <f>IF($A201="","",C201+E201+G201)</f>
        <v/>
      </c>
      <c r="L201" s="79">
        <f>IF($A201="","",J201+H201)</f>
        <v/>
      </c>
      <c r="M201" s="80">
        <f>IF($A201="","",K201+I201)</f>
        <v/>
      </c>
      <c r="N201" s="77">
        <f>IF($A201="","",SUMIFS($J$5:$J$800,$A$5:$A$800,"&gt;="&amp;DATE(YEAR($A201),MONTH($A201),1),$A$5:$A$800,"&lt;="&amp;$A201)+IF(AND(YEAR($A201)=YEAR(Settings!$B$3),MONTH($A201)=MONTH(Settings!$B$3)),Settings!$B$10,0))</f>
        <v/>
      </c>
      <c r="O201" s="78">
        <f>IF($A201="","",SUMIFS($K$5:$K$800,$A$5:$A$800,"&gt;="&amp;DATE(YEAR($A201),MONTH($A201),1),$A$5:$A$800,"&lt;="&amp;$A201)+IF(AND(YEAR($A201)=YEAR(Settings!$B$3),MONTH($A201)=MONTH(Settings!$B$3)),Settings!$B$11,0))</f>
        <v/>
      </c>
      <c r="P201" s="77">
        <f>IF($A201="","",SUMIFS($H$5:$H$800,$A$5:$A$800,"&gt;="&amp;DATE(YEAR($A201),MONTH($A201),1),$A$5:$A$800,"&lt;="&amp;$A201)+IF(AND(YEAR($A201)=YEAR(Settings!$B$3),MONTH($A201)=MONTH(Settings!$B$3)),Settings!$B$12,0))</f>
        <v/>
      </c>
      <c r="Q201" s="78">
        <f>IF($A201="","",SUMIFS($I$5:$I$800,$A$5:$A$800,"&gt;="&amp;DATE(YEAR($A201),MONTH($A201),1),$A$5:$A$800,"&lt;="&amp;$A201)+IF(AND(YEAR($A201)=YEAR(Settings!$B$3),MONTH($A201)=MONTH(Settings!$B$3)),Settings!$B$13,0))</f>
        <v/>
      </c>
      <c r="R201" s="77">
        <f>IF($A201="","",N201+P201)</f>
        <v/>
      </c>
      <c r="S201" s="78">
        <f>IF($A201="","",O201+Q201)</f>
        <v/>
      </c>
    </row>
    <row r="202">
      <c r="A202" s="67" t="n"/>
      <c r="B202" s="75" t="n"/>
      <c r="C202" s="76" t="n"/>
      <c r="D202" s="75" t="n"/>
      <c r="E202" s="76" t="n"/>
      <c r="F202" s="75" t="n"/>
      <c r="G202" s="76" t="n"/>
      <c r="H202" s="75" t="n"/>
      <c r="I202" s="76" t="n"/>
      <c r="J202" s="77">
        <f>IF($A202="","",B202+D202+F202)</f>
        <v/>
      </c>
      <c r="K202" s="78">
        <f>IF($A202="","",C202+E202+G202)</f>
        <v/>
      </c>
      <c r="L202" s="79">
        <f>IF($A202="","",J202+H202)</f>
        <v/>
      </c>
      <c r="M202" s="80">
        <f>IF($A202="","",K202+I202)</f>
        <v/>
      </c>
      <c r="N202" s="77">
        <f>IF($A202="","",SUMIFS($J$5:$J$800,$A$5:$A$800,"&gt;="&amp;DATE(YEAR($A202),MONTH($A202),1),$A$5:$A$800,"&lt;="&amp;$A202)+IF(AND(YEAR($A202)=YEAR(Settings!$B$3),MONTH($A202)=MONTH(Settings!$B$3)),Settings!$B$10,0))</f>
        <v/>
      </c>
      <c r="O202" s="78">
        <f>IF($A202="","",SUMIFS($K$5:$K$800,$A$5:$A$800,"&gt;="&amp;DATE(YEAR($A202),MONTH($A202),1),$A$5:$A$800,"&lt;="&amp;$A202)+IF(AND(YEAR($A202)=YEAR(Settings!$B$3),MONTH($A202)=MONTH(Settings!$B$3)),Settings!$B$11,0))</f>
        <v/>
      </c>
      <c r="P202" s="77">
        <f>IF($A202="","",SUMIFS($H$5:$H$800,$A$5:$A$800,"&gt;="&amp;DATE(YEAR($A202),MONTH($A202),1),$A$5:$A$800,"&lt;="&amp;$A202)+IF(AND(YEAR($A202)=YEAR(Settings!$B$3),MONTH($A202)=MONTH(Settings!$B$3)),Settings!$B$12,0))</f>
        <v/>
      </c>
      <c r="Q202" s="78">
        <f>IF($A202="","",SUMIFS($I$5:$I$800,$A$5:$A$800,"&gt;="&amp;DATE(YEAR($A202),MONTH($A202),1),$A$5:$A$800,"&lt;="&amp;$A202)+IF(AND(YEAR($A202)=YEAR(Settings!$B$3),MONTH($A202)=MONTH(Settings!$B$3)),Settings!$B$13,0))</f>
        <v/>
      </c>
      <c r="R202" s="77">
        <f>IF($A202="","",N202+P202)</f>
        <v/>
      </c>
      <c r="S202" s="78">
        <f>IF($A202="","",O202+Q202)</f>
        <v/>
      </c>
    </row>
    <row r="203">
      <c r="A203" s="67" t="n"/>
      <c r="B203" s="75" t="n"/>
      <c r="C203" s="76" t="n"/>
      <c r="D203" s="75" t="n"/>
      <c r="E203" s="76" t="n"/>
      <c r="F203" s="75" t="n"/>
      <c r="G203" s="76" t="n"/>
      <c r="H203" s="75" t="n"/>
      <c r="I203" s="76" t="n"/>
      <c r="J203" s="77">
        <f>IF($A203="","",B203+D203+F203)</f>
        <v/>
      </c>
      <c r="K203" s="78">
        <f>IF($A203="","",C203+E203+G203)</f>
        <v/>
      </c>
      <c r="L203" s="79">
        <f>IF($A203="","",J203+H203)</f>
        <v/>
      </c>
      <c r="M203" s="80">
        <f>IF($A203="","",K203+I203)</f>
        <v/>
      </c>
      <c r="N203" s="77">
        <f>IF($A203="","",SUMIFS($J$5:$J$800,$A$5:$A$800,"&gt;="&amp;DATE(YEAR($A203),MONTH($A203),1),$A$5:$A$800,"&lt;="&amp;$A203)+IF(AND(YEAR($A203)=YEAR(Settings!$B$3),MONTH($A203)=MONTH(Settings!$B$3)),Settings!$B$10,0))</f>
        <v/>
      </c>
      <c r="O203" s="78">
        <f>IF($A203="","",SUMIFS($K$5:$K$800,$A$5:$A$800,"&gt;="&amp;DATE(YEAR($A203),MONTH($A203),1),$A$5:$A$800,"&lt;="&amp;$A203)+IF(AND(YEAR($A203)=YEAR(Settings!$B$3),MONTH($A203)=MONTH(Settings!$B$3)),Settings!$B$11,0))</f>
        <v/>
      </c>
      <c r="P203" s="77">
        <f>IF($A203="","",SUMIFS($H$5:$H$800,$A$5:$A$800,"&gt;="&amp;DATE(YEAR($A203),MONTH($A203),1),$A$5:$A$800,"&lt;="&amp;$A203)+IF(AND(YEAR($A203)=YEAR(Settings!$B$3),MONTH($A203)=MONTH(Settings!$B$3)),Settings!$B$12,0))</f>
        <v/>
      </c>
      <c r="Q203" s="78">
        <f>IF($A203="","",SUMIFS($I$5:$I$800,$A$5:$A$800,"&gt;="&amp;DATE(YEAR($A203),MONTH($A203),1),$A$5:$A$800,"&lt;="&amp;$A203)+IF(AND(YEAR($A203)=YEAR(Settings!$B$3),MONTH($A203)=MONTH(Settings!$B$3)),Settings!$B$13,0))</f>
        <v/>
      </c>
      <c r="R203" s="77">
        <f>IF($A203="","",N203+P203)</f>
        <v/>
      </c>
      <c r="S203" s="78">
        <f>IF($A203="","",O203+Q203)</f>
        <v/>
      </c>
    </row>
    <row r="204">
      <c r="A204" s="67" t="n"/>
      <c r="B204" s="75" t="n"/>
      <c r="C204" s="76" t="n"/>
      <c r="D204" s="75" t="n"/>
      <c r="E204" s="76" t="n"/>
      <c r="F204" s="75" t="n"/>
      <c r="G204" s="76" t="n"/>
      <c r="H204" s="75" t="n"/>
      <c r="I204" s="76" t="n"/>
      <c r="J204" s="77">
        <f>IF($A204="","",B204+D204+F204)</f>
        <v/>
      </c>
      <c r="K204" s="78">
        <f>IF($A204="","",C204+E204+G204)</f>
        <v/>
      </c>
      <c r="L204" s="79">
        <f>IF($A204="","",J204+H204)</f>
        <v/>
      </c>
      <c r="M204" s="80">
        <f>IF($A204="","",K204+I204)</f>
        <v/>
      </c>
      <c r="N204" s="77">
        <f>IF($A204="","",SUMIFS($J$5:$J$800,$A$5:$A$800,"&gt;="&amp;DATE(YEAR($A204),MONTH($A204),1),$A$5:$A$800,"&lt;="&amp;$A204)+IF(AND(YEAR($A204)=YEAR(Settings!$B$3),MONTH($A204)=MONTH(Settings!$B$3)),Settings!$B$10,0))</f>
        <v/>
      </c>
      <c r="O204" s="78">
        <f>IF($A204="","",SUMIFS($K$5:$K$800,$A$5:$A$800,"&gt;="&amp;DATE(YEAR($A204),MONTH($A204),1),$A$5:$A$800,"&lt;="&amp;$A204)+IF(AND(YEAR($A204)=YEAR(Settings!$B$3),MONTH($A204)=MONTH(Settings!$B$3)),Settings!$B$11,0))</f>
        <v/>
      </c>
      <c r="P204" s="77">
        <f>IF($A204="","",SUMIFS($H$5:$H$800,$A$5:$A$800,"&gt;="&amp;DATE(YEAR($A204),MONTH($A204),1),$A$5:$A$800,"&lt;="&amp;$A204)+IF(AND(YEAR($A204)=YEAR(Settings!$B$3),MONTH($A204)=MONTH(Settings!$B$3)),Settings!$B$12,0))</f>
        <v/>
      </c>
      <c r="Q204" s="78">
        <f>IF($A204="","",SUMIFS($I$5:$I$800,$A$5:$A$800,"&gt;="&amp;DATE(YEAR($A204),MONTH($A204),1),$A$5:$A$800,"&lt;="&amp;$A204)+IF(AND(YEAR($A204)=YEAR(Settings!$B$3),MONTH($A204)=MONTH(Settings!$B$3)),Settings!$B$13,0))</f>
        <v/>
      </c>
      <c r="R204" s="77">
        <f>IF($A204="","",N204+P204)</f>
        <v/>
      </c>
      <c r="S204" s="78">
        <f>IF($A204="","",O204+Q204)</f>
        <v/>
      </c>
    </row>
    <row r="205">
      <c r="A205" s="67" t="n"/>
      <c r="B205" s="75" t="n"/>
      <c r="C205" s="76" t="n"/>
      <c r="D205" s="75" t="n"/>
      <c r="E205" s="76" t="n"/>
      <c r="F205" s="75" t="n"/>
      <c r="G205" s="76" t="n"/>
      <c r="H205" s="75" t="n"/>
      <c r="I205" s="76" t="n"/>
      <c r="J205" s="77">
        <f>IF($A205="","",B205+D205+F205)</f>
        <v/>
      </c>
      <c r="K205" s="78">
        <f>IF($A205="","",C205+E205+G205)</f>
        <v/>
      </c>
      <c r="L205" s="79">
        <f>IF($A205="","",J205+H205)</f>
        <v/>
      </c>
      <c r="M205" s="80">
        <f>IF($A205="","",K205+I205)</f>
        <v/>
      </c>
      <c r="N205" s="77">
        <f>IF($A205="","",SUMIFS($J$5:$J$800,$A$5:$A$800,"&gt;="&amp;DATE(YEAR($A205),MONTH($A205),1),$A$5:$A$800,"&lt;="&amp;$A205)+IF(AND(YEAR($A205)=YEAR(Settings!$B$3),MONTH($A205)=MONTH(Settings!$B$3)),Settings!$B$10,0))</f>
        <v/>
      </c>
      <c r="O205" s="78">
        <f>IF($A205="","",SUMIFS($K$5:$K$800,$A$5:$A$800,"&gt;="&amp;DATE(YEAR($A205),MONTH($A205),1),$A$5:$A$800,"&lt;="&amp;$A205)+IF(AND(YEAR($A205)=YEAR(Settings!$B$3),MONTH($A205)=MONTH(Settings!$B$3)),Settings!$B$11,0))</f>
        <v/>
      </c>
      <c r="P205" s="77">
        <f>IF($A205="","",SUMIFS($H$5:$H$800,$A$5:$A$800,"&gt;="&amp;DATE(YEAR($A205),MONTH($A205),1),$A$5:$A$800,"&lt;="&amp;$A205)+IF(AND(YEAR($A205)=YEAR(Settings!$B$3),MONTH($A205)=MONTH(Settings!$B$3)),Settings!$B$12,0))</f>
        <v/>
      </c>
      <c r="Q205" s="78">
        <f>IF($A205="","",SUMIFS($I$5:$I$800,$A$5:$A$800,"&gt;="&amp;DATE(YEAR($A205),MONTH($A205),1),$A$5:$A$800,"&lt;="&amp;$A205)+IF(AND(YEAR($A205)=YEAR(Settings!$B$3),MONTH($A205)=MONTH(Settings!$B$3)),Settings!$B$13,0))</f>
        <v/>
      </c>
      <c r="R205" s="77">
        <f>IF($A205="","",N205+P205)</f>
        <v/>
      </c>
      <c r="S205" s="78">
        <f>IF($A205="","",O205+Q205)</f>
        <v/>
      </c>
    </row>
    <row r="206">
      <c r="A206" s="67" t="n"/>
      <c r="B206" s="75" t="n"/>
      <c r="C206" s="76" t="n"/>
      <c r="D206" s="75" t="n"/>
      <c r="E206" s="76" t="n"/>
      <c r="F206" s="75" t="n"/>
      <c r="G206" s="76" t="n"/>
      <c r="H206" s="75" t="n"/>
      <c r="I206" s="76" t="n"/>
      <c r="J206" s="77">
        <f>IF($A206="","",B206+D206+F206)</f>
        <v/>
      </c>
      <c r="K206" s="78">
        <f>IF($A206="","",C206+E206+G206)</f>
        <v/>
      </c>
      <c r="L206" s="79">
        <f>IF($A206="","",J206+H206)</f>
        <v/>
      </c>
      <c r="M206" s="80">
        <f>IF($A206="","",K206+I206)</f>
        <v/>
      </c>
      <c r="N206" s="77">
        <f>IF($A206="","",SUMIFS($J$5:$J$800,$A$5:$A$800,"&gt;="&amp;DATE(YEAR($A206),MONTH($A206),1),$A$5:$A$800,"&lt;="&amp;$A206)+IF(AND(YEAR($A206)=YEAR(Settings!$B$3),MONTH($A206)=MONTH(Settings!$B$3)),Settings!$B$10,0))</f>
        <v/>
      </c>
      <c r="O206" s="78">
        <f>IF($A206="","",SUMIFS($K$5:$K$800,$A$5:$A$800,"&gt;="&amp;DATE(YEAR($A206),MONTH($A206),1),$A$5:$A$800,"&lt;="&amp;$A206)+IF(AND(YEAR($A206)=YEAR(Settings!$B$3),MONTH($A206)=MONTH(Settings!$B$3)),Settings!$B$11,0))</f>
        <v/>
      </c>
      <c r="P206" s="77">
        <f>IF($A206="","",SUMIFS($H$5:$H$800,$A$5:$A$800,"&gt;="&amp;DATE(YEAR($A206),MONTH($A206),1),$A$5:$A$800,"&lt;="&amp;$A206)+IF(AND(YEAR($A206)=YEAR(Settings!$B$3),MONTH($A206)=MONTH(Settings!$B$3)),Settings!$B$12,0))</f>
        <v/>
      </c>
      <c r="Q206" s="78">
        <f>IF($A206="","",SUMIFS($I$5:$I$800,$A$5:$A$800,"&gt;="&amp;DATE(YEAR($A206),MONTH($A206),1),$A$5:$A$800,"&lt;="&amp;$A206)+IF(AND(YEAR($A206)=YEAR(Settings!$B$3),MONTH($A206)=MONTH(Settings!$B$3)),Settings!$B$13,0))</f>
        <v/>
      </c>
      <c r="R206" s="77">
        <f>IF($A206="","",N206+P206)</f>
        <v/>
      </c>
      <c r="S206" s="78">
        <f>IF($A206="","",O206+Q206)</f>
        <v/>
      </c>
    </row>
    <row r="207">
      <c r="A207" s="67" t="n"/>
      <c r="B207" s="75" t="n"/>
      <c r="C207" s="76" t="n"/>
      <c r="D207" s="75" t="n"/>
      <c r="E207" s="76" t="n"/>
      <c r="F207" s="75" t="n"/>
      <c r="G207" s="76" t="n"/>
      <c r="H207" s="75" t="n"/>
      <c r="I207" s="76" t="n"/>
      <c r="J207" s="77">
        <f>IF($A207="","",B207+D207+F207)</f>
        <v/>
      </c>
      <c r="K207" s="78">
        <f>IF($A207="","",C207+E207+G207)</f>
        <v/>
      </c>
      <c r="L207" s="79">
        <f>IF($A207="","",J207+H207)</f>
        <v/>
      </c>
      <c r="M207" s="80">
        <f>IF($A207="","",K207+I207)</f>
        <v/>
      </c>
      <c r="N207" s="77">
        <f>IF($A207="","",SUMIFS($J$5:$J$800,$A$5:$A$800,"&gt;="&amp;DATE(YEAR($A207),MONTH($A207),1),$A$5:$A$800,"&lt;="&amp;$A207)+IF(AND(YEAR($A207)=YEAR(Settings!$B$3),MONTH($A207)=MONTH(Settings!$B$3)),Settings!$B$10,0))</f>
        <v/>
      </c>
      <c r="O207" s="78">
        <f>IF($A207="","",SUMIFS($K$5:$K$800,$A$5:$A$800,"&gt;="&amp;DATE(YEAR($A207),MONTH($A207),1),$A$5:$A$800,"&lt;="&amp;$A207)+IF(AND(YEAR($A207)=YEAR(Settings!$B$3),MONTH($A207)=MONTH(Settings!$B$3)),Settings!$B$11,0))</f>
        <v/>
      </c>
      <c r="P207" s="77">
        <f>IF($A207="","",SUMIFS($H$5:$H$800,$A$5:$A$800,"&gt;="&amp;DATE(YEAR($A207),MONTH($A207),1),$A$5:$A$800,"&lt;="&amp;$A207)+IF(AND(YEAR($A207)=YEAR(Settings!$B$3),MONTH($A207)=MONTH(Settings!$B$3)),Settings!$B$12,0))</f>
        <v/>
      </c>
      <c r="Q207" s="78">
        <f>IF($A207="","",SUMIFS($I$5:$I$800,$A$5:$A$800,"&gt;="&amp;DATE(YEAR($A207),MONTH($A207),1),$A$5:$A$800,"&lt;="&amp;$A207)+IF(AND(YEAR($A207)=YEAR(Settings!$B$3),MONTH($A207)=MONTH(Settings!$B$3)),Settings!$B$13,0))</f>
        <v/>
      </c>
      <c r="R207" s="77">
        <f>IF($A207="","",N207+P207)</f>
        <v/>
      </c>
      <c r="S207" s="78">
        <f>IF($A207="","",O207+Q207)</f>
        <v/>
      </c>
    </row>
    <row r="208">
      <c r="A208" s="67" t="n"/>
      <c r="B208" s="75" t="n"/>
      <c r="C208" s="76" t="n"/>
      <c r="D208" s="75" t="n"/>
      <c r="E208" s="76" t="n"/>
      <c r="F208" s="75" t="n"/>
      <c r="G208" s="76" t="n"/>
      <c r="H208" s="75" t="n"/>
      <c r="I208" s="76" t="n"/>
      <c r="J208" s="77">
        <f>IF($A208="","",B208+D208+F208)</f>
        <v/>
      </c>
      <c r="K208" s="78">
        <f>IF($A208="","",C208+E208+G208)</f>
        <v/>
      </c>
      <c r="L208" s="79">
        <f>IF($A208="","",J208+H208)</f>
        <v/>
      </c>
      <c r="M208" s="80">
        <f>IF($A208="","",K208+I208)</f>
        <v/>
      </c>
      <c r="N208" s="77">
        <f>IF($A208="","",SUMIFS($J$5:$J$800,$A$5:$A$800,"&gt;="&amp;DATE(YEAR($A208),MONTH($A208),1),$A$5:$A$800,"&lt;="&amp;$A208)+IF(AND(YEAR($A208)=YEAR(Settings!$B$3),MONTH($A208)=MONTH(Settings!$B$3)),Settings!$B$10,0))</f>
        <v/>
      </c>
      <c r="O208" s="78">
        <f>IF($A208="","",SUMIFS($K$5:$K$800,$A$5:$A$800,"&gt;="&amp;DATE(YEAR($A208),MONTH($A208),1),$A$5:$A$800,"&lt;="&amp;$A208)+IF(AND(YEAR($A208)=YEAR(Settings!$B$3),MONTH($A208)=MONTH(Settings!$B$3)),Settings!$B$11,0))</f>
        <v/>
      </c>
      <c r="P208" s="77">
        <f>IF($A208="","",SUMIFS($H$5:$H$800,$A$5:$A$800,"&gt;="&amp;DATE(YEAR($A208),MONTH($A208),1),$A$5:$A$800,"&lt;="&amp;$A208)+IF(AND(YEAR($A208)=YEAR(Settings!$B$3),MONTH($A208)=MONTH(Settings!$B$3)),Settings!$B$12,0))</f>
        <v/>
      </c>
      <c r="Q208" s="78">
        <f>IF($A208="","",SUMIFS($I$5:$I$800,$A$5:$A$800,"&gt;="&amp;DATE(YEAR($A208),MONTH($A208),1),$A$5:$A$800,"&lt;="&amp;$A208)+IF(AND(YEAR($A208)=YEAR(Settings!$B$3),MONTH($A208)=MONTH(Settings!$B$3)),Settings!$B$13,0))</f>
        <v/>
      </c>
      <c r="R208" s="77">
        <f>IF($A208="","",N208+P208)</f>
        <v/>
      </c>
      <c r="S208" s="78">
        <f>IF($A208="","",O208+Q208)</f>
        <v/>
      </c>
    </row>
    <row r="209">
      <c r="A209" s="67" t="n"/>
      <c r="B209" s="75" t="n"/>
      <c r="C209" s="76" t="n"/>
      <c r="D209" s="75" t="n"/>
      <c r="E209" s="76" t="n"/>
      <c r="F209" s="75" t="n"/>
      <c r="G209" s="76" t="n"/>
      <c r="H209" s="75" t="n"/>
      <c r="I209" s="76" t="n"/>
      <c r="J209" s="77">
        <f>IF($A209="","",B209+D209+F209)</f>
        <v/>
      </c>
      <c r="K209" s="78">
        <f>IF($A209="","",C209+E209+G209)</f>
        <v/>
      </c>
      <c r="L209" s="79">
        <f>IF($A209="","",J209+H209)</f>
        <v/>
      </c>
      <c r="M209" s="80">
        <f>IF($A209="","",K209+I209)</f>
        <v/>
      </c>
      <c r="N209" s="77">
        <f>IF($A209="","",SUMIFS($J$5:$J$800,$A$5:$A$800,"&gt;="&amp;DATE(YEAR($A209),MONTH($A209),1),$A$5:$A$800,"&lt;="&amp;$A209)+IF(AND(YEAR($A209)=YEAR(Settings!$B$3),MONTH($A209)=MONTH(Settings!$B$3)),Settings!$B$10,0))</f>
        <v/>
      </c>
      <c r="O209" s="78">
        <f>IF($A209="","",SUMIFS($K$5:$K$800,$A$5:$A$800,"&gt;="&amp;DATE(YEAR($A209),MONTH($A209),1),$A$5:$A$800,"&lt;="&amp;$A209)+IF(AND(YEAR($A209)=YEAR(Settings!$B$3),MONTH($A209)=MONTH(Settings!$B$3)),Settings!$B$11,0))</f>
        <v/>
      </c>
      <c r="P209" s="77">
        <f>IF($A209="","",SUMIFS($H$5:$H$800,$A$5:$A$800,"&gt;="&amp;DATE(YEAR($A209),MONTH($A209),1),$A$5:$A$800,"&lt;="&amp;$A209)+IF(AND(YEAR($A209)=YEAR(Settings!$B$3),MONTH($A209)=MONTH(Settings!$B$3)),Settings!$B$12,0))</f>
        <v/>
      </c>
      <c r="Q209" s="78">
        <f>IF($A209="","",SUMIFS($I$5:$I$800,$A$5:$A$800,"&gt;="&amp;DATE(YEAR($A209),MONTH($A209),1),$A$5:$A$800,"&lt;="&amp;$A209)+IF(AND(YEAR($A209)=YEAR(Settings!$B$3),MONTH($A209)=MONTH(Settings!$B$3)),Settings!$B$13,0))</f>
        <v/>
      </c>
      <c r="R209" s="77">
        <f>IF($A209="","",N209+P209)</f>
        <v/>
      </c>
      <c r="S209" s="78">
        <f>IF($A209="","",O209+Q209)</f>
        <v/>
      </c>
    </row>
    <row r="210">
      <c r="A210" s="67" t="n"/>
      <c r="B210" s="75" t="n"/>
      <c r="C210" s="76" t="n"/>
      <c r="D210" s="75" t="n"/>
      <c r="E210" s="76" t="n"/>
      <c r="F210" s="75" t="n"/>
      <c r="G210" s="76" t="n"/>
      <c r="H210" s="75" t="n"/>
      <c r="I210" s="76" t="n"/>
      <c r="J210" s="77">
        <f>IF($A210="","",B210+D210+F210)</f>
        <v/>
      </c>
      <c r="K210" s="78">
        <f>IF($A210="","",C210+E210+G210)</f>
        <v/>
      </c>
      <c r="L210" s="79">
        <f>IF($A210="","",J210+H210)</f>
        <v/>
      </c>
      <c r="M210" s="80">
        <f>IF($A210="","",K210+I210)</f>
        <v/>
      </c>
      <c r="N210" s="77">
        <f>IF($A210="","",SUMIFS($J$5:$J$800,$A$5:$A$800,"&gt;="&amp;DATE(YEAR($A210),MONTH($A210),1),$A$5:$A$800,"&lt;="&amp;$A210)+IF(AND(YEAR($A210)=YEAR(Settings!$B$3),MONTH($A210)=MONTH(Settings!$B$3)),Settings!$B$10,0))</f>
        <v/>
      </c>
      <c r="O210" s="78">
        <f>IF($A210="","",SUMIFS($K$5:$K$800,$A$5:$A$800,"&gt;="&amp;DATE(YEAR($A210),MONTH($A210),1),$A$5:$A$800,"&lt;="&amp;$A210)+IF(AND(YEAR($A210)=YEAR(Settings!$B$3),MONTH($A210)=MONTH(Settings!$B$3)),Settings!$B$11,0))</f>
        <v/>
      </c>
      <c r="P210" s="77">
        <f>IF($A210="","",SUMIFS($H$5:$H$800,$A$5:$A$800,"&gt;="&amp;DATE(YEAR($A210),MONTH($A210),1),$A$5:$A$800,"&lt;="&amp;$A210)+IF(AND(YEAR($A210)=YEAR(Settings!$B$3),MONTH($A210)=MONTH(Settings!$B$3)),Settings!$B$12,0))</f>
        <v/>
      </c>
      <c r="Q210" s="78">
        <f>IF($A210="","",SUMIFS($I$5:$I$800,$A$5:$A$800,"&gt;="&amp;DATE(YEAR($A210),MONTH($A210),1),$A$5:$A$800,"&lt;="&amp;$A210)+IF(AND(YEAR($A210)=YEAR(Settings!$B$3),MONTH($A210)=MONTH(Settings!$B$3)),Settings!$B$13,0))</f>
        <v/>
      </c>
      <c r="R210" s="77">
        <f>IF($A210="","",N210+P210)</f>
        <v/>
      </c>
      <c r="S210" s="78">
        <f>IF($A210="","",O210+Q210)</f>
        <v/>
      </c>
    </row>
    <row r="211">
      <c r="A211" s="67" t="n"/>
      <c r="B211" s="75" t="n"/>
      <c r="C211" s="76" t="n"/>
      <c r="D211" s="75" t="n"/>
      <c r="E211" s="76" t="n"/>
      <c r="F211" s="75" t="n"/>
      <c r="G211" s="76" t="n"/>
      <c r="H211" s="75" t="n"/>
      <c r="I211" s="76" t="n"/>
      <c r="J211" s="77">
        <f>IF($A211="","",B211+D211+F211)</f>
        <v/>
      </c>
      <c r="K211" s="78">
        <f>IF($A211="","",C211+E211+G211)</f>
        <v/>
      </c>
      <c r="L211" s="79">
        <f>IF($A211="","",J211+H211)</f>
        <v/>
      </c>
      <c r="M211" s="80">
        <f>IF($A211="","",K211+I211)</f>
        <v/>
      </c>
      <c r="N211" s="77">
        <f>IF($A211="","",SUMIFS($J$5:$J$800,$A$5:$A$800,"&gt;="&amp;DATE(YEAR($A211),MONTH($A211),1),$A$5:$A$800,"&lt;="&amp;$A211)+IF(AND(YEAR($A211)=YEAR(Settings!$B$3),MONTH($A211)=MONTH(Settings!$B$3)),Settings!$B$10,0))</f>
        <v/>
      </c>
      <c r="O211" s="78">
        <f>IF($A211="","",SUMIFS($K$5:$K$800,$A$5:$A$800,"&gt;="&amp;DATE(YEAR($A211),MONTH($A211),1),$A$5:$A$800,"&lt;="&amp;$A211)+IF(AND(YEAR($A211)=YEAR(Settings!$B$3),MONTH($A211)=MONTH(Settings!$B$3)),Settings!$B$11,0))</f>
        <v/>
      </c>
      <c r="P211" s="77">
        <f>IF($A211="","",SUMIFS($H$5:$H$800,$A$5:$A$800,"&gt;="&amp;DATE(YEAR($A211),MONTH($A211),1),$A$5:$A$800,"&lt;="&amp;$A211)+IF(AND(YEAR($A211)=YEAR(Settings!$B$3),MONTH($A211)=MONTH(Settings!$B$3)),Settings!$B$12,0))</f>
        <v/>
      </c>
      <c r="Q211" s="78">
        <f>IF($A211="","",SUMIFS($I$5:$I$800,$A$5:$A$800,"&gt;="&amp;DATE(YEAR($A211),MONTH($A211),1),$A$5:$A$800,"&lt;="&amp;$A211)+IF(AND(YEAR($A211)=YEAR(Settings!$B$3),MONTH($A211)=MONTH(Settings!$B$3)),Settings!$B$13,0))</f>
        <v/>
      </c>
      <c r="R211" s="77">
        <f>IF($A211="","",N211+P211)</f>
        <v/>
      </c>
      <c r="S211" s="78">
        <f>IF($A211="","",O211+Q211)</f>
        <v/>
      </c>
    </row>
    <row r="212">
      <c r="A212" s="67" t="n"/>
      <c r="B212" s="75" t="n"/>
      <c r="C212" s="76" t="n"/>
      <c r="D212" s="75" t="n"/>
      <c r="E212" s="76" t="n"/>
      <c r="F212" s="75" t="n"/>
      <c r="G212" s="76" t="n"/>
      <c r="H212" s="75" t="n"/>
      <c r="I212" s="76" t="n"/>
      <c r="J212" s="77">
        <f>IF($A212="","",B212+D212+F212)</f>
        <v/>
      </c>
      <c r="K212" s="78">
        <f>IF($A212="","",C212+E212+G212)</f>
        <v/>
      </c>
      <c r="L212" s="79">
        <f>IF($A212="","",J212+H212)</f>
        <v/>
      </c>
      <c r="M212" s="80">
        <f>IF($A212="","",K212+I212)</f>
        <v/>
      </c>
      <c r="N212" s="77">
        <f>IF($A212="","",SUMIFS($J$5:$J$800,$A$5:$A$800,"&gt;="&amp;DATE(YEAR($A212),MONTH($A212),1),$A$5:$A$800,"&lt;="&amp;$A212)+IF(AND(YEAR($A212)=YEAR(Settings!$B$3),MONTH($A212)=MONTH(Settings!$B$3)),Settings!$B$10,0))</f>
        <v/>
      </c>
      <c r="O212" s="78">
        <f>IF($A212="","",SUMIFS($K$5:$K$800,$A$5:$A$800,"&gt;="&amp;DATE(YEAR($A212),MONTH($A212),1),$A$5:$A$800,"&lt;="&amp;$A212)+IF(AND(YEAR($A212)=YEAR(Settings!$B$3),MONTH($A212)=MONTH(Settings!$B$3)),Settings!$B$11,0))</f>
        <v/>
      </c>
      <c r="P212" s="77">
        <f>IF($A212="","",SUMIFS($H$5:$H$800,$A$5:$A$800,"&gt;="&amp;DATE(YEAR($A212),MONTH($A212),1),$A$5:$A$800,"&lt;="&amp;$A212)+IF(AND(YEAR($A212)=YEAR(Settings!$B$3),MONTH($A212)=MONTH(Settings!$B$3)),Settings!$B$12,0))</f>
        <v/>
      </c>
      <c r="Q212" s="78">
        <f>IF($A212="","",SUMIFS($I$5:$I$800,$A$5:$A$800,"&gt;="&amp;DATE(YEAR($A212),MONTH($A212),1),$A$5:$A$800,"&lt;="&amp;$A212)+IF(AND(YEAR($A212)=YEAR(Settings!$B$3),MONTH($A212)=MONTH(Settings!$B$3)),Settings!$B$13,0))</f>
        <v/>
      </c>
      <c r="R212" s="77">
        <f>IF($A212="","",N212+P212)</f>
        <v/>
      </c>
      <c r="S212" s="78">
        <f>IF($A212="","",O212+Q212)</f>
        <v/>
      </c>
    </row>
    <row r="213">
      <c r="A213" s="67" t="n"/>
      <c r="B213" s="75" t="n"/>
      <c r="C213" s="76" t="n"/>
      <c r="D213" s="75" t="n"/>
      <c r="E213" s="76" t="n"/>
      <c r="F213" s="75" t="n"/>
      <c r="G213" s="76" t="n"/>
      <c r="H213" s="75" t="n"/>
      <c r="I213" s="76" t="n"/>
      <c r="J213" s="77">
        <f>IF($A213="","",B213+D213+F213)</f>
        <v/>
      </c>
      <c r="K213" s="78">
        <f>IF($A213="","",C213+E213+G213)</f>
        <v/>
      </c>
      <c r="L213" s="79">
        <f>IF($A213="","",J213+H213)</f>
        <v/>
      </c>
      <c r="M213" s="80">
        <f>IF($A213="","",K213+I213)</f>
        <v/>
      </c>
      <c r="N213" s="77">
        <f>IF($A213="","",SUMIFS($J$5:$J$800,$A$5:$A$800,"&gt;="&amp;DATE(YEAR($A213),MONTH($A213),1),$A$5:$A$800,"&lt;="&amp;$A213)+IF(AND(YEAR($A213)=YEAR(Settings!$B$3),MONTH($A213)=MONTH(Settings!$B$3)),Settings!$B$10,0))</f>
        <v/>
      </c>
      <c r="O213" s="78">
        <f>IF($A213="","",SUMIFS($K$5:$K$800,$A$5:$A$800,"&gt;="&amp;DATE(YEAR($A213),MONTH($A213),1),$A$5:$A$800,"&lt;="&amp;$A213)+IF(AND(YEAR($A213)=YEAR(Settings!$B$3),MONTH($A213)=MONTH(Settings!$B$3)),Settings!$B$11,0))</f>
        <v/>
      </c>
      <c r="P213" s="77">
        <f>IF($A213="","",SUMIFS($H$5:$H$800,$A$5:$A$800,"&gt;="&amp;DATE(YEAR($A213),MONTH($A213),1),$A$5:$A$800,"&lt;="&amp;$A213)+IF(AND(YEAR($A213)=YEAR(Settings!$B$3),MONTH($A213)=MONTH(Settings!$B$3)),Settings!$B$12,0))</f>
        <v/>
      </c>
      <c r="Q213" s="78">
        <f>IF($A213="","",SUMIFS($I$5:$I$800,$A$5:$A$800,"&gt;="&amp;DATE(YEAR($A213),MONTH($A213),1),$A$5:$A$800,"&lt;="&amp;$A213)+IF(AND(YEAR($A213)=YEAR(Settings!$B$3),MONTH($A213)=MONTH(Settings!$B$3)),Settings!$B$13,0))</f>
        <v/>
      </c>
      <c r="R213" s="77">
        <f>IF($A213="","",N213+P213)</f>
        <v/>
      </c>
      <c r="S213" s="78">
        <f>IF($A213="","",O213+Q213)</f>
        <v/>
      </c>
    </row>
    <row r="214">
      <c r="A214" s="67" t="n"/>
      <c r="B214" s="75" t="n"/>
      <c r="C214" s="76" t="n"/>
      <c r="D214" s="75" t="n"/>
      <c r="E214" s="76" t="n"/>
      <c r="F214" s="75" t="n"/>
      <c r="G214" s="76" t="n"/>
      <c r="H214" s="75" t="n"/>
      <c r="I214" s="76" t="n"/>
      <c r="J214" s="77">
        <f>IF($A214="","",B214+D214+F214)</f>
        <v/>
      </c>
      <c r="K214" s="78">
        <f>IF($A214="","",C214+E214+G214)</f>
        <v/>
      </c>
      <c r="L214" s="79">
        <f>IF($A214="","",J214+H214)</f>
        <v/>
      </c>
      <c r="M214" s="80">
        <f>IF($A214="","",K214+I214)</f>
        <v/>
      </c>
      <c r="N214" s="77">
        <f>IF($A214="","",SUMIFS($J$5:$J$800,$A$5:$A$800,"&gt;="&amp;DATE(YEAR($A214),MONTH($A214),1),$A$5:$A$800,"&lt;="&amp;$A214)+IF(AND(YEAR($A214)=YEAR(Settings!$B$3),MONTH($A214)=MONTH(Settings!$B$3)),Settings!$B$10,0))</f>
        <v/>
      </c>
      <c r="O214" s="78">
        <f>IF($A214="","",SUMIFS($K$5:$K$800,$A$5:$A$800,"&gt;="&amp;DATE(YEAR($A214),MONTH($A214),1),$A$5:$A$800,"&lt;="&amp;$A214)+IF(AND(YEAR($A214)=YEAR(Settings!$B$3),MONTH($A214)=MONTH(Settings!$B$3)),Settings!$B$11,0))</f>
        <v/>
      </c>
      <c r="P214" s="77">
        <f>IF($A214="","",SUMIFS($H$5:$H$800,$A$5:$A$800,"&gt;="&amp;DATE(YEAR($A214),MONTH($A214),1),$A$5:$A$800,"&lt;="&amp;$A214)+IF(AND(YEAR($A214)=YEAR(Settings!$B$3),MONTH($A214)=MONTH(Settings!$B$3)),Settings!$B$12,0))</f>
        <v/>
      </c>
      <c r="Q214" s="78">
        <f>IF($A214="","",SUMIFS($I$5:$I$800,$A$5:$A$800,"&gt;="&amp;DATE(YEAR($A214),MONTH($A214),1),$A$5:$A$800,"&lt;="&amp;$A214)+IF(AND(YEAR($A214)=YEAR(Settings!$B$3),MONTH($A214)=MONTH(Settings!$B$3)),Settings!$B$13,0))</f>
        <v/>
      </c>
      <c r="R214" s="77">
        <f>IF($A214="","",N214+P214)</f>
        <v/>
      </c>
      <c r="S214" s="78">
        <f>IF($A214="","",O214+Q214)</f>
        <v/>
      </c>
    </row>
    <row r="215">
      <c r="A215" s="67" t="n"/>
      <c r="B215" s="75" t="n"/>
      <c r="C215" s="76" t="n"/>
      <c r="D215" s="75" t="n"/>
      <c r="E215" s="76" t="n"/>
      <c r="F215" s="75" t="n"/>
      <c r="G215" s="76" t="n"/>
      <c r="H215" s="75" t="n"/>
      <c r="I215" s="76" t="n"/>
      <c r="J215" s="77">
        <f>IF($A215="","",B215+D215+F215)</f>
        <v/>
      </c>
      <c r="K215" s="78">
        <f>IF($A215="","",C215+E215+G215)</f>
        <v/>
      </c>
      <c r="L215" s="79">
        <f>IF($A215="","",J215+H215)</f>
        <v/>
      </c>
      <c r="M215" s="80">
        <f>IF($A215="","",K215+I215)</f>
        <v/>
      </c>
      <c r="N215" s="77">
        <f>IF($A215="","",SUMIFS($J$5:$J$800,$A$5:$A$800,"&gt;="&amp;DATE(YEAR($A215),MONTH($A215),1),$A$5:$A$800,"&lt;="&amp;$A215)+IF(AND(YEAR($A215)=YEAR(Settings!$B$3),MONTH($A215)=MONTH(Settings!$B$3)),Settings!$B$10,0))</f>
        <v/>
      </c>
      <c r="O215" s="78">
        <f>IF($A215="","",SUMIFS($K$5:$K$800,$A$5:$A$800,"&gt;="&amp;DATE(YEAR($A215),MONTH($A215),1),$A$5:$A$800,"&lt;="&amp;$A215)+IF(AND(YEAR($A215)=YEAR(Settings!$B$3),MONTH($A215)=MONTH(Settings!$B$3)),Settings!$B$11,0))</f>
        <v/>
      </c>
      <c r="P215" s="77">
        <f>IF($A215="","",SUMIFS($H$5:$H$800,$A$5:$A$800,"&gt;="&amp;DATE(YEAR($A215),MONTH($A215),1),$A$5:$A$800,"&lt;="&amp;$A215)+IF(AND(YEAR($A215)=YEAR(Settings!$B$3),MONTH($A215)=MONTH(Settings!$B$3)),Settings!$B$12,0))</f>
        <v/>
      </c>
      <c r="Q215" s="78">
        <f>IF($A215="","",SUMIFS($I$5:$I$800,$A$5:$A$800,"&gt;="&amp;DATE(YEAR($A215),MONTH($A215),1),$A$5:$A$800,"&lt;="&amp;$A215)+IF(AND(YEAR($A215)=YEAR(Settings!$B$3),MONTH($A215)=MONTH(Settings!$B$3)),Settings!$B$13,0))</f>
        <v/>
      </c>
      <c r="R215" s="77">
        <f>IF($A215="","",N215+P215)</f>
        <v/>
      </c>
      <c r="S215" s="78">
        <f>IF($A215="","",O215+Q215)</f>
        <v/>
      </c>
    </row>
    <row r="216">
      <c r="A216" s="67" t="n"/>
      <c r="B216" s="75" t="n"/>
      <c r="C216" s="76" t="n"/>
      <c r="D216" s="75" t="n"/>
      <c r="E216" s="76" t="n"/>
      <c r="F216" s="75" t="n"/>
      <c r="G216" s="76" t="n"/>
      <c r="H216" s="75" t="n"/>
      <c r="I216" s="76" t="n"/>
      <c r="J216" s="77">
        <f>IF($A216="","",B216+D216+F216)</f>
        <v/>
      </c>
      <c r="K216" s="78">
        <f>IF($A216="","",C216+E216+G216)</f>
        <v/>
      </c>
      <c r="L216" s="79">
        <f>IF($A216="","",J216+H216)</f>
        <v/>
      </c>
      <c r="M216" s="80">
        <f>IF($A216="","",K216+I216)</f>
        <v/>
      </c>
      <c r="N216" s="77">
        <f>IF($A216="","",SUMIFS($J$5:$J$800,$A$5:$A$800,"&gt;="&amp;DATE(YEAR($A216),MONTH($A216),1),$A$5:$A$800,"&lt;="&amp;$A216)+IF(AND(YEAR($A216)=YEAR(Settings!$B$3),MONTH($A216)=MONTH(Settings!$B$3)),Settings!$B$10,0))</f>
        <v/>
      </c>
      <c r="O216" s="78">
        <f>IF($A216="","",SUMIFS($K$5:$K$800,$A$5:$A$800,"&gt;="&amp;DATE(YEAR($A216),MONTH($A216),1),$A$5:$A$800,"&lt;="&amp;$A216)+IF(AND(YEAR($A216)=YEAR(Settings!$B$3),MONTH($A216)=MONTH(Settings!$B$3)),Settings!$B$11,0))</f>
        <v/>
      </c>
      <c r="P216" s="77">
        <f>IF($A216="","",SUMIFS($H$5:$H$800,$A$5:$A$800,"&gt;="&amp;DATE(YEAR($A216),MONTH($A216),1),$A$5:$A$800,"&lt;="&amp;$A216)+IF(AND(YEAR($A216)=YEAR(Settings!$B$3),MONTH($A216)=MONTH(Settings!$B$3)),Settings!$B$12,0))</f>
        <v/>
      </c>
      <c r="Q216" s="78">
        <f>IF($A216="","",SUMIFS($I$5:$I$800,$A$5:$A$800,"&gt;="&amp;DATE(YEAR($A216),MONTH($A216),1),$A$5:$A$800,"&lt;="&amp;$A216)+IF(AND(YEAR($A216)=YEAR(Settings!$B$3),MONTH($A216)=MONTH(Settings!$B$3)),Settings!$B$13,0))</f>
        <v/>
      </c>
      <c r="R216" s="77">
        <f>IF($A216="","",N216+P216)</f>
        <v/>
      </c>
      <c r="S216" s="78">
        <f>IF($A216="","",O216+Q216)</f>
        <v/>
      </c>
    </row>
    <row r="217">
      <c r="A217" s="67" t="n"/>
      <c r="B217" s="75" t="n"/>
      <c r="C217" s="76" t="n"/>
      <c r="D217" s="75" t="n"/>
      <c r="E217" s="76" t="n"/>
      <c r="F217" s="75" t="n"/>
      <c r="G217" s="76" t="n"/>
      <c r="H217" s="75" t="n"/>
      <c r="I217" s="76" t="n"/>
      <c r="J217" s="77">
        <f>IF($A217="","",B217+D217+F217)</f>
        <v/>
      </c>
      <c r="K217" s="78">
        <f>IF($A217="","",C217+E217+G217)</f>
        <v/>
      </c>
      <c r="L217" s="79">
        <f>IF($A217="","",J217+H217)</f>
        <v/>
      </c>
      <c r="M217" s="80">
        <f>IF($A217="","",K217+I217)</f>
        <v/>
      </c>
      <c r="N217" s="77">
        <f>IF($A217="","",SUMIFS($J$5:$J$800,$A$5:$A$800,"&gt;="&amp;DATE(YEAR($A217),MONTH($A217),1),$A$5:$A$800,"&lt;="&amp;$A217)+IF(AND(YEAR($A217)=YEAR(Settings!$B$3),MONTH($A217)=MONTH(Settings!$B$3)),Settings!$B$10,0))</f>
        <v/>
      </c>
      <c r="O217" s="78">
        <f>IF($A217="","",SUMIFS($K$5:$K$800,$A$5:$A$800,"&gt;="&amp;DATE(YEAR($A217),MONTH($A217),1),$A$5:$A$800,"&lt;="&amp;$A217)+IF(AND(YEAR($A217)=YEAR(Settings!$B$3),MONTH($A217)=MONTH(Settings!$B$3)),Settings!$B$11,0))</f>
        <v/>
      </c>
      <c r="P217" s="77">
        <f>IF($A217="","",SUMIFS($H$5:$H$800,$A$5:$A$800,"&gt;="&amp;DATE(YEAR($A217),MONTH($A217),1),$A$5:$A$800,"&lt;="&amp;$A217)+IF(AND(YEAR($A217)=YEAR(Settings!$B$3),MONTH($A217)=MONTH(Settings!$B$3)),Settings!$B$12,0))</f>
        <v/>
      </c>
      <c r="Q217" s="78">
        <f>IF($A217="","",SUMIFS($I$5:$I$800,$A$5:$A$800,"&gt;="&amp;DATE(YEAR($A217),MONTH($A217),1),$A$5:$A$800,"&lt;="&amp;$A217)+IF(AND(YEAR($A217)=YEAR(Settings!$B$3),MONTH($A217)=MONTH(Settings!$B$3)),Settings!$B$13,0))</f>
        <v/>
      </c>
      <c r="R217" s="77">
        <f>IF($A217="","",N217+P217)</f>
        <v/>
      </c>
      <c r="S217" s="78">
        <f>IF($A217="","",O217+Q217)</f>
        <v/>
      </c>
    </row>
    <row r="218">
      <c r="A218" s="67" t="n"/>
      <c r="B218" s="75" t="n"/>
      <c r="C218" s="76" t="n"/>
      <c r="D218" s="75" t="n"/>
      <c r="E218" s="76" t="n"/>
      <c r="F218" s="75" t="n"/>
      <c r="G218" s="76" t="n"/>
      <c r="H218" s="75" t="n"/>
      <c r="I218" s="76" t="n"/>
      <c r="J218" s="77">
        <f>IF($A218="","",B218+D218+F218)</f>
        <v/>
      </c>
      <c r="K218" s="78">
        <f>IF($A218="","",C218+E218+G218)</f>
        <v/>
      </c>
      <c r="L218" s="79">
        <f>IF($A218="","",J218+H218)</f>
        <v/>
      </c>
      <c r="M218" s="80">
        <f>IF($A218="","",K218+I218)</f>
        <v/>
      </c>
      <c r="N218" s="77">
        <f>IF($A218="","",SUMIFS($J$5:$J$800,$A$5:$A$800,"&gt;="&amp;DATE(YEAR($A218),MONTH($A218),1),$A$5:$A$800,"&lt;="&amp;$A218)+IF(AND(YEAR($A218)=YEAR(Settings!$B$3),MONTH($A218)=MONTH(Settings!$B$3)),Settings!$B$10,0))</f>
        <v/>
      </c>
      <c r="O218" s="78">
        <f>IF($A218="","",SUMIFS($K$5:$K$800,$A$5:$A$800,"&gt;="&amp;DATE(YEAR($A218),MONTH($A218),1),$A$5:$A$800,"&lt;="&amp;$A218)+IF(AND(YEAR($A218)=YEAR(Settings!$B$3),MONTH($A218)=MONTH(Settings!$B$3)),Settings!$B$11,0))</f>
        <v/>
      </c>
      <c r="P218" s="77">
        <f>IF($A218="","",SUMIFS($H$5:$H$800,$A$5:$A$800,"&gt;="&amp;DATE(YEAR($A218),MONTH($A218),1),$A$5:$A$800,"&lt;="&amp;$A218)+IF(AND(YEAR($A218)=YEAR(Settings!$B$3),MONTH($A218)=MONTH(Settings!$B$3)),Settings!$B$12,0))</f>
        <v/>
      </c>
      <c r="Q218" s="78">
        <f>IF($A218="","",SUMIFS($I$5:$I$800,$A$5:$A$800,"&gt;="&amp;DATE(YEAR($A218),MONTH($A218),1),$A$5:$A$800,"&lt;="&amp;$A218)+IF(AND(YEAR($A218)=YEAR(Settings!$B$3),MONTH($A218)=MONTH(Settings!$B$3)),Settings!$B$13,0))</f>
        <v/>
      </c>
      <c r="R218" s="77">
        <f>IF($A218="","",N218+P218)</f>
        <v/>
      </c>
      <c r="S218" s="78">
        <f>IF($A218="","",O218+Q218)</f>
        <v/>
      </c>
    </row>
    <row r="219">
      <c r="A219" s="67" t="n"/>
      <c r="B219" s="75" t="n"/>
      <c r="C219" s="76" t="n"/>
      <c r="D219" s="75" t="n"/>
      <c r="E219" s="76" t="n"/>
      <c r="F219" s="75" t="n"/>
      <c r="G219" s="76" t="n"/>
      <c r="H219" s="75" t="n"/>
      <c r="I219" s="76" t="n"/>
      <c r="J219" s="77">
        <f>IF($A219="","",B219+D219+F219)</f>
        <v/>
      </c>
      <c r="K219" s="78">
        <f>IF($A219="","",C219+E219+G219)</f>
        <v/>
      </c>
      <c r="L219" s="79">
        <f>IF($A219="","",J219+H219)</f>
        <v/>
      </c>
      <c r="M219" s="80">
        <f>IF($A219="","",K219+I219)</f>
        <v/>
      </c>
      <c r="N219" s="77">
        <f>IF($A219="","",SUMIFS($J$5:$J$800,$A$5:$A$800,"&gt;="&amp;DATE(YEAR($A219),MONTH($A219),1),$A$5:$A$800,"&lt;="&amp;$A219)+IF(AND(YEAR($A219)=YEAR(Settings!$B$3),MONTH($A219)=MONTH(Settings!$B$3)),Settings!$B$10,0))</f>
        <v/>
      </c>
      <c r="O219" s="78">
        <f>IF($A219="","",SUMIFS($K$5:$K$800,$A$5:$A$800,"&gt;="&amp;DATE(YEAR($A219),MONTH($A219),1),$A$5:$A$800,"&lt;="&amp;$A219)+IF(AND(YEAR($A219)=YEAR(Settings!$B$3),MONTH($A219)=MONTH(Settings!$B$3)),Settings!$B$11,0))</f>
        <v/>
      </c>
      <c r="P219" s="77">
        <f>IF($A219="","",SUMIFS($H$5:$H$800,$A$5:$A$800,"&gt;="&amp;DATE(YEAR($A219),MONTH($A219),1),$A$5:$A$800,"&lt;="&amp;$A219)+IF(AND(YEAR($A219)=YEAR(Settings!$B$3),MONTH($A219)=MONTH(Settings!$B$3)),Settings!$B$12,0))</f>
        <v/>
      </c>
      <c r="Q219" s="78">
        <f>IF($A219="","",SUMIFS($I$5:$I$800,$A$5:$A$800,"&gt;="&amp;DATE(YEAR($A219),MONTH($A219),1),$A$5:$A$800,"&lt;="&amp;$A219)+IF(AND(YEAR($A219)=YEAR(Settings!$B$3),MONTH($A219)=MONTH(Settings!$B$3)),Settings!$B$13,0))</f>
        <v/>
      </c>
      <c r="R219" s="77">
        <f>IF($A219="","",N219+P219)</f>
        <v/>
      </c>
      <c r="S219" s="78">
        <f>IF($A219="","",O219+Q219)</f>
        <v/>
      </c>
    </row>
    <row r="220">
      <c r="A220" s="67" t="n"/>
      <c r="B220" s="75" t="n"/>
      <c r="C220" s="76" t="n"/>
      <c r="D220" s="75" t="n"/>
      <c r="E220" s="76" t="n"/>
      <c r="F220" s="75" t="n"/>
      <c r="G220" s="76" t="n"/>
      <c r="H220" s="75" t="n"/>
      <c r="I220" s="76" t="n"/>
      <c r="J220" s="77">
        <f>IF($A220="","",B220+D220+F220)</f>
        <v/>
      </c>
      <c r="K220" s="78">
        <f>IF($A220="","",C220+E220+G220)</f>
        <v/>
      </c>
      <c r="L220" s="79">
        <f>IF($A220="","",J220+H220)</f>
        <v/>
      </c>
      <c r="M220" s="80">
        <f>IF($A220="","",K220+I220)</f>
        <v/>
      </c>
      <c r="N220" s="77">
        <f>IF($A220="","",SUMIFS($J$5:$J$800,$A$5:$A$800,"&gt;="&amp;DATE(YEAR($A220),MONTH($A220),1),$A$5:$A$800,"&lt;="&amp;$A220)+IF(AND(YEAR($A220)=YEAR(Settings!$B$3),MONTH($A220)=MONTH(Settings!$B$3)),Settings!$B$10,0))</f>
        <v/>
      </c>
      <c r="O220" s="78">
        <f>IF($A220="","",SUMIFS($K$5:$K$800,$A$5:$A$800,"&gt;="&amp;DATE(YEAR($A220),MONTH($A220),1),$A$5:$A$800,"&lt;="&amp;$A220)+IF(AND(YEAR($A220)=YEAR(Settings!$B$3),MONTH($A220)=MONTH(Settings!$B$3)),Settings!$B$11,0))</f>
        <v/>
      </c>
      <c r="P220" s="77">
        <f>IF($A220="","",SUMIFS($H$5:$H$800,$A$5:$A$800,"&gt;="&amp;DATE(YEAR($A220),MONTH($A220),1),$A$5:$A$800,"&lt;="&amp;$A220)+IF(AND(YEAR($A220)=YEAR(Settings!$B$3),MONTH($A220)=MONTH(Settings!$B$3)),Settings!$B$12,0))</f>
        <v/>
      </c>
      <c r="Q220" s="78">
        <f>IF($A220="","",SUMIFS($I$5:$I$800,$A$5:$A$800,"&gt;="&amp;DATE(YEAR($A220),MONTH($A220),1),$A$5:$A$800,"&lt;="&amp;$A220)+IF(AND(YEAR($A220)=YEAR(Settings!$B$3),MONTH($A220)=MONTH(Settings!$B$3)),Settings!$B$13,0))</f>
        <v/>
      </c>
      <c r="R220" s="77">
        <f>IF($A220="","",N220+P220)</f>
        <v/>
      </c>
      <c r="S220" s="78">
        <f>IF($A220="","",O220+Q220)</f>
        <v/>
      </c>
    </row>
    <row r="221">
      <c r="A221" s="67" t="n"/>
      <c r="B221" s="75" t="n"/>
      <c r="C221" s="76" t="n"/>
      <c r="D221" s="75" t="n"/>
      <c r="E221" s="76" t="n"/>
      <c r="F221" s="75" t="n"/>
      <c r="G221" s="76" t="n"/>
      <c r="H221" s="75" t="n"/>
      <c r="I221" s="76" t="n"/>
      <c r="J221" s="77">
        <f>IF($A221="","",B221+D221+F221)</f>
        <v/>
      </c>
      <c r="K221" s="78">
        <f>IF($A221="","",C221+E221+G221)</f>
        <v/>
      </c>
      <c r="L221" s="79">
        <f>IF($A221="","",J221+H221)</f>
        <v/>
      </c>
      <c r="M221" s="80">
        <f>IF($A221="","",K221+I221)</f>
        <v/>
      </c>
      <c r="N221" s="77">
        <f>IF($A221="","",SUMIFS($J$5:$J$800,$A$5:$A$800,"&gt;="&amp;DATE(YEAR($A221),MONTH($A221),1),$A$5:$A$800,"&lt;="&amp;$A221)+IF(AND(YEAR($A221)=YEAR(Settings!$B$3),MONTH($A221)=MONTH(Settings!$B$3)),Settings!$B$10,0))</f>
        <v/>
      </c>
      <c r="O221" s="78">
        <f>IF($A221="","",SUMIFS($K$5:$K$800,$A$5:$A$800,"&gt;="&amp;DATE(YEAR($A221),MONTH($A221),1),$A$5:$A$800,"&lt;="&amp;$A221)+IF(AND(YEAR($A221)=YEAR(Settings!$B$3),MONTH($A221)=MONTH(Settings!$B$3)),Settings!$B$11,0))</f>
        <v/>
      </c>
      <c r="P221" s="77">
        <f>IF($A221="","",SUMIFS($H$5:$H$800,$A$5:$A$800,"&gt;="&amp;DATE(YEAR($A221),MONTH($A221),1),$A$5:$A$800,"&lt;="&amp;$A221)+IF(AND(YEAR($A221)=YEAR(Settings!$B$3),MONTH($A221)=MONTH(Settings!$B$3)),Settings!$B$12,0))</f>
        <v/>
      </c>
      <c r="Q221" s="78">
        <f>IF($A221="","",SUMIFS($I$5:$I$800,$A$5:$A$800,"&gt;="&amp;DATE(YEAR($A221),MONTH($A221),1),$A$5:$A$800,"&lt;="&amp;$A221)+IF(AND(YEAR($A221)=YEAR(Settings!$B$3),MONTH($A221)=MONTH(Settings!$B$3)),Settings!$B$13,0))</f>
        <v/>
      </c>
      <c r="R221" s="77">
        <f>IF($A221="","",N221+P221)</f>
        <v/>
      </c>
      <c r="S221" s="78">
        <f>IF($A221="","",O221+Q221)</f>
        <v/>
      </c>
    </row>
    <row r="222">
      <c r="A222" s="67" t="n"/>
      <c r="B222" s="75" t="n"/>
      <c r="C222" s="76" t="n"/>
      <c r="D222" s="75" t="n"/>
      <c r="E222" s="76" t="n"/>
      <c r="F222" s="75" t="n"/>
      <c r="G222" s="76" t="n"/>
      <c r="H222" s="75" t="n"/>
      <c r="I222" s="76" t="n"/>
      <c r="J222" s="77">
        <f>IF($A222="","",B222+D222+F222)</f>
        <v/>
      </c>
      <c r="K222" s="78">
        <f>IF($A222="","",C222+E222+G222)</f>
        <v/>
      </c>
      <c r="L222" s="79">
        <f>IF($A222="","",J222+H222)</f>
        <v/>
      </c>
      <c r="M222" s="80">
        <f>IF($A222="","",K222+I222)</f>
        <v/>
      </c>
      <c r="N222" s="77">
        <f>IF($A222="","",SUMIFS($J$5:$J$800,$A$5:$A$800,"&gt;="&amp;DATE(YEAR($A222),MONTH($A222),1),$A$5:$A$800,"&lt;="&amp;$A222)+IF(AND(YEAR($A222)=YEAR(Settings!$B$3),MONTH($A222)=MONTH(Settings!$B$3)),Settings!$B$10,0))</f>
        <v/>
      </c>
      <c r="O222" s="78">
        <f>IF($A222="","",SUMIFS($K$5:$K$800,$A$5:$A$800,"&gt;="&amp;DATE(YEAR($A222),MONTH($A222),1),$A$5:$A$800,"&lt;="&amp;$A222)+IF(AND(YEAR($A222)=YEAR(Settings!$B$3),MONTH($A222)=MONTH(Settings!$B$3)),Settings!$B$11,0))</f>
        <v/>
      </c>
      <c r="P222" s="77">
        <f>IF($A222="","",SUMIFS($H$5:$H$800,$A$5:$A$800,"&gt;="&amp;DATE(YEAR($A222),MONTH($A222),1),$A$5:$A$800,"&lt;="&amp;$A222)+IF(AND(YEAR($A222)=YEAR(Settings!$B$3),MONTH($A222)=MONTH(Settings!$B$3)),Settings!$B$12,0))</f>
        <v/>
      </c>
      <c r="Q222" s="78">
        <f>IF($A222="","",SUMIFS($I$5:$I$800,$A$5:$A$800,"&gt;="&amp;DATE(YEAR($A222),MONTH($A222),1),$A$5:$A$800,"&lt;="&amp;$A222)+IF(AND(YEAR($A222)=YEAR(Settings!$B$3),MONTH($A222)=MONTH(Settings!$B$3)),Settings!$B$13,0))</f>
        <v/>
      </c>
      <c r="R222" s="77">
        <f>IF($A222="","",N222+P222)</f>
        <v/>
      </c>
      <c r="S222" s="78">
        <f>IF($A222="","",O222+Q222)</f>
        <v/>
      </c>
    </row>
    <row r="223">
      <c r="A223" s="67" t="n"/>
      <c r="B223" s="75" t="n"/>
      <c r="C223" s="76" t="n"/>
      <c r="D223" s="75" t="n"/>
      <c r="E223" s="76" t="n"/>
      <c r="F223" s="75" t="n"/>
      <c r="G223" s="76" t="n"/>
      <c r="H223" s="75" t="n"/>
      <c r="I223" s="76" t="n"/>
      <c r="J223" s="77">
        <f>IF($A223="","",B223+D223+F223)</f>
        <v/>
      </c>
      <c r="K223" s="78">
        <f>IF($A223="","",C223+E223+G223)</f>
        <v/>
      </c>
      <c r="L223" s="79">
        <f>IF($A223="","",J223+H223)</f>
        <v/>
      </c>
      <c r="M223" s="80">
        <f>IF($A223="","",K223+I223)</f>
        <v/>
      </c>
      <c r="N223" s="77">
        <f>IF($A223="","",SUMIFS($J$5:$J$800,$A$5:$A$800,"&gt;="&amp;DATE(YEAR($A223),MONTH($A223),1),$A$5:$A$800,"&lt;="&amp;$A223)+IF(AND(YEAR($A223)=YEAR(Settings!$B$3),MONTH($A223)=MONTH(Settings!$B$3)),Settings!$B$10,0))</f>
        <v/>
      </c>
      <c r="O223" s="78">
        <f>IF($A223="","",SUMIFS($K$5:$K$800,$A$5:$A$800,"&gt;="&amp;DATE(YEAR($A223),MONTH($A223),1),$A$5:$A$800,"&lt;="&amp;$A223)+IF(AND(YEAR($A223)=YEAR(Settings!$B$3),MONTH($A223)=MONTH(Settings!$B$3)),Settings!$B$11,0))</f>
        <v/>
      </c>
      <c r="P223" s="77">
        <f>IF($A223="","",SUMIFS($H$5:$H$800,$A$5:$A$800,"&gt;="&amp;DATE(YEAR($A223),MONTH($A223),1),$A$5:$A$800,"&lt;="&amp;$A223)+IF(AND(YEAR($A223)=YEAR(Settings!$B$3),MONTH($A223)=MONTH(Settings!$B$3)),Settings!$B$12,0))</f>
        <v/>
      </c>
      <c r="Q223" s="78">
        <f>IF($A223="","",SUMIFS($I$5:$I$800,$A$5:$A$800,"&gt;="&amp;DATE(YEAR($A223),MONTH($A223),1),$A$5:$A$800,"&lt;="&amp;$A223)+IF(AND(YEAR($A223)=YEAR(Settings!$B$3),MONTH($A223)=MONTH(Settings!$B$3)),Settings!$B$13,0))</f>
        <v/>
      </c>
      <c r="R223" s="77">
        <f>IF($A223="","",N223+P223)</f>
        <v/>
      </c>
      <c r="S223" s="78">
        <f>IF($A223="","",O223+Q223)</f>
        <v/>
      </c>
    </row>
    <row r="224">
      <c r="A224" s="67" t="n"/>
      <c r="B224" s="75" t="n"/>
      <c r="C224" s="76" t="n"/>
      <c r="D224" s="75" t="n"/>
      <c r="E224" s="76" t="n"/>
      <c r="F224" s="75" t="n"/>
      <c r="G224" s="76" t="n"/>
      <c r="H224" s="75" t="n"/>
      <c r="I224" s="76" t="n"/>
      <c r="J224" s="77">
        <f>IF($A224="","",B224+D224+F224)</f>
        <v/>
      </c>
      <c r="K224" s="78">
        <f>IF($A224="","",C224+E224+G224)</f>
        <v/>
      </c>
      <c r="L224" s="79">
        <f>IF($A224="","",J224+H224)</f>
        <v/>
      </c>
      <c r="M224" s="80">
        <f>IF($A224="","",K224+I224)</f>
        <v/>
      </c>
      <c r="N224" s="77">
        <f>IF($A224="","",SUMIFS($J$5:$J$800,$A$5:$A$800,"&gt;="&amp;DATE(YEAR($A224),MONTH($A224),1),$A$5:$A$800,"&lt;="&amp;$A224)+IF(AND(YEAR($A224)=YEAR(Settings!$B$3),MONTH($A224)=MONTH(Settings!$B$3)),Settings!$B$10,0))</f>
        <v/>
      </c>
      <c r="O224" s="78">
        <f>IF($A224="","",SUMIFS($K$5:$K$800,$A$5:$A$800,"&gt;="&amp;DATE(YEAR($A224),MONTH($A224),1),$A$5:$A$800,"&lt;="&amp;$A224)+IF(AND(YEAR($A224)=YEAR(Settings!$B$3),MONTH($A224)=MONTH(Settings!$B$3)),Settings!$B$11,0))</f>
        <v/>
      </c>
      <c r="P224" s="77">
        <f>IF($A224="","",SUMIFS($H$5:$H$800,$A$5:$A$800,"&gt;="&amp;DATE(YEAR($A224),MONTH($A224),1),$A$5:$A$800,"&lt;="&amp;$A224)+IF(AND(YEAR($A224)=YEAR(Settings!$B$3),MONTH($A224)=MONTH(Settings!$B$3)),Settings!$B$12,0))</f>
        <v/>
      </c>
      <c r="Q224" s="78">
        <f>IF($A224="","",SUMIFS($I$5:$I$800,$A$5:$A$800,"&gt;="&amp;DATE(YEAR($A224),MONTH($A224),1),$A$5:$A$800,"&lt;="&amp;$A224)+IF(AND(YEAR($A224)=YEAR(Settings!$B$3),MONTH($A224)=MONTH(Settings!$B$3)),Settings!$B$13,0))</f>
        <v/>
      </c>
      <c r="R224" s="77">
        <f>IF($A224="","",N224+P224)</f>
        <v/>
      </c>
      <c r="S224" s="78">
        <f>IF($A224="","",O224+Q224)</f>
        <v/>
      </c>
    </row>
    <row r="225">
      <c r="A225" s="67" t="n"/>
      <c r="B225" s="75" t="n"/>
      <c r="C225" s="76" t="n"/>
      <c r="D225" s="75" t="n"/>
      <c r="E225" s="76" t="n"/>
      <c r="F225" s="75" t="n"/>
      <c r="G225" s="76" t="n"/>
      <c r="H225" s="75" t="n"/>
      <c r="I225" s="76" t="n"/>
      <c r="J225" s="77">
        <f>IF($A225="","",B225+D225+F225)</f>
        <v/>
      </c>
      <c r="K225" s="78">
        <f>IF($A225="","",C225+E225+G225)</f>
        <v/>
      </c>
      <c r="L225" s="79">
        <f>IF($A225="","",J225+H225)</f>
        <v/>
      </c>
      <c r="M225" s="80">
        <f>IF($A225="","",K225+I225)</f>
        <v/>
      </c>
      <c r="N225" s="77">
        <f>IF($A225="","",SUMIFS($J$5:$J$800,$A$5:$A$800,"&gt;="&amp;DATE(YEAR($A225),MONTH($A225),1),$A$5:$A$800,"&lt;="&amp;$A225)+IF(AND(YEAR($A225)=YEAR(Settings!$B$3),MONTH($A225)=MONTH(Settings!$B$3)),Settings!$B$10,0))</f>
        <v/>
      </c>
      <c r="O225" s="78">
        <f>IF($A225="","",SUMIFS($K$5:$K$800,$A$5:$A$800,"&gt;="&amp;DATE(YEAR($A225),MONTH($A225),1),$A$5:$A$800,"&lt;="&amp;$A225)+IF(AND(YEAR($A225)=YEAR(Settings!$B$3),MONTH($A225)=MONTH(Settings!$B$3)),Settings!$B$11,0))</f>
        <v/>
      </c>
      <c r="P225" s="77">
        <f>IF($A225="","",SUMIFS($H$5:$H$800,$A$5:$A$800,"&gt;="&amp;DATE(YEAR($A225),MONTH($A225),1),$A$5:$A$800,"&lt;="&amp;$A225)+IF(AND(YEAR($A225)=YEAR(Settings!$B$3),MONTH($A225)=MONTH(Settings!$B$3)),Settings!$B$12,0))</f>
        <v/>
      </c>
      <c r="Q225" s="78">
        <f>IF($A225="","",SUMIFS($I$5:$I$800,$A$5:$A$800,"&gt;="&amp;DATE(YEAR($A225),MONTH($A225),1),$A$5:$A$800,"&lt;="&amp;$A225)+IF(AND(YEAR($A225)=YEAR(Settings!$B$3),MONTH($A225)=MONTH(Settings!$B$3)),Settings!$B$13,0))</f>
        <v/>
      </c>
      <c r="R225" s="77">
        <f>IF($A225="","",N225+P225)</f>
        <v/>
      </c>
      <c r="S225" s="78">
        <f>IF($A225="","",O225+Q225)</f>
        <v/>
      </c>
    </row>
    <row r="226">
      <c r="A226" s="67" t="n"/>
      <c r="B226" s="75" t="n"/>
      <c r="C226" s="76" t="n"/>
      <c r="D226" s="75" t="n"/>
      <c r="E226" s="76" t="n"/>
      <c r="F226" s="75" t="n"/>
      <c r="G226" s="76" t="n"/>
      <c r="H226" s="75" t="n"/>
      <c r="I226" s="76" t="n"/>
      <c r="J226" s="77">
        <f>IF($A226="","",B226+D226+F226)</f>
        <v/>
      </c>
      <c r="K226" s="78">
        <f>IF($A226="","",C226+E226+G226)</f>
        <v/>
      </c>
      <c r="L226" s="79">
        <f>IF($A226="","",J226+H226)</f>
        <v/>
      </c>
      <c r="M226" s="80">
        <f>IF($A226="","",K226+I226)</f>
        <v/>
      </c>
      <c r="N226" s="77">
        <f>IF($A226="","",SUMIFS($J$5:$J$800,$A$5:$A$800,"&gt;="&amp;DATE(YEAR($A226),MONTH($A226),1),$A$5:$A$800,"&lt;="&amp;$A226)+IF(AND(YEAR($A226)=YEAR(Settings!$B$3),MONTH($A226)=MONTH(Settings!$B$3)),Settings!$B$10,0))</f>
        <v/>
      </c>
      <c r="O226" s="78">
        <f>IF($A226="","",SUMIFS($K$5:$K$800,$A$5:$A$800,"&gt;="&amp;DATE(YEAR($A226),MONTH($A226),1),$A$5:$A$800,"&lt;="&amp;$A226)+IF(AND(YEAR($A226)=YEAR(Settings!$B$3),MONTH($A226)=MONTH(Settings!$B$3)),Settings!$B$11,0))</f>
        <v/>
      </c>
      <c r="P226" s="77">
        <f>IF($A226="","",SUMIFS($H$5:$H$800,$A$5:$A$800,"&gt;="&amp;DATE(YEAR($A226),MONTH($A226),1),$A$5:$A$800,"&lt;="&amp;$A226)+IF(AND(YEAR($A226)=YEAR(Settings!$B$3),MONTH($A226)=MONTH(Settings!$B$3)),Settings!$B$12,0))</f>
        <v/>
      </c>
      <c r="Q226" s="78">
        <f>IF($A226="","",SUMIFS($I$5:$I$800,$A$5:$A$800,"&gt;="&amp;DATE(YEAR($A226),MONTH($A226),1),$A$5:$A$800,"&lt;="&amp;$A226)+IF(AND(YEAR($A226)=YEAR(Settings!$B$3),MONTH($A226)=MONTH(Settings!$B$3)),Settings!$B$13,0))</f>
        <v/>
      </c>
      <c r="R226" s="77">
        <f>IF($A226="","",N226+P226)</f>
        <v/>
      </c>
      <c r="S226" s="78">
        <f>IF($A226="","",O226+Q226)</f>
        <v/>
      </c>
    </row>
    <row r="227">
      <c r="A227" s="67" t="n"/>
      <c r="B227" s="75" t="n"/>
      <c r="C227" s="76" t="n"/>
      <c r="D227" s="75" t="n"/>
      <c r="E227" s="76" t="n"/>
      <c r="F227" s="75" t="n"/>
      <c r="G227" s="76" t="n"/>
      <c r="H227" s="75" t="n"/>
      <c r="I227" s="76" t="n"/>
      <c r="J227" s="77">
        <f>IF($A227="","",B227+D227+F227)</f>
        <v/>
      </c>
      <c r="K227" s="78">
        <f>IF($A227="","",C227+E227+G227)</f>
        <v/>
      </c>
      <c r="L227" s="79">
        <f>IF($A227="","",J227+H227)</f>
        <v/>
      </c>
      <c r="M227" s="80">
        <f>IF($A227="","",K227+I227)</f>
        <v/>
      </c>
      <c r="N227" s="77">
        <f>IF($A227="","",SUMIFS($J$5:$J$800,$A$5:$A$800,"&gt;="&amp;DATE(YEAR($A227),MONTH($A227),1),$A$5:$A$800,"&lt;="&amp;$A227)+IF(AND(YEAR($A227)=YEAR(Settings!$B$3),MONTH($A227)=MONTH(Settings!$B$3)),Settings!$B$10,0))</f>
        <v/>
      </c>
      <c r="O227" s="78">
        <f>IF($A227="","",SUMIFS($K$5:$K$800,$A$5:$A$800,"&gt;="&amp;DATE(YEAR($A227),MONTH($A227),1),$A$5:$A$800,"&lt;="&amp;$A227)+IF(AND(YEAR($A227)=YEAR(Settings!$B$3),MONTH($A227)=MONTH(Settings!$B$3)),Settings!$B$11,0))</f>
        <v/>
      </c>
      <c r="P227" s="77">
        <f>IF($A227="","",SUMIFS($H$5:$H$800,$A$5:$A$800,"&gt;="&amp;DATE(YEAR($A227),MONTH($A227),1),$A$5:$A$800,"&lt;="&amp;$A227)+IF(AND(YEAR($A227)=YEAR(Settings!$B$3),MONTH($A227)=MONTH(Settings!$B$3)),Settings!$B$12,0))</f>
        <v/>
      </c>
      <c r="Q227" s="78">
        <f>IF($A227="","",SUMIFS($I$5:$I$800,$A$5:$A$800,"&gt;="&amp;DATE(YEAR($A227),MONTH($A227),1),$A$5:$A$800,"&lt;="&amp;$A227)+IF(AND(YEAR($A227)=YEAR(Settings!$B$3),MONTH($A227)=MONTH(Settings!$B$3)),Settings!$B$13,0))</f>
        <v/>
      </c>
      <c r="R227" s="77">
        <f>IF($A227="","",N227+P227)</f>
        <v/>
      </c>
      <c r="S227" s="78">
        <f>IF($A227="","",O227+Q227)</f>
        <v/>
      </c>
    </row>
    <row r="228">
      <c r="A228" s="67" t="n"/>
      <c r="B228" s="75" t="n"/>
      <c r="C228" s="76" t="n"/>
      <c r="D228" s="75" t="n"/>
      <c r="E228" s="76" t="n"/>
      <c r="F228" s="75" t="n"/>
      <c r="G228" s="76" t="n"/>
      <c r="H228" s="75" t="n"/>
      <c r="I228" s="76" t="n"/>
      <c r="J228" s="77">
        <f>IF($A228="","",B228+D228+F228)</f>
        <v/>
      </c>
      <c r="K228" s="78">
        <f>IF($A228="","",C228+E228+G228)</f>
        <v/>
      </c>
      <c r="L228" s="79">
        <f>IF($A228="","",J228+H228)</f>
        <v/>
      </c>
      <c r="M228" s="80">
        <f>IF($A228="","",K228+I228)</f>
        <v/>
      </c>
      <c r="N228" s="77">
        <f>IF($A228="","",SUMIFS($J$5:$J$800,$A$5:$A$800,"&gt;="&amp;DATE(YEAR($A228),MONTH($A228),1),$A$5:$A$800,"&lt;="&amp;$A228)+IF(AND(YEAR($A228)=YEAR(Settings!$B$3),MONTH($A228)=MONTH(Settings!$B$3)),Settings!$B$10,0))</f>
        <v/>
      </c>
      <c r="O228" s="78">
        <f>IF($A228="","",SUMIFS($K$5:$K$800,$A$5:$A$800,"&gt;="&amp;DATE(YEAR($A228),MONTH($A228),1),$A$5:$A$800,"&lt;="&amp;$A228)+IF(AND(YEAR($A228)=YEAR(Settings!$B$3),MONTH($A228)=MONTH(Settings!$B$3)),Settings!$B$11,0))</f>
        <v/>
      </c>
      <c r="P228" s="77">
        <f>IF($A228="","",SUMIFS($H$5:$H$800,$A$5:$A$800,"&gt;="&amp;DATE(YEAR($A228),MONTH($A228),1),$A$5:$A$800,"&lt;="&amp;$A228)+IF(AND(YEAR($A228)=YEAR(Settings!$B$3),MONTH($A228)=MONTH(Settings!$B$3)),Settings!$B$12,0))</f>
        <v/>
      </c>
      <c r="Q228" s="78">
        <f>IF($A228="","",SUMIFS($I$5:$I$800,$A$5:$A$800,"&gt;="&amp;DATE(YEAR($A228),MONTH($A228),1),$A$5:$A$800,"&lt;="&amp;$A228)+IF(AND(YEAR($A228)=YEAR(Settings!$B$3),MONTH($A228)=MONTH(Settings!$B$3)),Settings!$B$13,0))</f>
        <v/>
      </c>
      <c r="R228" s="77">
        <f>IF($A228="","",N228+P228)</f>
        <v/>
      </c>
      <c r="S228" s="78">
        <f>IF($A228="","",O228+Q228)</f>
        <v/>
      </c>
    </row>
    <row r="229">
      <c r="A229" s="67" t="n"/>
      <c r="B229" s="75" t="n"/>
      <c r="C229" s="76" t="n"/>
      <c r="D229" s="75" t="n"/>
      <c r="E229" s="76" t="n"/>
      <c r="F229" s="75" t="n"/>
      <c r="G229" s="76" t="n"/>
      <c r="H229" s="75" t="n"/>
      <c r="I229" s="76" t="n"/>
      <c r="J229" s="77">
        <f>IF($A229="","",B229+D229+F229)</f>
        <v/>
      </c>
      <c r="K229" s="78">
        <f>IF($A229="","",C229+E229+G229)</f>
        <v/>
      </c>
      <c r="L229" s="79">
        <f>IF($A229="","",J229+H229)</f>
        <v/>
      </c>
      <c r="M229" s="80">
        <f>IF($A229="","",K229+I229)</f>
        <v/>
      </c>
      <c r="N229" s="77">
        <f>IF($A229="","",SUMIFS($J$5:$J$800,$A$5:$A$800,"&gt;="&amp;DATE(YEAR($A229),MONTH($A229),1),$A$5:$A$800,"&lt;="&amp;$A229)+IF(AND(YEAR($A229)=YEAR(Settings!$B$3),MONTH($A229)=MONTH(Settings!$B$3)),Settings!$B$10,0))</f>
        <v/>
      </c>
      <c r="O229" s="78">
        <f>IF($A229="","",SUMIFS($K$5:$K$800,$A$5:$A$800,"&gt;="&amp;DATE(YEAR($A229),MONTH($A229),1),$A$5:$A$800,"&lt;="&amp;$A229)+IF(AND(YEAR($A229)=YEAR(Settings!$B$3),MONTH($A229)=MONTH(Settings!$B$3)),Settings!$B$11,0))</f>
        <v/>
      </c>
      <c r="P229" s="77">
        <f>IF($A229="","",SUMIFS($H$5:$H$800,$A$5:$A$800,"&gt;="&amp;DATE(YEAR($A229),MONTH($A229),1),$A$5:$A$800,"&lt;="&amp;$A229)+IF(AND(YEAR($A229)=YEAR(Settings!$B$3),MONTH($A229)=MONTH(Settings!$B$3)),Settings!$B$12,0))</f>
        <v/>
      </c>
      <c r="Q229" s="78">
        <f>IF($A229="","",SUMIFS($I$5:$I$800,$A$5:$A$800,"&gt;="&amp;DATE(YEAR($A229),MONTH($A229),1),$A$5:$A$800,"&lt;="&amp;$A229)+IF(AND(YEAR($A229)=YEAR(Settings!$B$3),MONTH($A229)=MONTH(Settings!$B$3)),Settings!$B$13,0))</f>
        <v/>
      </c>
      <c r="R229" s="77">
        <f>IF($A229="","",N229+P229)</f>
        <v/>
      </c>
      <c r="S229" s="78">
        <f>IF($A229="","",O229+Q229)</f>
        <v/>
      </c>
    </row>
    <row r="230">
      <c r="A230" s="67" t="n"/>
      <c r="B230" s="75" t="n"/>
      <c r="C230" s="76" t="n"/>
      <c r="D230" s="75" t="n"/>
      <c r="E230" s="76" t="n"/>
      <c r="F230" s="75" t="n"/>
      <c r="G230" s="76" t="n"/>
      <c r="H230" s="75" t="n"/>
      <c r="I230" s="76" t="n"/>
      <c r="J230" s="77">
        <f>IF($A230="","",B230+D230+F230)</f>
        <v/>
      </c>
      <c r="K230" s="78">
        <f>IF($A230="","",C230+E230+G230)</f>
        <v/>
      </c>
      <c r="L230" s="79">
        <f>IF($A230="","",J230+H230)</f>
        <v/>
      </c>
      <c r="M230" s="80">
        <f>IF($A230="","",K230+I230)</f>
        <v/>
      </c>
      <c r="N230" s="77">
        <f>IF($A230="","",SUMIFS($J$5:$J$800,$A$5:$A$800,"&gt;="&amp;DATE(YEAR($A230),MONTH($A230),1),$A$5:$A$800,"&lt;="&amp;$A230)+IF(AND(YEAR($A230)=YEAR(Settings!$B$3),MONTH($A230)=MONTH(Settings!$B$3)),Settings!$B$10,0))</f>
        <v/>
      </c>
      <c r="O230" s="78">
        <f>IF($A230="","",SUMIFS($K$5:$K$800,$A$5:$A$800,"&gt;="&amp;DATE(YEAR($A230),MONTH($A230),1),$A$5:$A$800,"&lt;="&amp;$A230)+IF(AND(YEAR($A230)=YEAR(Settings!$B$3),MONTH($A230)=MONTH(Settings!$B$3)),Settings!$B$11,0))</f>
        <v/>
      </c>
      <c r="P230" s="77">
        <f>IF($A230="","",SUMIFS($H$5:$H$800,$A$5:$A$800,"&gt;="&amp;DATE(YEAR($A230),MONTH($A230),1),$A$5:$A$800,"&lt;="&amp;$A230)+IF(AND(YEAR($A230)=YEAR(Settings!$B$3),MONTH($A230)=MONTH(Settings!$B$3)),Settings!$B$12,0))</f>
        <v/>
      </c>
      <c r="Q230" s="78">
        <f>IF($A230="","",SUMIFS($I$5:$I$800,$A$5:$A$800,"&gt;="&amp;DATE(YEAR($A230),MONTH($A230),1),$A$5:$A$800,"&lt;="&amp;$A230)+IF(AND(YEAR($A230)=YEAR(Settings!$B$3),MONTH($A230)=MONTH(Settings!$B$3)),Settings!$B$13,0))</f>
        <v/>
      </c>
      <c r="R230" s="77">
        <f>IF($A230="","",N230+P230)</f>
        <v/>
      </c>
      <c r="S230" s="78">
        <f>IF($A230="","",O230+Q230)</f>
        <v/>
      </c>
    </row>
    <row r="231">
      <c r="A231" s="67" t="n"/>
      <c r="B231" s="75" t="n"/>
      <c r="C231" s="76" t="n"/>
      <c r="D231" s="75" t="n"/>
      <c r="E231" s="76" t="n"/>
      <c r="F231" s="75" t="n"/>
      <c r="G231" s="76" t="n"/>
      <c r="H231" s="75" t="n"/>
      <c r="I231" s="76" t="n"/>
      <c r="J231" s="77">
        <f>IF($A231="","",B231+D231+F231)</f>
        <v/>
      </c>
      <c r="K231" s="78">
        <f>IF($A231="","",C231+E231+G231)</f>
        <v/>
      </c>
      <c r="L231" s="79">
        <f>IF($A231="","",J231+H231)</f>
        <v/>
      </c>
      <c r="M231" s="80">
        <f>IF($A231="","",K231+I231)</f>
        <v/>
      </c>
      <c r="N231" s="77">
        <f>IF($A231="","",SUMIFS($J$5:$J$800,$A$5:$A$800,"&gt;="&amp;DATE(YEAR($A231),MONTH($A231),1),$A$5:$A$800,"&lt;="&amp;$A231)+IF(AND(YEAR($A231)=YEAR(Settings!$B$3),MONTH($A231)=MONTH(Settings!$B$3)),Settings!$B$10,0))</f>
        <v/>
      </c>
      <c r="O231" s="78">
        <f>IF($A231="","",SUMIFS($K$5:$K$800,$A$5:$A$800,"&gt;="&amp;DATE(YEAR($A231),MONTH($A231),1),$A$5:$A$800,"&lt;="&amp;$A231)+IF(AND(YEAR($A231)=YEAR(Settings!$B$3),MONTH($A231)=MONTH(Settings!$B$3)),Settings!$B$11,0))</f>
        <v/>
      </c>
      <c r="P231" s="77">
        <f>IF($A231="","",SUMIFS($H$5:$H$800,$A$5:$A$800,"&gt;="&amp;DATE(YEAR($A231),MONTH($A231),1),$A$5:$A$800,"&lt;="&amp;$A231)+IF(AND(YEAR($A231)=YEAR(Settings!$B$3),MONTH($A231)=MONTH(Settings!$B$3)),Settings!$B$12,0))</f>
        <v/>
      </c>
      <c r="Q231" s="78">
        <f>IF($A231="","",SUMIFS($I$5:$I$800,$A$5:$A$800,"&gt;="&amp;DATE(YEAR($A231),MONTH($A231),1),$A$5:$A$800,"&lt;="&amp;$A231)+IF(AND(YEAR($A231)=YEAR(Settings!$B$3),MONTH($A231)=MONTH(Settings!$B$3)),Settings!$B$13,0))</f>
        <v/>
      </c>
      <c r="R231" s="77">
        <f>IF($A231="","",N231+P231)</f>
        <v/>
      </c>
      <c r="S231" s="78">
        <f>IF($A231="","",O231+Q231)</f>
        <v/>
      </c>
    </row>
    <row r="232">
      <c r="A232" s="67" t="n"/>
      <c r="B232" s="75" t="n"/>
      <c r="C232" s="76" t="n"/>
      <c r="D232" s="75" t="n"/>
      <c r="E232" s="76" t="n"/>
      <c r="F232" s="75" t="n"/>
      <c r="G232" s="76" t="n"/>
      <c r="H232" s="75" t="n"/>
      <c r="I232" s="76" t="n"/>
      <c r="J232" s="77">
        <f>IF($A232="","",B232+D232+F232)</f>
        <v/>
      </c>
      <c r="K232" s="78">
        <f>IF($A232="","",C232+E232+G232)</f>
        <v/>
      </c>
      <c r="L232" s="79">
        <f>IF($A232="","",J232+H232)</f>
        <v/>
      </c>
      <c r="M232" s="80">
        <f>IF($A232="","",K232+I232)</f>
        <v/>
      </c>
      <c r="N232" s="77">
        <f>IF($A232="","",SUMIFS($J$5:$J$800,$A$5:$A$800,"&gt;="&amp;DATE(YEAR($A232),MONTH($A232),1),$A$5:$A$800,"&lt;="&amp;$A232)+IF(AND(YEAR($A232)=YEAR(Settings!$B$3),MONTH($A232)=MONTH(Settings!$B$3)),Settings!$B$10,0))</f>
        <v/>
      </c>
      <c r="O232" s="78">
        <f>IF($A232="","",SUMIFS($K$5:$K$800,$A$5:$A$800,"&gt;="&amp;DATE(YEAR($A232),MONTH($A232),1),$A$5:$A$800,"&lt;="&amp;$A232)+IF(AND(YEAR($A232)=YEAR(Settings!$B$3),MONTH($A232)=MONTH(Settings!$B$3)),Settings!$B$11,0))</f>
        <v/>
      </c>
      <c r="P232" s="77">
        <f>IF($A232="","",SUMIFS($H$5:$H$800,$A$5:$A$800,"&gt;="&amp;DATE(YEAR($A232),MONTH($A232),1),$A$5:$A$800,"&lt;="&amp;$A232)+IF(AND(YEAR($A232)=YEAR(Settings!$B$3),MONTH($A232)=MONTH(Settings!$B$3)),Settings!$B$12,0))</f>
        <v/>
      </c>
      <c r="Q232" s="78">
        <f>IF($A232="","",SUMIFS($I$5:$I$800,$A$5:$A$800,"&gt;="&amp;DATE(YEAR($A232),MONTH($A232),1),$A$5:$A$800,"&lt;="&amp;$A232)+IF(AND(YEAR($A232)=YEAR(Settings!$B$3),MONTH($A232)=MONTH(Settings!$B$3)),Settings!$B$13,0))</f>
        <v/>
      </c>
      <c r="R232" s="77">
        <f>IF($A232="","",N232+P232)</f>
        <v/>
      </c>
      <c r="S232" s="78">
        <f>IF($A232="","",O232+Q232)</f>
        <v/>
      </c>
    </row>
    <row r="233">
      <c r="A233" s="67" t="n"/>
      <c r="B233" s="75" t="n"/>
      <c r="C233" s="76" t="n"/>
      <c r="D233" s="75" t="n"/>
      <c r="E233" s="76" t="n"/>
      <c r="F233" s="75" t="n"/>
      <c r="G233" s="76" t="n"/>
      <c r="H233" s="75" t="n"/>
      <c r="I233" s="76" t="n"/>
      <c r="J233" s="77">
        <f>IF($A233="","",B233+D233+F233)</f>
        <v/>
      </c>
      <c r="K233" s="78">
        <f>IF($A233="","",C233+E233+G233)</f>
        <v/>
      </c>
      <c r="L233" s="79">
        <f>IF($A233="","",J233+H233)</f>
        <v/>
      </c>
      <c r="M233" s="80">
        <f>IF($A233="","",K233+I233)</f>
        <v/>
      </c>
      <c r="N233" s="77">
        <f>IF($A233="","",SUMIFS($J$5:$J$800,$A$5:$A$800,"&gt;="&amp;DATE(YEAR($A233),MONTH($A233),1),$A$5:$A$800,"&lt;="&amp;$A233)+IF(AND(YEAR($A233)=YEAR(Settings!$B$3),MONTH($A233)=MONTH(Settings!$B$3)),Settings!$B$10,0))</f>
        <v/>
      </c>
      <c r="O233" s="78">
        <f>IF($A233="","",SUMIFS($K$5:$K$800,$A$5:$A$800,"&gt;="&amp;DATE(YEAR($A233),MONTH($A233),1),$A$5:$A$800,"&lt;="&amp;$A233)+IF(AND(YEAR($A233)=YEAR(Settings!$B$3),MONTH($A233)=MONTH(Settings!$B$3)),Settings!$B$11,0))</f>
        <v/>
      </c>
      <c r="P233" s="77">
        <f>IF($A233="","",SUMIFS($H$5:$H$800,$A$5:$A$800,"&gt;="&amp;DATE(YEAR($A233),MONTH($A233),1),$A$5:$A$800,"&lt;="&amp;$A233)+IF(AND(YEAR($A233)=YEAR(Settings!$B$3),MONTH($A233)=MONTH(Settings!$B$3)),Settings!$B$12,0))</f>
        <v/>
      </c>
      <c r="Q233" s="78">
        <f>IF($A233="","",SUMIFS($I$5:$I$800,$A$5:$A$800,"&gt;="&amp;DATE(YEAR($A233),MONTH($A233),1),$A$5:$A$800,"&lt;="&amp;$A233)+IF(AND(YEAR($A233)=YEAR(Settings!$B$3),MONTH($A233)=MONTH(Settings!$B$3)),Settings!$B$13,0))</f>
        <v/>
      </c>
      <c r="R233" s="77">
        <f>IF($A233="","",N233+P233)</f>
        <v/>
      </c>
      <c r="S233" s="78">
        <f>IF($A233="","",O233+Q233)</f>
        <v/>
      </c>
    </row>
    <row r="234">
      <c r="A234" s="67" t="n"/>
      <c r="B234" s="75" t="n"/>
      <c r="C234" s="76" t="n"/>
      <c r="D234" s="75" t="n"/>
      <c r="E234" s="76" t="n"/>
      <c r="F234" s="75" t="n"/>
      <c r="G234" s="76" t="n"/>
      <c r="H234" s="75" t="n"/>
      <c r="I234" s="76" t="n"/>
      <c r="J234" s="77">
        <f>IF($A234="","",B234+D234+F234)</f>
        <v/>
      </c>
      <c r="K234" s="78">
        <f>IF($A234="","",C234+E234+G234)</f>
        <v/>
      </c>
      <c r="L234" s="79">
        <f>IF($A234="","",J234+H234)</f>
        <v/>
      </c>
      <c r="M234" s="80">
        <f>IF($A234="","",K234+I234)</f>
        <v/>
      </c>
      <c r="N234" s="77">
        <f>IF($A234="","",SUMIFS($J$5:$J$800,$A$5:$A$800,"&gt;="&amp;DATE(YEAR($A234),MONTH($A234),1),$A$5:$A$800,"&lt;="&amp;$A234)+IF(AND(YEAR($A234)=YEAR(Settings!$B$3),MONTH($A234)=MONTH(Settings!$B$3)),Settings!$B$10,0))</f>
        <v/>
      </c>
      <c r="O234" s="78">
        <f>IF($A234="","",SUMIFS($K$5:$K$800,$A$5:$A$800,"&gt;="&amp;DATE(YEAR($A234),MONTH($A234),1),$A$5:$A$800,"&lt;="&amp;$A234)+IF(AND(YEAR($A234)=YEAR(Settings!$B$3),MONTH($A234)=MONTH(Settings!$B$3)),Settings!$B$11,0))</f>
        <v/>
      </c>
      <c r="P234" s="77">
        <f>IF($A234="","",SUMIFS($H$5:$H$800,$A$5:$A$800,"&gt;="&amp;DATE(YEAR($A234),MONTH($A234),1),$A$5:$A$800,"&lt;="&amp;$A234)+IF(AND(YEAR($A234)=YEAR(Settings!$B$3),MONTH($A234)=MONTH(Settings!$B$3)),Settings!$B$12,0))</f>
        <v/>
      </c>
      <c r="Q234" s="78">
        <f>IF($A234="","",SUMIFS($I$5:$I$800,$A$5:$A$800,"&gt;="&amp;DATE(YEAR($A234),MONTH($A234),1),$A$5:$A$800,"&lt;="&amp;$A234)+IF(AND(YEAR($A234)=YEAR(Settings!$B$3),MONTH($A234)=MONTH(Settings!$B$3)),Settings!$B$13,0))</f>
        <v/>
      </c>
      <c r="R234" s="77">
        <f>IF($A234="","",N234+P234)</f>
        <v/>
      </c>
      <c r="S234" s="78">
        <f>IF($A234="","",O234+Q234)</f>
        <v/>
      </c>
    </row>
    <row r="235">
      <c r="A235" s="67" t="n"/>
      <c r="B235" s="75" t="n"/>
      <c r="C235" s="76" t="n"/>
      <c r="D235" s="75" t="n"/>
      <c r="E235" s="76" t="n"/>
      <c r="F235" s="75" t="n"/>
      <c r="G235" s="76" t="n"/>
      <c r="H235" s="75" t="n"/>
      <c r="I235" s="76" t="n"/>
      <c r="J235" s="77">
        <f>IF($A235="","",B235+D235+F235)</f>
        <v/>
      </c>
      <c r="K235" s="78">
        <f>IF($A235="","",C235+E235+G235)</f>
        <v/>
      </c>
      <c r="L235" s="79">
        <f>IF($A235="","",J235+H235)</f>
        <v/>
      </c>
      <c r="M235" s="80">
        <f>IF($A235="","",K235+I235)</f>
        <v/>
      </c>
      <c r="N235" s="77">
        <f>IF($A235="","",SUMIFS($J$5:$J$800,$A$5:$A$800,"&gt;="&amp;DATE(YEAR($A235),MONTH($A235),1),$A$5:$A$800,"&lt;="&amp;$A235)+IF(AND(YEAR($A235)=YEAR(Settings!$B$3),MONTH($A235)=MONTH(Settings!$B$3)),Settings!$B$10,0))</f>
        <v/>
      </c>
      <c r="O235" s="78">
        <f>IF($A235="","",SUMIFS($K$5:$K$800,$A$5:$A$800,"&gt;="&amp;DATE(YEAR($A235),MONTH($A235),1),$A$5:$A$800,"&lt;="&amp;$A235)+IF(AND(YEAR($A235)=YEAR(Settings!$B$3),MONTH($A235)=MONTH(Settings!$B$3)),Settings!$B$11,0))</f>
        <v/>
      </c>
      <c r="P235" s="77">
        <f>IF($A235="","",SUMIFS($H$5:$H$800,$A$5:$A$800,"&gt;="&amp;DATE(YEAR($A235),MONTH($A235),1),$A$5:$A$800,"&lt;="&amp;$A235)+IF(AND(YEAR($A235)=YEAR(Settings!$B$3),MONTH($A235)=MONTH(Settings!$B$3)),Settings!$B$12,0))</f>
        <v/>
      </c>
      <c r="Q235" s="78">
        <f>IF($A235="","",SUMIFS($I$5:$I$800,$A$5:$A$800,"&gt;="&amp;DATE(YEAR($A235),MONTH($A235),1),$A$5:$A$800,"&lt;="&amp;$A235)+IF(AND(YEAR($A235)=YEAR(Settings!$B$3),MONTH($A235)=MONTH(Settings!$B$3)),Settings!$B$13,0))</f>
        <v/>
      </c>
      <c r="R235" s="77">
        <f>IF($A235="","",N235+P235)</f>
        <v/>
      </c>
      <c r="S235" s="78">
        <f>IF($A235="","",O235+Q235)</f>
        <v/>
      </c>
    </row>
    <row r="236">
      <c r="A236" s="67" t="n"/>
      <c r="B236" s="75" t="n"/>
      <c r="C236" s="76" t="n"/>
      <c r="D236" s="75" t="n"/>
      <c r="E236" s="76" t="n"/>
      <c r="F236" s="75" t="n"/>
      <c r="G236" s="76" t="n"/>
      <c r="H236" s="75" t="n"/>
      <c r="I236" s="76" t="n"/>
      <c r="J236" s="77">
        <f>IF($A236="","",B236+D236+F236)</f>
        <v/>
      </c>
      <c r="K236" s="78">
        <f>IF($A236="","",C236+E236+G236)</f>
        <v/>
      </c>
      <c r="L236" s="79">
        <f>IF($A236="","",J236+H236)</f>
        <v/>
      </c>
      <c r="M236" s="80">
        <f>IF($A236="","",K236+I236)</f>
        <v/>
      </c>
      <c r="N236" s="77">
        <f>IF($A236="","",SUMIFS($J$5:$J$800,$A$5:$A$800,"&gt;="&amp;DATE(YEAR($A236),MONTH($A236),1),$A$5:$A$800,"&lt;="&amp;$A236)+IF(AND(YEAR($A236)=YEAR(Settings!$B$3),MONTH($A236)=MONTH(Settings!$B$3)),Settings!$B$10,0))</f>
        <v/>
      </c>
      <c r="O236" s="78">
        <f>IF($A236="","",SUMIFS($K$5:$K$800,$A$5:$A$800,"&gt;="&amp;DATE(YEAR($A236),MONTH($A236),1),$A$5:$A$800,"&lt;="&amp;$A236)+IF(AND(YEAR($A236)=YEAR(Settings!$B$3),MONTH($A236)=MONTH(Settings!$B$3)),Settings!$B$11,0))</f>
        <v/>
      </c>
      <c r="P236" s="77">
        <f>IF($A236="","",SUMIFS($H$5:$H$800,$A$5:$A$800,"&gt;="&amp;DATE(YEAR($A236),MONTH($A236),1),$A$5:$A$800,"&lt;="&amp;$A236)+IF(AND(YEAR($A236)=YEAR(Settings!$B$3),MONTH($A236)=MONTH(Settings!$B$3)),Settings!$B$12,0))</f>
        <v/>
      </c>
      <c r="Q236" s="78">
        <f>IF($A236="","",SUMIFS($I$5:$I$800,$A$5:$A$800,"&gt;="&amp;DATE(YEAR($A236),MONTH($A236),1),$A$5:$A$800,"&lt;="&amp;$A236)+IF(AND(YEAR($A236)=YEAR(Settings!$B$3),MONTH($A236)=MONTH(Settings!$B$3)),Settings!$B$13,0))</f>
        <v/>
      </c>
      <c r="R236" s="77">
        <f>IF($A236="","",N236+P236)</f>
        <v/>
      </c>
      <c r="S236" s="78">
        <f>IF($A236="","",O236+Q236)</f>
        <v/>
      </c>
    </row>
    <row r="237">
      <c r="A237" s="67" t="n"/>
      <c r="B237" s="75" t="n"/>
      <c r="C237" s="76" t="n"/>
      <c r="D237" s="75" t="n"/>
      <c r="E237" s="76" t="n"/>
      <c r="F237" s="75" t="n"/>
      <c r="G237" s="76" t="n"/>
      <c r="H237" s="75" t="n"/>
      <c r="I237" s="76" t="n"/>
      <c r="J237" s="77">
        <f>IF($A237="","",B237+D237+F237)</f>
        <v/>
      </c>
      <c r="K237" s="78">
        <f>IF($A237="","",C237+E237+G237)</f>
        <v/>
      </c>
      <c r="L237" s="79">
        <f>IF($A237="","",J237+H237)</f>
        <v/>
      </c>
      <c r="M237" s="80">
        <f>IF($A237="","",K237+I237)</f>
        <v/>
      </c>
      <c r="N237" s="77">
        <f>IF($A237="","",SUMIFS($J$5:$J$800,$A$5:$A$800,"&gt;="&amp;DATE(YEAR($A237),MONTH($A237),1),$A$5:$A$800,"&lt;="&amp;$A237)+IF(AND(YEAR($A237)=YEAR(Settings!$B$3),MONTH($A237)=MONTH(Settings!$B$3)),Settings!$B$10,0))</f>
        <v/>
      </c>
      <c r="O237" s="78">
        <f>IF($A237="","",SUMIFS($K$5:$K$800,$A$5:$A$800,"&gt;="&amp;DATE(YEAR($A237),MONTH($A237),1),$A$5:$A$800,"&lt;="&amp;$A237)+IF(AND(YEAR($A237)=YEAR(Settings!$B$3),MONTH($A237)=MONTH(Settings!$B$3)),Settings!$B$11,0))</f>
        <v/>
      </c>
      <c r="P237" s="77">
        <f>IF($A237="","",SUMIFS($H$5:$H$800,$A$5:$A$800,"&gt;="&amp;DATE(YEAR($A237),MONTH($A237),1),$A$5:$A$800,"&lt;="&amp;$A237)+IF(AND(YEAR($A237)=YEAR(Settings!$B$3),MONTH($A237)=MONTH(Settings!$B$3)),Settings!$B$12,0))</f>
        <v/>
      </c>
      <c r="Q237" s="78">
        <f>IF($A237="","",SUMIFS($I$5:$I$800,$A$5:$A$800,"&gt;="&amp;DATE(YEAR($A237),MONTH($A237),1),$A$5:$A$800,"&lt;="&amp;$A237)+IF(AND(YEAR($A237)=YEAR(Settings!$B$3),MONTH($A237)=MONTH(Settings!$B$3)),Settings!$B$13,0))</f>
        <v/>
      </c>
      <c r="R237" s="77">
        <f>IF($A237="","",N237+P237)</f>
        <v/>
      </c>
      <c r="S237" s="78">
        <f>IF($A237="","",O237+Q237)</f>
        <v/>
      </c>
    </row>
    <row r="238">
      <c r="A238" s="67" t="n"/>
      <c r="B238" s="75" t="n"/>
      <c r="C238" s="76" t="n"/>
      <c r="D238" s="75" t="n"/>
      <c r="E238" s="76" t="n"/>
      <c r="F238" s="75" t="n"/>
      <c r="G238" s="76" t="n"/>
      <c r="H238" s="75" t="n"/>
      <c r="I238" s="76" t="n"/>
      <c r="J238" s="77">
        <f>IF($A238="","",B238+D238+F238)</f>
        <v/>
      </c>
      <c r="K238" s="78">
        <f>IF($A238="","",C238+E238+G238)</f>
        <v/>
      </c>
      <c r="L238" s="79">
        <f>IF($A238="","",J238+H238)</f>
        <v/>
      </c>
      <c r="M238" s="80">
        <f>IF($A238="","",K238+I238)</f>
        <v/>
      </c>
      <c r="N238" s="77">
        <f>IF($A238="","",SUMIFS($J$5:$J$800,$A$5:$A$800,"&gt;="&amp;DATE(YEAR($A238),MONTH($A238),1),$A$5:$A$800,"&lt;="&amp;$A238)+IF(AND(YEAR($A238)=YEAR(Settings!$B$3),MONTH($A238)=MONTH(Settings!$B$3)),Settings!$B$10,0))</f>
        <v/>
      </c>
      <c r="O238" s="78">
        <f>IF($A238="","",SUMIFS($K$5:$K$800,$A$5:$A$800,"&gt;="&amp;DATE(YEAR($A238),MONTH($A238),1),$A$5:$A$800,"&lt;="&amp;$A238)+IF(AND(YEAR($A238)=YEAR(Settings!$B$3),MONTH($A238)=MONTH(Settings!$B$3)),Settings!$B$11,0))</f>
        <v/>
      </c>
      <c r="P238" s="77">
        <f>IF($A238="","",SUMIFS($H$5:$H$800,$A$5:$A$800,"&gt;="&amp;DATE(YEAR($A238),MONTH($A238),1),$A$5:$A$800,"&lt;="&amp;$A238)+IF(AND(YEAR($A238)=YEAR(Settings!$B$3),MONTH($A238)=MONTH(Settings!$B$3)),Settings!$B$12,0))</f>
        <v/>
      </c>
      <c r="Q238" s="78">
        <f>IF($A238="","",SUMIFS($I$5:$I$800,$A$5:$A$800,"&gt;="&amp;DATE(YEAR($A238),MONTH($A238),1),$A$5:$A$800,"&lt;="&amp;$A238)+IF(AND(YEAR($A238)=YEAR(Settings!$B$3),MONTH($A238)=MONTH(Settings!$B$3)),Settings!$B$13,0))</f>
        <v/>
      </c>
      <c r="R238" s="77">
        <f>IF($A238="","",N238+P238)</f>
        <v/>
      </c>
      <c r="S238" s="78">
        <f>IF($A238="","",O238+Q238)</f>
        <v/>
      </c>
    </row>
    <row r="239">
      <c r="A239" s="67" t="n"/>
      <c r="B239" s="75" t="n"/>
      <c r="C239" s="76" t="n"/>
      <c r="D239" s="75" t="n"/>
      <c r="E239" s="76" t="n"/>
      <c r="F239" s="75" t="n"/>
      <c r="G239" s="76" t="n"/>
      <c r="H239" s="75" t="n"/>
      <c r="I239" s="76" t="n"/>
      <c r="J239" s="77">
        <f>IF($A239="","",B239+D239+F239)</f>
        <v/>
      </c>
      <c r="K239" s="78">
        <f>IF($A239="","",C239+E239+G239)</f>
        <v/>
      </c>
      <c r="L239" s="79">
        <f>IF($A239="","",J239+H239)</f>
        <v/>
      </c>
      <c r="M239" s="80">
        <f>IF($A239="","",K239+I239)</f>
        <v/>
      </c>
      <c r="N239" s="77">
        <f>IF($A239="","",SUMIFS($J$5:$J$800,$A$5:$A$800,"&gt;="&amp;DATE(YEAR($A239),MONTH($A239),1),$A$5:$A$800,"&lt;="&amp;$A239)+IF(AND(YEAR($A239)=YEAR(Settings!$B$3),MONTH($A239)=MONTH(Settings!$B$3)),Settings!$B$10,0))</f>
        <v/>
      </c>
      <c r="O239" s="78">
        <f>IF($A239="","",SUMIFS($K$5:$K$800,$A$5:$A$800,"&gt;="&amp;DATE(YEAR($A239),MONTH($A239),1),$A$5:$A$800,"&lt;="&amp;$A239)+IF(AND(YEAR($A239)=YEAR(Settings!$B$3),MONTH($A239)=MONTH(Settings!$B$3)),Settings!$B$11,0))</f>
        <v/>
      </c>
      <c r="P239" s="77">
        <f>IF($A239="","",SUMIFS($H$5:$H$800,$A$5:$A$800,"&gt;="&amp;DATE(YEAR($A239),MONTH($A239),1),$A$5:$A$800,"&lt;="&amp;$A239)+IF(AND(YEAR($A239)=YEAR(Settings!$B$3),MONTH($A239)=MONTH(Settings!$B$3)),Settings!$B$12,0))</f>
        <v/>
      </c>
      <c r="Q239" s="78">
        <f>IF($A239="","",SUMIFS($I$5:$I$800,$A$5:$A$800,"&gt;="&amp;DATE(YEAR($A239),MONTH($A239),1),$A$5:$A$800,"&lt;="&amp;$A239)+IF(AND(YEAR($A239)=YEAR(Settings!$B$3),MONTH($A239)=MONTH(Settings!$B$3)),Settings!$B$13,0))</f>
        <v/>
      </c>
      <c r="R239" s="77">
        <f>IF($A239="","",N239+P239)</f>
        <v/>
      </c>
      <c r="S239" s="78">
        <f>IF($A239="","",O239+Q239)</f>
        <v/>
      </c>
    </row>
    <row r="240">
      <c r="A240" s="67" t="n"/>
      <c r="B240" s="75" t="n"/>
      <c r="C240" s="76" t="n"/>
      <c r="D240" s="75" t="n"/>
      <c r="E240" s="76" t="n"/>
      <c r="F240" s="75" t="n"/>
      <c r="G240" s="76" t="n"/>
      <c r="H240" s="75" t="n"/>
      <c r="I240" s="76" t="n"/>
      <c r="J240" s="77">
        <f>IF($A240="","",B240+D240+F240)</f>
        <v/>
      </c>
      <c r="K240" s="78">
        <f>IF($A240="","",C240+E240+G240)</f>
        <v/>
      </c>
      <c r="L240" s="79">
        <f>IF($A240="","",J240+H240)</f>
        <v/>
      </c>
      <c r="M240" s="80">
        <f>IF($A240="","",K240+I240)</f>
        <v/>
      </c>
      <c r="N240" s="77">
        <f>IF($A240="","",SUMIFS($J$5:$J$800,$A$5:$A$800,"&gt;="&amp;DATE(YEAR($A240),MONTH($A240),1),$A$5:$A$800,"&lt;="&amp;$A240)+IF(AND(YEAR($A240)=YEAR(Settings!$B$3),MONTH($A240)=MONTH(Settings!$B$3)),Settings!$B$10,0))</f>
        <v/>
      </c>
      <c r="O240" s="78">
        <f>IF($A240="","",SUMIFS($K$5:$K$800,$A$5:$A$800,"&gt;="&amp;DATE(YEAR($A240),MONTH($A240),1),$A$5:$A$800,"&lt;="&amp;$A240)+IF(AND(YEAR($A240)=YEAR(Settings!$B$3),MONTH($A240)=MONTH(Settings!$B$3)),Settings!$B$11,0))</f>
        <v/>
      </c>
      <c r="P240" s="77">
        <f>IF($A240="","",SUMIFS($H$5:$H$800,$A$5:$A$800,"&gt;="&amp;DATE(YEAR($A240),MONTH($A240),1),$A$5:$A$800,"&lt;="&amp;$A240)+IF(AND(YEAR($A240)=YEAR(Settings!$B$3),MONTH($A240)=MONTH(Settings!$B$3)),Settings!$B$12,0))</f>
        <v/>
      </c>
      <c r="Q240" s="78">
        <f>IF($A240="","",SUMIFS($I$5:$I$800,$A$5:$A$800,"&gt;="&amp;DATE(YEAR($A240),MONTH($A240),1),$A$5:$A$800,"&lt;="&amp;$A240)+IF(AND(YEAR($A240)=YEAR(Settings!$B$3),MONTH($A240)=MONTH(Settings!$B$3)),Settings!$B$13,0))</f>
        <v/>
      </c>
      <c r="R240" s="77">
        <f>IF($A240="","",N240+P240)</f>
        <v/>
      </c>
      <c r="S240" s="78">
        <f>IF($A240="","",O240+Q240)</f>
        <v/>
      </c>
    </row>
    <row r="241">
      <c r="A241" s="67" t="n"/>
      <c r="B241" s="75" t="n"/>
      <c r="C241" s="76" t="n"/>
      <c r="D241" s="75" t="n"/>
      <c r="E241" s="76" t="n"/>
      <c r="F241" s="75" t="n"/>
      <c r="G241" s="76" t="n"/>
      <c r="H241" s="75" t="n"/>
      <c r="I241" s="76" t="n"/>
      <c r="J241" s="77">
        <f>IF($A241="","",B241+D241+F241)</f>
        <v/>
      </c>
      <c r="K241" s="78">
        <f>IF($A241="","",C241+E241+G241)</f>
        <v/>
      </c>
      <c r="L241" s="79">
        <f>IF($A241="","",J241+H241)</f>
        <v/>
      </c>
      <c r="M241" s="80">
        <f>IF($A241="","",K241+I241)</f>
        <v/>
      </c>
      <c r="N241" s="77">
        <f>IF($A241="","",SUMIFS($J$5:$J$800,$A$5:$A$800,"&gt;="&amp;DATE(YEAR($A241),MONTH($A241),1),$A$5:$A$800,"&lt;="&amp;$A241)+IF(AND(YEAR($A241)=YEAR(Settings!$B$3),MONTH($A241)=MONTH(Settings!$B$3)),Settings!$B$10,0))</f>
        <v/>
      </c>
      <c r="O241" s="78">
        <f>IF($A241="","",SUMIFS($K$5:$K$800,$A$5:$A$800,"&gt;="&amp;DATE(YEAR($A241),MONTH($A241),1),$A$5:$A$800,"&lt;="&amp;$A241)+IF(AND(YEAR($A241)=YEAR(Settings!$B$3),MONTH($A241)=MONTH(Settings!$B$3)),Settings!$B$11,0))</f>
        <v/>
      </c>
      <c r="P241" s="77">
        <f>IF($A241="","",SUMIFS($H$5:$H$800,$A$5:$A$800,"&gt;="&amp;DATE(YEAR($A241),MONTH($A241),1),$A$5:$A$800,"&lt;="&amp;$A241)+IF(AND(YEAR($A241)=YEAR(Settings!$B$3),MONTH($A241)=MONTH(Settings!$B$3)),Settings!$B$12,0))</f>
        <v/>
      </c>
      <c r="Q241" s="78">
        <f>IF($A241="","",SUMIFS($I$5:$I$800,$A$5:$A$800,"&gt;="&amp;DATE(YEAR($A241),MONTH($A241),1),$A$5:$A$800,"&lt;="&amp;$A241)+IF(AND(YEAR($A241)=YEAR(Settings!$B$3),MONTH($A241)=MONTH(Settings!$B$3)),Settings!$B$13,0))</f>
        <v/>
      </c>
      <c r="R241" s="77">
        <f>IF($A241="","",N241+P241)</f>
        <v/>
      </c>
      <c r="S241" s="78">
        <f>IF($A241="","",O241+Q241)</f>
        <v/>
      </c>
    </row>
    <row r="242">
      <c r="A242" s="67" t="n"/>
      <c r="B242" s="75" t="n"/>
      <c r="C242" s="76" t="n"/>
      <c r="D242" s="75" t="n"/>
      <c r="E242" s="76" t="n"/>
      <c r="F242" s="75" t="n"/>
      <c r="G242" s="76" t="n"/>
      <c r="H242" s="75" t="n"/>
      <c r="I242" s="76" t="n"/>
      <c r="J242" s="77">
        <f>IF($A242="","",B242+D242+F242)</f>
        <v/>
      </c>
      <c r="K242" s="78">
        <f>IF($A242="","",C242+E242+G242)</f>
        <v/>
      </c>
      <c r="L242" s="79">
        <f>IF($A242="","",J242+H242)</f>
        <v/>
      </c>
      <c r="M242" s="80">
        <f>IF($A242="","",K242+I242)</f>
        <v/>
      </c>
      <c r="N242" s="77">
        <f>IF($A242="","",SUMIFS($J$5:$J$800,$A$5:$A$800,"&gt;="&amp;DATE(YEAR($A242),MONTH($A242),1),$A$5:$A$800,"&lt;="&amp;$A242)+IF(AND(YEAR($A242)=YEAR(Settings!$B$3),MONTH($A242)=MONTH(Settings!$B$3)),Settings!$B$10,0))</f>
        <v/>
      </c>
      <c r="O242" s="78">
        <f>IF($A242="","",SUMIFS($K$5:$K$800,$A$5:$A$800,"&gt;="&amp;DATE(YEAR($A242),MONTH($A242),1),$A$5:$A$800,"&lt;="&amp;$A242)+IF(AND(YEAR($A242)=YEAR(Settings!$B$3),MONTH($A242)=MONTH(Settings!$B$3)),Settings!$B$11,0))</f>
        <v/>
      </c>
      <c r="P242" s="77">
        <f>IF($A242="","",SUMIFS($H$5:$H$800,$A$5:$A$800,"&gt;="&amp;DATE(YEAR($A242),MONTH($A242),1),$A$5:$A$800,"&lt;="&amp;$A242)+IF(AND(YEAR($A242)=YEAR(Settings!$B$3),MONTH($A242)=MONTH(Settings!$B$3)),Settings!$B$12,0))</f>
        <v/>
      </c>
      <c r="Q242" s="78">
        <f>IF($A242="","",SUMIFS($I$5:$I$800,$A$5:$A$800,"&gt;="&amp;DATE(YEAR($A242),MONTH($A242),1),$A$5:$A$800,"&lt;="&amp;$A242)+IF(AND(YEAR($A242)=YEAR(Settings!$B$3),MONTH($A242)=MONTH(Settings!$B$3)),Settings!$B$13,0))</f>
        <v/>
      </c>
      <c r="R242" s="77">
        <f>IF($A242="","",N242+P242)</f>
        <v/>
      </c>
      <c r="S242" s="78">
        <f>IF($A242="","",O242+Q242)</f>
        <v/>
      </c>
    </row>
    <row r="243">
      <c r="A243" s="67" t="n"/>
      <c r="B243" s="75" t="n"/>
      <c r="C243" s="76" t="n"/>
      <c r="D243" s="75" t="n"/>
      <c r="E243" s="76" t="n"/>
      <c r="F243" s="75" t="n"/>
      <c r="G243" s="76" t="n"/>
      <c r="H243" s="75" t="n"/>
      <c r="I243" s="76" t="n"/>
      <c r="J243" s="77">
        <f>IF($A243="","",B243+D243+F243)</f>
        <v/>
      </c>
      <c r="K243" s="78">
        <f>IF($A243="","",C243+E243+G243)</f>
        <v/>
      </c>
      <c r="L243" s="79">
        <f>IF($A243="","",J243+H243)</f>
        <v/>
      </c>
      <c r="M243" s="80">
        <f>IF($A243="","",K243+I243)</f>
        <v/>
      </c>
      <c r="N243" s="77">
        <f>IF($A243="","",SUMIFS($J$5:$J$800,$A$5:$A$800,"&gt;="&amp;DATE(YEAR($A243),MONTH($A243),1),$A$5:$A$800,"&lt;="&amp;$A243)+IF(AND(YEAR($A243)=YEAR(Settings!$B$3),MONTH($A243)=MONTH(Settings!$B$3)),Settings!$B$10,0))</f>
        <v/>
      </c>
      <c r="O243" s="78">
        <f>IF($A243="","",SUMIFS($K$5:$K$800,$A$5:$A$800,"&gt;="&amp;DATE(YEAR($A243),MONTH($A243),1),$A$5:$A$800,"&lt;="&amp;$A243)+IF(AND(YEAR($A243)=YEAR(Settings!$B$3),MONTH($A243)=MONTH(Settings!$B$3)),Settings!$B$11,0))</f>
        <v/>
      </c>
      <c r="P243" s="77">
        <f>IF($A243="","",SUMIFS($H$5:$H$800,$A$5:$A$800,"&gt;="&amp;DATE(YEAR($A243),MONTH($A243),1),$A$5:$A$800,"&lt;="&amp;$A243)+IF(AND(YEAR($A243)=YEAR(Settings!$B$3),MONTH($A243)=MONTH(Settings!$B$3)),Settings!$B$12,0))</f>
        <v/>
      </c>
      <c r="Q243" s="78">
        <f>IF($A243="","",SUMIFS($I$5:$I$800,$A$5:$A$800,"&gt;="&amp;DATE(YEAR($A243),MONTH($A243),1),$A$5:$A$800,"&lt;="&amp;$A243)+IF(AND(YEAR($A243)=YEAR(Settings!$B$3),MONTH($A243)=MONTH(Settings!$B$3)),Settings!$B$13,0))</f>
        <v/>
      </c>
      <c r="R243" s="77">
        <f>IF($A243="","",N243+P243)</f>
        <v/>
      </c>
      <c r="S243" s="78">
        <f>IF($A243="","",O243+Q243)</f>
        <v/>
      </c>
    </row>
    <row r="244">
      <c r="A244" s="67" t="n"/>
      <c r="B244" s="75" t="n"/>
      <c r="C244" s="76" t="n"/>
      <c r="D244" s="75" t="n"/>
      <c r="E244" s="76" t="n"/>
      <c r="F244" s="75" t="n"/>
      <c r="G244" s="76" t="n"/>
      <c r="H244" s="75" t="n"/>
      <c r="I244" s="76" t="n"/>
      <c r="J244" s="77">
        <f>IF($A244="","",B244+D244+F244)</f>
        <v/>
      </c>
      <c r="K244" s="78">
        <f>IF($A244="","",C244+E244+G244)</f>
        <v/>
      </c>
      <c r="L244" s="79">
        <f>IF($A244="","",J244+H244)</f>
        <v/>
      </c>
      <c r="M244" s="80">
        <f>IF($A244="","",K244+I244)</f>
        <v/>
      </c>
      <c r="N244" s="77">
        <f>IF($A244="","",SUMIFS($J$5:$J$800,$A$5:$A$800,"&gt;="&amp;DATE(YEAR($A244),MONTH($A244),1),$A$5:$A$800,"&lt;="&amp;$A244)+IF(AND(YEAR($A244)=YEAR(Settings!$B$3),MONTH($A244)=MONTH(Settings!$B$3)),Settings!$B$10,0))</f>
        <v/>
      </c>
      <c r="O244" s="78">
        <f>IF($A244="","",SUMIFS($K$5:$K$800,$A$5:$A$800,"&gt;="&amp;DATE(YEAR($A244),MONTH($A244),1),$A$5:$A$800,"&lt;="&amp;$A244)+IF(AND(YEAR($A244)=YEAR(Settings!$B$3),MONTH($A244)=MONTH(Settings!$B$3)),Settings!$B$11,0))</f>
        <v/>
      </c>
      <c r="P244" s="77">
        <f>IF($A244="","",SUMIFS($H$5:$H$800,$A$5:$A$800,"&gt;="&amp;DATE(YEAR($A244),MONTH($A244),1),$A$5:$A$800,"&lt;="&amp;$A244)+IF(AND(YEAR($A244)=YEAR(Settings!$B$3),MONTH($A244)=MONTH(Settings!$B$3)),Settings!$B$12,0))</f>
        <v/>
      </c>
      <c r="Q244" s="78">
        <f>IF($A244="","",SUMIFS($I$5:$I$800,$A$5:$A$800,"&gt;="&amp;DATE(YEAR($A244),MONTH($A244),1),$A$5:$A$800,"&lt;="&amp;$A244)+IF(AND(YEAR($A244)=YEAR(Settings!$B$3),MONTH($A244)=MONTH(Settings!$B$3)),Settings!$B$13,0))</f>
        <v/>
      </c>
      <c r="R244" s="77">
        <f>IF($A244="","",N244+P244)</f>
        <v/>
      </c>
      <c r="S244" s="78">
        <f>IF($A244="","",O244+Q244)</f>
        <v/>
      </c>
    </row>
    <row r="245">
      <c r="A245" s="67" t="n"/>
      <c r="B245" s="75" t="n"/>
      <c r="C245" s="76" t="n"/>
      <c r="D245" s="75" t="n"/>
      <c r="E245" s="76" t="n"/>
      <c r="F245" s="75" t="n"/>
      <c r="G245" s="76" t="n"/>
      <c r="H245" s="75" t="n"/>
      <c r="I245" s="76" t="n"/>
      <c r="J245" s="77">
        <f>IF($A245="","",B245+D245+F245)</f>
        <v/>
      </c>
      <c r="K245" s="78">
        <f>IF($A245="","",C245+E245+G245)</f>
        <v/>
      </c>
      <c r="L245" s="79">
        <f>IF($A245="","",J245+H245)</f>
        <v/>
      </c>
      <c r="M245" s="80">
        <f>IF($A245="","",K245+I245)</f>
        <v/>
      </c>
      <c r="N245" s="77">
        <f>IF($A245="","",SUMIFS($J$5:$J$800,$A$5:$A$800,"&gt;="&amp;DATE(YEAR($A245),MONTH($A245),1),$A$5:$A$800,"&lt;="&amp;$A245)+IF(AND(YEAR($A245)=YEAR(Settings!$B$3),MONTH($A245)=MONTH(Settings!$B$3)),Settings!$B$10,0))</f>
        <v/>
      </c>
      <c r="O245" s="78">
        <f>IF($A245="","",SUMIFS($K$5:$K$800,$A$5:$A$800,"&gt;="&amp;DATE(YEAR($A245),MONTH($A245),1),$A$5:$A$800,"&lt;="&amp;$A245)+IF(AND(YEAR($A245)=YEAR(Settings!$B$3),MONTH($A245)=MONTH(Settings!$B$3)),Settings!$B$11,0))</f>
        <v/>
      </c>
      <c r="P245" s="77">
        <f>IF($A245="","",SUMIFS($H$5:$H$800,$A$5:$A$800,"&gt;="&amp;DATE(YEAR($A245),MONTH($A245),1),$A$5:$A$800,"&lt;="&amp;$A245)+IF(AND(YEAR($A245)=YEAR(Settings!$B$3),MONTH($A245)=MONTH(Settings!$B$3)),Settings!$B$12,0))</f>
        <v/>
      </c>
      <c r="Q245" s="78">
        <f>IF($A245="","",SUMIFS($I$5:$I$800,$A$5:$A$800,"&gt;="&amp;DATE(YEAR($A245),MONTH($A245),1),$A$5:$A$800,"&lt;="&amp;$A245)+IF(AND(YEAR($A245)=YEAR(Settings!$B$3),MONTH($A245)=MONTH(Settings!$B$3)),Settings!$B$13,0))</f>
        <v/>
      </c>
      <c r="R245" s="77">
        <f>IF($A245="","",N245+P245)</f>
        <v/>
      </c>
      <c r="S245" s="78">
        <f>IF($A245="","",O245+Q245)</f>
        <v/>
      </c>
    </row>
    <row r="246">
      <c r="A246" s="67" t="n"/>
      <c r="B246" s="75" t="n"/>
      <c r="C246" s="76" t="n"/>
      <c r="D246" s="75" t="n"/>
      <c r="E246" s="76" t="n"/>
      <c r="F246" s="75" t="n"/>
      <c r="G246" s="76" t="n"/>
      <c r="H246" s="75" t="n"/>
      <c r="I246" s="76" t="n"/>
      <c r="J246" s="77">
        <f>IF($A246="","",B246+D246+F246)</f>
        <v/>
      </c>
      <c r="K246" s="78">
        <f>IF($A246="","",C246+E246+G246)</f>
        <v/>
      </c>
      <c r="L246" s="79">
        <f>IF($A246="","",J246+H246)</f>
        <v/>
      </c>
      <c r="M246" s="80">
        <f>IF($A246="","",K246+I246)</f>
        <v/>
      </c>
      <c r="N246" s="77">
        <f>IF($A246="","",SUMIFS($J$5:$J$800,$A$5:$A$800,"&gt;="&amp;DATE(YEAR($A246),MONTH($A246),1),$A$5:$A$800,"&lt;="&amp;$A246)+IF(AND(YEAR($A246)=YEAR(Settings!$B$3),MONTH($A246)=MONTH(Settings!$B$3)),Settings!$B$10,0))</f>
        <v/>
      </c>
      <c r="O246" s="78">
        <f>IF($A246="","",SUMIFS($K$5:$K$800,$A$5:$A$800,"&gt;="&amp;DATE(YEAR($A246),MONTH($A246),1),$A$5:$A$800,"&lt;="&amp;$A246)+IF(AND(YEAR($A246)=YEAR(Settings!$B$3),MONTH($A246)=MONTH(Settings!$B$3)),Settings!$B$11,0))</f>
        <v/>
      </c>
      <c r="P246" s="77">
        <f>IF($A246="","",SUMIFS($H$5:$H$800,$A$5:$A$800,"&gt;="&amp;DATE(YEAR($A246),MONTH($A246),1),$A$5:$A$800,"&lt;="&amp;$A246)+IF(AND(YEAR($A246)=YEAR(Settings!$B$3),MONTH($A246)=MONTH(Settings!$B$3)),Settings!$B$12,0))</f>
        <v/>
      </c>
      <c r="Q246" s="78">
        <f>IF($A246="","",SUMIFS($I$5:$I$800,$A$5:$A$800,"&gt;="&amp;DATE(YEAR($A246),MONTH($A246),1),$A$5:$A$800,"&lt;="&amp;$A246)+IF(AND(YEAR($A246)=YEAR(Settings!$B$3),MONTH($A246)=MONTH(Settings!$B$3)),Settings!$B$13,0))</f>
        <v/>
      </c>
      <c r="R246" s="77">
        <f>IF($A246="","",N246+P246)</f>
        <v/>
      </c>
      <c r="S246" s="78">
        <f>IF($A246="","",O246+Q246)</f>
        <v/>
      </c>
    </row>
    <row r="247">
      <c r="A247" s="67" t="n"/>
      <c r="B247" s="75" t="n"/>
      <c r="C247" s="76" t="n"/>
      <c r="D247" s="75" t="n"/>
      <c r="E247" s="76" t="n"/>
      <c r="F247" s="75" t="n"/>
      <c r="G247" s="76" t="n"/>
      <c r="H247" s="75" t="n"/>
      <c r="I247" s="76" t="n"/>
      <c r="J247" s="77">
        <f>IF($A247="","",B247+D247+F247)</f>
        <v/>
      </c>
      <c r="K247" s="78">
        <f>IF($A247="","",C247+E247+G247)</f>
        <v/>
      </c>
      <c r="L247" s="79">
        <f>IF($A247="","",J247+H247)</f>
        <v/>
      </c>
      <c r="M247" s="80">
        <f>IF($A247="","",K247+I247)</f>
        <v/>
      </c>
      <c r="N247" s="77">
        <f>IF($A247="","",SUMIFS($J$5:$J$800,$A$5:$A$800,"&gt;="&amp;DATE(YEAR($A247),MONTH($A247),1),$A$5:$A$800,"&lt;="&amp;$A247)+IF(AND(YEAR($A247)=YEAR(Settings!$B$3),MONTH($A247)=MONTH(Settings!$B$3)),Settings!$B$10,0))</f>
        <v/>
      </c>
      <c r="O247" s="78">
        <f>IF($A247="","",SUMIFS($K$5:$K$800,$A$5:$A$800,"&gt;="&amp;DATE(YEAR($A247),MONTH($A247),1),$A$5:$A$800,"&lt;="&amp;$A247)+IF(AND(YEAR($A247)=YEAR(Settings!$B$3),MONTH($A247)=MONTH(Settings!$B$3)),Settings!$B$11,0))</f>
        <v/>
      </c>
      <c r="P247" s="77">
        <f>IF($A247="","",SUMIFS($H$5:$H$800,$A$5:$A$800,"&gt;="&amp;DATE(YEAR($A247),MONTH($A247),1),$A$5:$A$800,"&lt;="&amp;$A247)+IF(AND(YEAR($A247)=YEAR(Settings!$B$3),MONTH($A247)=MONTH(Settings!$B$3)),Settings!$B$12,0))</f>
        <v/>
      </c>
      <c r="Q247" s="78">
        <f>IF($A247="","",SUMIFS($I$5:$I$800,$A$5:$A$800,"&gt;="&amp;DATE(YEAR($A247),MONTH($A247),1),$A$5:$A$800,"&lt;="&amp;$A247)+IF(AND(YEAR($A247)=YEAR(Settings!$B$3),MONTH($A247)=MONTH(Settings!$B$3)),Settings!$B$13,0))</f>
        <v/>
      </c>
      <c r="R247" s="77">
        <f>IF($A247="","",N247+P247)</f>
        <v/>
      </c>
      <c r="S247" s="78">
        <f>IF($A247="","",O247+Q247)</f>
        <v/>
      </c>
    </row>
    <row r="248">
      <c r="A248" s="67" t="n"/>
      <c r="B248" s="75" t="n"/>
      <c r="C248" s="76" t="n"/>
      <c r="D248" s="75" t="n"/>
      <c r="E248" s="76" t="n"/>
      <c r="F248" s="75" t="n"/>
      <c r="G248" s="76" t="n"/>
      <c r="H248" s="75" t="n"/>
      <c r="I248" s="76" t="n"/>
      <c r="J248" s="77">
        <f>IF($A248="","",B248+D248+F248)</f>
        <v/>
      </c>
      <c r="K248" s="78">
        <f>IF($A248="","",C248+E248+G248)</f>
        <v/>
      </c>
      <c r="L248" s="79">
        <f>IF($A248="","",J248+H248)</f>
        <v/>
      </c>
      <c r="M248" s="80">
        <f>IF($A248="","",K248+I248)</f>
        <v/>
      </c>
      <c r="N248" s="77">
        <f>IF($A248="","",SUMIFS($J$5:$J$800,$A$5:$A$800,"&gt;="&amp;DATE(YEAR($A248),MONTH($A248),1),$A$5:$A$800,"&lt;="&amp;$A248)+IF(AND(YEAR($A248)=YEAR(Settings!$B$3),MONTH($A248)=MONTH(Settings!$B$3)),Settings!$B$10,0))</f>
        <v/>
      </c>
      <c r="O248" s="78">
        <f>IF($A248="","",SUMIFS($K$5:$K$800,$A$5:$A$800,"&gt;="&amp;DATE(YEAR($A248),MONTH($A248),1),$A$5:$A$800,"&lt;="&amp;$A248)+IF(AND(YEAR($A248)=YEAR(Settings!$B$3),MONTH($A248)=MONTH(Settings!$B$3)),Settings!$B$11,0))</f>
        <v/>
      </c>
      <c r="P248" s="77">
        <f>IF($A248="","",SUMIFS($H$5:$H$800,$A$5:$A$800,"&gt;="&amp;DATE(YEAR($A248),MONTH($A248),1),$A$5:$A$800,"&lt;="&amp;$A248)+IF(AND(YEAR($A248)=YEAR(Settings!$B$3),MONTH($A248)=MONTH(Settings!$B$3)),Settings!$B$12,0))</f>
        <v/>
      </c>
      <c r="Q248" s="78">
        <f>IF($A248="","",SUMIFS($I$5:$I$800,$A$5:$A$800,"&gt;="&amp;DATE(YEAR($A248),MONTH($A248),1),$A$5:$A$800,"&lt;="&amp;$A248)+IF(AND(YEAR($A248)=YEAR(Settings!$B$3),MONTH($A248)=MONTH(Settings!$B$3)),Settings!$B$13,0))</f>
        <v/>
      </c>
      <c r="R248" s="77">
        <f>IF($A248="","",N248+P248)</f>
        <v/>
      </c>
      <c r="S248" s="78">
        <f>IF($A248="","",O248+Q248)</f>
        <v/>
      </c>
    </row>
    <row r="249">
      <c r="A249" s="67" t="n"/>
      <c r="B249" s="75" t="n"/>
      <c r="C249" s="76" t="n"/>
      <c r="D249" s="75" t="n"/>
      <c r="E249" s="76" t="n"/>
      <c r="F249" s="75" t="n"/>
      <c r="G249" s="76" t="n"/>
      <c r="H249" s="75" t="n"/>
      <c r="I249" s="76" t="n"/>
      <c r="J249" s="77">
        <f>IF($A249="","",B249+D249+F249)</f>
        <v/>
      </c>
      <c r="K249" s="78">
        <f>IF($A249="","",C249+E249+G249)</f>
        <v/>
      </c>
      <c r="L249" s="79">
        <f>IF($A249="","",J249+H249)</f>
        <v/>
      </c>
      <c r="M249" s="80">
        <f>IF($A249="","",K249+I249)</f>
        <v/>
      </c>
      <c r="N249" s="77">
        <f>IF($A249="","",SUMIFS($J$5:$J$800,$A$5:$A$800,"&gt;="&amp;DATE(YEAR($A249),MONTH($A249),1),$A$5:$A$800,"&lt;="&amp;$A249)+IF(AND(YEAR($A249)=YEAR(Settings!$B$3),MONTH($A249)=MONTH(Settings!$B$3)),Settings!$B$10,0))</f>
        <v/>
      </c>
      <c r="O249" s="78">
        <f>IF($A249="","",SUMIFS($K$5:$K$800,$A$5:$A$800,"&gt;="&amp;DATE(YEAR($A249),MONTH($A249),1),$A$5:$A$800,"&lt;="&amp;$A249)+IF(AND(YEAR($A249)=YEAR(Settings!$B$3),MONTH($A249)=MONTH(Settings!$B$3)),Settings!$B$11,0))</f>
        <v/>
      </c>
      <c r="P249" s="77">
        <f>IF($A249="","",SUMIFS($H$5:$H$800,$A$5:$A$800,"&gt;="&amp;DATE(YEAR($A249),MONTH($A249),1),$A$5:$A$800,"&lt;="&amp;$A249)+IF(AND(YEAR($A249)=YEAR(Settings!$B$3),MONTH($A249)=MONTH(Settings!$B$3)),Settings!$B$12,0))</f>
        <v/>
      </c>
      <c r="Q249" s="78">
        <f>IF($A249="","",SUMIFS($I$5:$I$800,$A$5:$A$800,"&gt;="&amp;DATE(YEAR($A249),MONTH($A249),1),$A$5:$A$800,"&lt;="&amp;$A249)+IF(AND(YEAR($A249)=YEAR(Settings!$B$3),MONTH($A249)=MONTH(Settings!$B$3)),Settings!$B$13,0))</f>
        <v/>
      </c>
      <c r="R249" s="77">
        <f>IF($A249="","",N249+P249)</f>
        <v/>
      </c>
      <c r="S249" s="78">
        <f>IF($A249="","",O249+Q249)</f>
        <v/>
      </c>
    </row>
    <row r="250">
      <c r="A250" s="67" t="n"/>
      <c r="B250" s="75" t="n"/>
      <c r="C250" s="76" t="n"/>
      <c r="D250" s="75" t="n"/>
      <c r="E250" s="76" t="n"/>
      <c r="F250" s="75" t="n"/>
      <c r="G250" s="76" t="n"/>
      <c r="H250" s="75" t="n"/>
      <c r="I250" s="76" t="n"/>
      <c r="J250" s="77">
        <f>IF($A250="","",B250+D250+F250)</f>
        <v/>
      </c>
      <c r="K250" s="78">
        <f>IF($A250="","",C250+E250+G250)</f>
        <v/>
      </c>
      <c r="L250" s="79">
        <f>IF($A250="","",J250+H250)</f>
        <v/>
      </c>
      <c r="M250" s="80">
        <f>IF($A250="","",K250+I250)</f>
        <v/>
      </c>
      <c r="N250" s="77">
        <f>IF($A250="","",SUMIFS($J$5:$J$800,$A$5:$A$800,"&gt;="&amp;DATE(YEAR($A250),MONTH($A250),1),$A$5:$A$800,"&lt;="&amp;$A250)+IF(AND(YEAR($A250)=YEAR(Settings!$B$3),MONTH($A250)=MONTH(Settings!$B$3)),Settings!$B$10,0))</f>
        <v/>
      </c>
      <c r="O250" s="78">
        <f>IF($A250="","",SUMIFS($K$5:$K$800,$A$5:$A$800,"&gt;="&amp;DATE(YEAR($A250),MONTH($A250),1),$A$5:$A$800,"&lt;="&amp;$A250)+IF(AND(YEAR($A250)=YEAR(Settings!$B$3),MONTH($A250)=MONTH(Settings!$B$3)),Settings!$B$11,0))</f>
        <v/>
      </c>
      <c r="P250" s="77">
        <f>IF($A250="","",SUMIFS($H$5:$H$800,$A$5:$A$800,"&gt;="&amp;DATE(YEAR($A250),MONTH($A250),1),$A$5:$A$800,"&lt;="&amp;$A250)+IF(AND(YEAR($A250)=YEAR(Settings!$B$3),MONTH($A250)=MONTH(Settings!$B$3)),Settings!$B$12,0))</f>
        <v/>
      </c>
      <c r="Q250" s="78">
        <f>IF($A250="","",SUMIFS($I$5:$I$800,$A$5:$A$800,"&gt;="&amp;DATE(YEAR($A250),MONTH($A250),1),$A$5:$A$800,"&lt;="&amp;$A250)+IF(AND(YEAR($A250)=YEAR(Settings!$B$3),MONTH($A250)=MONTH(Settings!$B$3)),Settings!$B$13,0))</f>
        <v/>
      </c>
      <c r="R250" s="77">
        <f>IF($A250="","",N250+P250)</f>
        <v/>
      </c>
      <c r="S250" s="78">
        <f>IF($A250="","",O250+Q250)</f>
        <v/>
      </c>
    </row>
    <row r="251">
      <c r="A251" s="67" t="n"/>
      <c r="B251" s="75" t="n"/>
      <c r="C251" s="76" t="n"/>
      <c r="D251" s="75" t="n"/>
      <c r="E251" s="76" t="n"/>
      <c r="F251" s="75" t="n"/>
      <c r="G251" s="76" t="n"/>
      <c r="H251" s="75" t="n"/>
      <c r="I251" s="76" t="n"/>
      <c r="J251" s="77">
        <f>IF($A251="","",B251+D251+F251)</f>
        <v/>
      </c>
      <c r="K251" s="78">
        <f>IF($A251="","",C251+E251+G251)</f>
        <v/>
      </c>
      <c r="L251" s="79">
        <f>IF($A251="","",J251+H251)</f>
        <v/>
      </c>
      <c r="M251" s="80">
        <f>IF($A251="","",K251+I251)</f>
        <v/>
      </c>
      <c r="N251" s="77">
        <f>IF($A251="","",SUMIFS($J$5:$J$800,$A$5:$A$800,"&gt;="&amp;DATE(YEAR($A251),MONTH($A251),1),$A$5:$A$800,"&lt;="&amp;$A251)+IF(AND(YEAR($A251)=YEAR(Settings!$B$3),MONTH($A251)=MONTH(Settings!$B$3)),Settings!$B$10,0))</f>
        <v/>
      </c>
      <c r="O251" s="78">
        <f>IF($A251="","",SUMIFS($K$5:$K$800,$A$5:$A$800,"&gt;="&amp;DATE(YEAR($A251),MONTH($A251),1),$A$5:$A$800,"&lt;="&amp;$A251)+IF(AND(YEAR($A251)=YEAR(Settings!$B$3),MONTH($A251)=MONTH(Settings!$B$3)),Settings!$B$11,0))</f>
        <v/>
      </c>
      <c r="P251" s="77">
        <f>IF($A251="","",SUMIFS($H$5:$H$800,$A$5:$A$800,"&gt;="&amp;DATE(YEAR($A251),MONTH($A251),1),$A$5:$A$800,"&lt;="&amp;$A251)+IF(AND(YEAR($A251)=YEAR(Settings!$B$3),MONTH($A251)=MONTH(Settings!$B$3)),Settings!$B$12,0))</f>
        <v/>
      </c>
      <c r="Q251" s="78">
        <f>IF($A251="","",SUMIFS($I$5:$I$800,$A$5:$A$800,"&gt;="&amp;DATE(YEAR($A251),MONTH($A251),1),$A$5:$A$800,"&lt;="&amp;$A251)+IF(AND(YEAR($A251)=YEAR(Settings!$B$3),MONTH($A251)=MONTH(Settings!$B$3)),Settings!$B$13,0))</f>
        <v/>
      </c>
      <c r="R251" s="77">
        <f>IF($A251="","",N251+P251)</f>
        <v/>
      </c>
      <c r="S251" s="78">
        <f>IF($A251="","",O251+Q251)</f>
        <v/>
      </c>
    </row>
    <row r="252">
      <c r="A252" s="67" t="n"/>
      <c r="B252" s="75" t="n"/>
      <c r="C252" s="76" t="n"/>
      <c r="D252" s="75" t="n"/>
      <c r="E252" s="76" t="n"/>
      <c r="F252" s="75" t="n"/>
      <c r="G252" s="76" t="n"/>
      <c r="H252" s="75" t="n"/>
      <c r="I252" s="76" t="n"/>
      <c r="J252" s="77">
        <f>IF($A252="","",B252+D252+F252)</f>
        <v/>
      </c>
      <c r="K252" s="78">
        <f>IF($A252="","",C252+E252+G252)</f>
        <v/>
      </c>
      <c r="L252" s="79">
        <f>IF($A252="","",J252+H252)</f>
        <v/>
      </c>
      <c r="M252" s="80">
        <f>IF($A252="","",K252+I252)</f>
        <v/>
      </c>
      <c r="N252" s="77">
        <f>IF($A252="","",SUMIFS($J$5:$J$800,$A$5:$A$800,"&gt;="&amp;DATE(YEAR($A252),MONTH($A252),1),$A$5:$A$800,"&lt;="&amp;$A252)+IF(AND(YEAR($A252)=YEAR(Settings!$B$3),MONTH($A252)=MONTH(Settings!$B$3)),Settings!$B$10,0))</f>
        <v/>
      </c>
      <c r="O252" s="78">
        <f>IF($A252="","",SUMIFS($K$5:$K$800,$A$5:$A$800,"&gt;="&amp;DATE(YEAR($A252),MONTH($A252),1),$A$5:$A$800,"&lt;="&amp;$A252)+IF(AND(YEAR($A252)=YEAR(Settings!$B$3),MONTH($A252)=MONTH(Settings!$B$3)),Settings!$B$11,0))</f>
        <v/>
      </c>
      <c r="P252" s="77">
        <f>IF($A252="","",SUMIFS($H$5:$H$800,$A$5:$A$800,"&gt;="&amp;DATE(YEAR($A252),MONTH($A252),1),$A$5:$A$800,"&lt;="&amp;$A252)+IF(AND(YEAR($A252)=YEAR(Settings!$B$3),MONTH($A252)=MONTH(Settings!$B$3)),Settings!$B$12,0))</f>
        <v/>
      </c>
      <c r="Q252" s="78">
        <f>IF($A252="","",SUMIFS($I$5:$I$800,$A$5:$A$800,"&gt;="&amp;DATE(YEAR($A252),MONTH($A252),1),$A$5:$A$800,"&lt;="&amp;$A252)+IF(AND(YEAR($A252)=YEAR(Settings!$B$3),MONTH($A252)=MONTH(Settings!$B$3)),Settings!$B$13,0))</f>
        <v/>
      </c>
      <c r="R252" s="77">
        <f>IF($A252="","",N252+P252)</f>
        <v/>
      </c>
      <c r="S252" s="78">
        <f>IF($A252="","",O252+Q252)</f>
        <v/>
      </c>
    </row>
    <row r="253">
      <c r="A253" s="67" t="n"/>
      <c r="B253" s="75" t="n"/>
      <c r="C253" s="76" t="n"/>
      <c r="D253" s="75" t="n"/>
      <c r="E253" s="76" t="n"/>
      <c r="F253" s="75" t="n"/>
      <c r="G253" s="76" t="n"/>
      <c r="H253" s="75" t="n"/>
      <c r="I253" s="76" t="n"/>
      <c r="J253" s="77">
        <f>IF($A253="","",B253+D253+F253)</f>
        <v/>
      </c>
      <c r="K253" s="78">
        <f>IF($A253="","",C253+E253+G253)</f>
        <v/>
      </c>
      <c r="L253" s="79">
        <f>IF($A253="","",J253+H253)</f>
        <v/>
      </c>
      <c r="M253" s="80">
        <f>IF($A253="","",K253+I253)</f>
        <v/>
      </c>
      <c r="N253" s="77">
        <f>IF($A253="","",SUMIFS($J$5:$J$800,$A$5:$A$800,"&gt;="&amp;DATE(YEAR($A253),MONTH($A253),1),$A$5:$A$800,"&lt;="&amp;$A253)+IF(AND(YEAR($A253)=YEAR(Settings!$B$3),MONTH($A253)=MONTH(Settings!$B$3)),Settings!$B$10,0))</f>
        <v/>
      </c>
      <c r="O253" s="78">
        <f>IF($A253="","",SUMIFS($K$5:$K$800,$A$5:$A$800,"&gt;="&amp;DATE(YEAR($A253),MONTH($A253),1),$A$5:$A$800,"&lt;="&amp;$A253)+IF(AND(YEAR($A253)=YEAR(Settings!$B$3),MONTH($A253)=MONTH(Settings!$B$3)),Settings!$B$11,0))</f>
        <v/>
      </c>
      <c r="P253" s="77">
        <f>IF($A253="","",SUMIFS($H$5:$H$800,$A$5:$A$800,"&gt;="&amp;DATE(YEAR($A253),MONTH($A253),1),$A$5:$A$800,"&lt;="&amp;$A253)+IF(AND(YEAR($A253)=YEAR(Settings!$B$3),MONTH($A253)=MONTH(Settings!$B$3)),Settings!$B$12,0))</f>
        <v/>
      </c>
      <c r="Q253" s="78">
        <f>IF($A253="","",SUMIFS($I$5:$I$800,$A$5:$A$800,"&gt;="&amp;DATE(YEAR($A253),MONTH($A253),1),$A$5:$A$800,"&lt;="&amp;$A253)+IF(AND(YEAR($A253)=YEAR(Settings!$B$3),MONTH($A253)=MONTH(Settings!$B$3)),Settings!$B$13,0))</f>
        <v/>
      </c>
      <c r="R253" s="77">
        <f>IF($A253="","",N253+P253)</f>
        <v/>
      </c>
      <c r="S253" s="78">
        <f>IF($A253="","",O253+Q253)</f>
        <v/>
      </c>
    </row>
    <row r="254">
      <c r="A254" s="67" t="n"/>
      <c r="B254" s="75" t="n"/>
      <c r="C254" s="76" t="n"/>
      <c r="D254" s="75" t="n"/>
      <c r="E254" s="76" t="n"/>
      <c r="F254" s="75" t="n"/>
      <c r="G254" s="76" t="n"/>
      <c r="H254" s="75" t="n"/>
      <c r="I254" s="76" t="n"/>
      <c r="J254" s="77">
        <f>IF($A254="","",B254+D254+F254)</f>
        <v/>
      </c>
      <c r="K254" s="78">
        <f>IF($A254="","",C254+E254+G254)</f>
        <v/>
      </c>
      <c r="L254" s="79">
        <f>IF($A254="","",J254+H254)</f>
        <v/>
      </c>
      <c r="M254" s="80">
        <f>IF($A254="","",K254+I254)</f>
        <v/>
      </c>
      <c r="N254" s="77">
        <f>IF($A254="","",SUMIFS($J$5:$J$800,$A$5:$A$800,"&gt;="&amp;DATE(YEAR($A254),MONTH($A254),1),$A$5:$A$800,"&lt;="&amp;$A254)+IF(AND(YEAR($A254)=YEAR(Settings!$B$3),MONTH($A254)=MONTH(Settings!$B$3)),Settings!$B$10,0))</f>
        <v/>
      </c>
      <c r="O254" s="78">
        <f>IF($A254="","",SUMIFS($K$5:$K$800,$A$5:$A$800,"&gt;="&amp;DATE(YEAR($A254),MONTH($A254),1),$A$5:$A$800,"&lt;="&amp;$A254)+IF(AND(YEAR($A254)=YEAR(Settings!$B$3),MONTH($A254)=MONTH(Settings!$B$3)),Settings!$B$11,0))</f>
        <v/>
      </c>
      <c r="P254" s="77">
        <f>IF($A254="","",SUMIFS($H$5:$H$800,$A$5:$A$800,"&gt;="&amp;DATE(YEAR($A254),MONTH($A254),1),$A$5:$A$800,"&lt;="&amp;$A254)+IF(AND(YEAR($A254)=YEAR(Settings!$B$3),MONTH($A254)=MONTH(Settings!$B$3)),Settings!$B$12,0))</f>
        <v/>
      </c>
      <c r="Q254" s="78">
        <f>IF($A254="","",SUMIFS($I$5:$I$800,$A$5:$A$800,"&gt;="&amp;DATE(YEAR($A254),MONTH($A254),1),$A$5:$A$800,"&lt;="&amp;$A254)+IF(AND(YEAR($A254)=YEAR(Settings!$B$3),MONTH($A254)=MONTH(Settings!$B$3)),Settings!$B$13,0))</f>
        <v/>
      </c>
      <c r="R254" s="77">
        <f>IF($A254="","",N254+P254)</f>
        <v/>
      </c>
      <c r="S254" s="78">
        <f>IF($A254="","",O254+Q254)</f>
        <v/>
      </c>
    </row>
    <row r="255">
      <c r="A255" s="67" t="n"/>
      <c r="B255" s="75" t="n"/>
      <c r="C255" s="76" t="n"/>
      <c r="D255" s="75" t="n"/>
      <c r="E255" s="76" t="n"/>
      <c r="F255" s="75" t="n"/>
      <c r="G255" s="76" t="n"/>
      <c r="H255" s="75" t="n"/>
      <c r="I255" s="76" t="n"/>
      <c r="J255" s="77">
        <f>IF($A255="","",B255+D255+F255)</f>
        <v/>
      </c>
      <c r="K255" s="78">
        <f>IF($A255="","",C255+E255+G255)</f>
        <v/>
      </c>
      <c r="L255" s="79">
        <f>IF($A255="","",J255+H255)</f>
        <v/>
      </c>
      <c r="M255" s="80">
        <f>IF($A255="","",K255+I255)</f>
        <v/>
      </c>
      <c r="N255" s="77">
        <f>IF($A255="","",SUMIFS($J$5:$J$800,$A$5:$A$800,"&gt;="&amp;DATE(YEAR($A255),MONTH($A255),1),$A$5:$A$800,"&lt;="&amp;$A255)+IF(AND(YEAR($A255)=YEAR(Settings!$B$3),MONTH($A255)=MONTH(Settings!$B$3)),Settings!$B$10,0))</f>
        <v/>
      </c>
      <c r="O255" s="78">
        <f>IF($A255="","",SUMIFS($K$5:$K$800,$A$5:$A$800,"&gt;="&amp;DATE(YEAR($A255),MONTH($A255),1),$A$5:$A$800,"&lt;="&amp;$A255)+IF(AND(YEAR($A255)=YEAR(Settings!$B$3),MONTH($A255)=MONTH(Settings!$B$3)),Settings!$B$11,0))</f>
        <v/>
      </c>
      <c r="P255" s="77">
        <f>IF($A255="","",SUMIFS($H$5:$H$800,$A$5:$A$800,"&gt;="&amp;DATE(YEAR($A255),MONTH($A255),1),$A$5:$A$800,"&lt;="&amp;$A255)+IF(AND(YEAR($A255)=YEAR(Settings!$B$3),MONTH($A255)=MONTH(Settings!$B$3)),Settings!$B$12,0))</f>
        <v/>
      </c>
      <c r="Q255" s="78">
        <f>IF($A255="","",SUMIFS($I$5:$I$800,$A$5:$A$800,"&gt;="&amp;DATE(YEAR($A255),MONTH($A255),1),$A$5:$A$800,"&lt;="&amp;$A255)+IF(AND(YEAR($A255)=YEAR(Settings!$B$3),MONTH($A255)=MONTH(Settings!$B$3)),Settings!$B$13,0))</f>
        <v/>
      </c>
      <c r="R255" s="77">
        <f>IF($A255="","",N255+P255)</f>
        <v/>
      </c>
      <c r="S255" s="78">
        <f>IF($A255="","",O255+Q255)</f>
        <v/>
      </c>
    </row>
    <row r="256">
      <c r="A256" s="67" t="n"/>
      <c r="B256" s="75" t="n"/>
      <c r="C256" s="76" t="n"/>
      <c r="D256" s="75" t="n"/>
      <c r="E256" s="76" t="n"/>
      <c r="F256" s="75" t="n"/>
      <c r="G256" s="76" t="n"/>
      <c r="H256" s="75" t="n"/>
      <c r="I256" s="76" t="n"/>
      <c r="J256" s="77">
        <f>IF($A256="","",B256+D256+F256)</f>
        <v/>
      </c>
      <c r="K256" s="78">
        <f>IF($A256="","",C256+E256+G256)</f>
        <v/>
      </c>
      <c r="L256" s="79">
        <f>IF($A256="","",J256+H256)</f>
        <v/>
      </c>
      <c r="M256" s="80">
        <f>IF($A256="","",K256+I256)</f>
        <v/>
      </c>
      <c r="N256" s="77">
        <f>IF($A256="","",SUMIFS($J$5:$J$800,$A$5:$A$800,"&gt;="&amp;DATE(YEAR($A256),MONTH($A256),1),$A$5:$A$800,"&lt;="&amp;$A256)+IF(AND(YEAR($A256)=YEAR(Settings!$B$3),MONTH($A256)=MONTH(Settings!$B$3)),Settings!$B$10,0))</f>
        <v/>
      </c>
      <c r="O256" s="78">
        <f>IF($A256="","",SUMIFS($K$5:$K$800,$A$5:$A$800,"&gt;="&amp;DATE(YEAR($A256),MONTH($A256),1),$A$5:$A$800,"&lt;="&amp;$A256)+IF(AND(YEAR($A256)=YEAR(Settings!$B$3),MONTH($A256)=MONTH(Settings!$B$3)),Settings!$B$11,0))</f>
        <v/>
      </c>
      <c r="P256" s="77">
        <f>IF($A256="","",SUMIFS($H$5:$H$800,$A$5:$A$800,"&gt;="&amp;DATE(YEAR($A256),MONTH($A256),1),$A$5:$A$800,"&lt;="&amp;$A256)+IF(AND(YEAR($A256)=YEAR(Settings!$B$3),MONTH($A256)=MONTH(Settings!$B$3)),Settings!$B$12,0))</f>
        <v/>
      </c>
      <c r="Q256" s="78">
        <f>IF($A256="","",SUMIFS($I$5:$I$800,$A$5:$A$800,"&gt;="&amp;DATE(YEAR($A256),MONTH($A256),1),$A$5:$A$800,"&lt;="&amp;$A256)+IF(AND(YEAR($A256)=YEAR(Settings!$B$3),MONTH($A256)=MONTH(Settings!$B$3)),Settings!$B$13,0))</f>
        <v/>
      </c>
      <c r="R256" s="77">
        <f>IF($A256="","",N256+P256)</f>
        <v/>
      </c>
      <c r="S256" s="78">
        <f>IF($A256="","",O256+Q256)</f>
        <v/>
      </c>
    </row>
    <row r="257">
      <c r="A257" s="67" t="n"/>
      <c r="B257" s="75" t="n"/>
      <c r="C257" s="76" t="n"/>
      <c r="D257" s="75" t="n"/>
      <c r="E257" s="76" t="n"/>
      <c r="F257" s="75" t="n"/>
      <c r="G257" s="76" t="n"/>
      <c r="H257" s="75" t="n"/>
      <c r="I257" s="76" t="n"/>
      <c r="J257" s="77">
        <f>IF($A257="","",B257+D257+F257)</f>
        <v/>
      </c>
      <c r="K257" s="78">
        <f>IF($A257="","",C257+E257+G257)</f>
        <v/>
      </c>
      <c r="L257" s="79">
        <f>IF($A257="","",J257+H257)</f>
        <v/>
      </c>
      <c r="M257" s="80">
        <f>IF($A257="","",K257+I257)</f>
        <v/>
      </c>
      <c r="N257" s="77">
        <f>IF($A257="","",SUMIFS($J$5:$J$800,$A$5:$A$800,"&gt;="&amp;DATE(YEAR($A257),MONTH($A257),1),$A$5:$A$800,"&lt;="&amp;$A257)+IF(AND(YEAR($A257)=YEAR(Settings!$B$3),MONTH($A257)=MONTH(Settings!$B$3)),Settings!$B$10,0))</f>
        <v/>
      </c>
      <c r="O257" s="78">
        <f>IF($A257="","",SUMIFS($K$5:$K$800,$A$5:$A$800,"&gt;="&amp;DATE(YEAR($A257),MONTH($A257),1),$A$5:$A$800,"&lt;="&amp;$A257)+IF(AND(YEAR($A257)=YEAR(Settings!$B$3),MONTH($A257)=MONTH(Settings!$B$3)),Settings!$B$11,0))</f>
        <v/>
      </c>
      <c r="P257" s="77">
        <f>IF($A257="","",SUMIFS($H$5:$H$800,$A$5:$A$800,"&gt;="&amp;DATE(YEAR($A257),MONTH($A257),1),$A$5:$A$800,"&lt;="&amp;$A257)+IF(AND(YEAR($A257)=YEAR(Settings!$B$3),MONTH($A257)=MONTH(Settings!$B$3)),Settings!$B$12,0))</f>
        <v/>
      </c>
      <c r="Q257" s="78">
        <f>IF($A257="","",SUMIFS($I$5:$I$800,$A$5:$A$800,"&gt;="&amp;DATE(YEAR($A257),MONTH($A257),1),$A$5:$A$800,"&lt;="&amp;$A257)+IF(AND(YEAR($A257)=YEAR(Settings!$B$3),MONTH($A257)=MONTH(Settings!$B$3)),Settings!$B$13,0))</f>
        <v/>
      </c>
      <c r="R257" s="77">
        <f>IF($A257="","",N257+P257)</f>
        <v/>
      </c>
      <c r="S257" s="78">
        <f>IF($A257="","",O257+Q257)</f>
        <v/>
      </c>
    </row>
    <row r="258">
      <c r="A258" s="67" t="n"/>
      <c r="B258" s="75" t="n"/>
      <c r="C258" s="76" t="n"/>
      <c r="D258" s="75" t="n"/>
      <c r="E258" s="76" t="n"/>
      <c r="F258" s="75" t="n"/>
      <c r="G258" s="76" t="n"/>
      <c r="H258" s="75" t="n"/>
      <c r="I258" s="76" t="n"/>
      <c r="J258" s="77">
        <f>IF($A258="","",B258+D258+F258)</f>
        <v/>
      </c>
      <c r="K258" s="78">
        <f>IF($A258="","",C258+E258+G258)</f>
        <v/>
      </c>
      <c r="L258" s="79">
        <f>IF($A258="","",J258+H258)</f>
        <v/>
      </c>
      <c r="M258" s="80">
        <f>IF($A258="","",K258+I258)</f>
        <v/>
      </c>
      <c r="N258" s="77">
        <f>IF($A258="","",SUMIFS($J$5:$J$800,$A$5:$A$800,"&gt;="&amp;DATE(YEAR($A258),MONTH($A258),1),$A$5:$A$800,"&lt;="&amp;$A258)+IF(AND(YEAR($A258)=YEAR(Settings!$B$3),MONTH($A258)=MONTH(Settings!$B$3)),Settings!$B$10,0))</f>
        <v/>
      </c>
      <c r="O258" s="78">
        <f>IF($A258="","",SUMIFS($K$5:$K$800,$A$5:$A$800,"&gt;="&amp;DATE(YEAR($A258),MONTH($A258),1),$A$5:$A$800,"&lt;="&amp;$A258)+IF(AND(YEAR($A258)=YEAR(Settings!$B$3),MONTH($A258)=MONTH(Settings!$B$3)),Settings!$B$11,0))</f>
        <v/>
      </c>
      <c r="P258" s="77">
        <f>IF($A258="","",SUMIFS($H$5:$H$800,$A$5:$A$800,"&gt;="&amp;DATE(YEAR($A258),MONTH($A258),1),$A$5:$A$800,"&lt;="&amp;$A258)+IF(AND(YEAR($A258)=YEAR(Settings!$B$3),MONTH($A258)=MONTH(Settings!$B$3)),Settings!$B$12,0))</f>
        <v/>
      </c>
      <c r="Q258" s="78">
        <f>IF($A258="","",SUMIFS($I$5:$I$800,$A$5:$A$800,"&gt;="&amp;DATE(YEAR($A258),MONTH($A258),1),$A$5:$A$800,"&lt;="&amp;$A258)+IF(AND(YEAR($A258)=YEAR(Settings!$B$3),MONTH($A258)=MONTH(Settings!$B$3)),Settings!$B$13,0))</f>
        <v/>
      </c>
      <c r="R258" s="77">
        <f>IF($A258="","",N258+P258)</f>
        <v/>
      </c>
      <c r="S258" s="78">
        <f>IF($A258="","",O258+Q258)</f>
        <v/>
      </c>
    </row>
    <row r="259">
      <c r="A259" s="67" t="n"/>
      <c r="B259" s="75" t="n"/>
      <c r="C259" s="76" t="n"/>
      <c r="D259" s="75" t="n"/>
      <c r="E259" s="76" t="n"/>
      <c r="F259" s="75" t="n"/>
      <c r="G259" s="76" t="n"/>
      <c r="H259" s="75" t="n"/>
      <c r="I259" s="76" t="n"/>
      <c r="J259" s="77">
        <f>IF($A259="","",B259+D259+F259)</f>
        <v/>
      </c>
      <c r="K259" s="78">
        <f>IF($A259="","",C259+E259+G259)</f>
        <v/>
      </c>
      <c r="L259" s="79">
        <f>IF($A259="","",J259+H259)</f>
        <v/>
      </c>
      <c r="M259" s="80">
        <f>IF($A259="","",K259+I259)</f>
        <v/>
      </c>
      <c r="N259" s="77">
        <f>IF($A259="","",SUMIFS($J$5:$J$800,$A$5:$A$800,"&gt;="&amp;DATE(YEAR($A259),MONTH($A259),1),$A$5:$A$800,"&lt;="&amp;$A259)+IF(AND(YEAR($A259)=YEAR(Settings!$B$3),MONTH($A259)=MONTH(Settings!$B$3)),Settings!$B$10,0))</f>
        <v/>
      </c>
      <c r="O259" s="78">
        <f>IF($A259="","",SUMIFS($K$5:$K$800,$A$5:$A$800,"&gt;="&amp;DATE(YEAR($A259),MONTH($A259),1),$A$5:$A$800,"&lt;="&amp;$A259)+IF(AND(YEAR($A259)=YEAR(Settings!$B$3),MONTH($A259)=MONTH(Settings!$B$3)),Settings!$B$11,0))</f>
        <v/>
      </c>
      <c r="P259" s="77">
        <f>IF($A259="","",SUMIFS($H$5:$H$800,$A$5:$A$800,"&gt;="&amp;DATE(YEAR($A259),MONTH($A259),1),$A$5:$A$800,"&lt;="&amp;$A259)+IF(AND(YEAR($A259)=YEAR(Settings!$B$3),MONTH($A259)=MONTH(Settings!$B$3)),Settings!$B$12,0))</f>
        <v/>
      </c>
      <c r="Q259" s="78">
        <f>IF($A259="","",SUMIFS($I$5:$I$800,$A$5:$A$800,"&gt;="&amp;DATE(YEAR($A259),MONTH($A259),1),$A$5:$A$800,"&lt;="&amp;$A259)+IF(AND(YEAR($A259)=YEAR(Settings!$B$3),MONTH($A259)=MONTH(Settings!$B$3)),Settings!$B$13,0))</f>
        <v/>
      </c>
      <c r="R259" s="77">
        <f>IF($A259="","",N259+P259)</f>
        <v/>
      </c>
      <c r="S259" s="78">
        <f>IF($A259="","",O259+Q259)</f>
        <v/>
      </c>
    </row>
    <row r="260">
      <c r="A260" s="67" t="n"/>
      <c r="B260" s="75" t="n"/>
      <c r="C260" s="76" t="n"/>
      <c r="D260" s="75" t="n"/>
      <c r="E260" s="76" t="n"/>
      <c r="F260" s="75" t="n"/>
      <c r="G260" s="76" t="n"/>
      <c r="H260" s="75" t="n"/>
      <c r="I260" s="76" t="n"/>
      <c r="J260" s="77">
        <f>IF($A260="","",B260+D260+F260)</f>
        <v/>
      </c>
      <c r="K260" s="78">
        <f>IF($A260="","",C260+E260+G260)</f>
        <v/>
      </c>
      <c r="L260" s="79">
        <f>IF($A260="","",J260+H260)</f>
        <v/>
      </c>
      <c r="M260" s="80">
        <f>IF($A260="","",K260+I260)</f>
        <v/>
      </c>
      <c r="N260" s="77">
        <f>IF($A260="","",SUMIFS($J$5:$J$800,$A$5:$A$800,"&gt;="&amp;DATE(YEAR($A260),MONTH($A260),1),$A$5:$A$800,"&lt;="&amp;$A260)+IF(AND(YEAR($A260)=YEAR(Settings!$B$3),MONTH($A260)=MONTH(Settings!$B$3)),Settings!$B$10,0))</f>
        <v/>
      </c>
      <c r="O260" s="78">
        <f>IF($A260="","",SUMIFS($K$5:$K$800,$A$5:$A$800,"&gt;="&amp;DATE(YEAR($A260),MONTH($A260),1),$A$5:$A$800,"&lt;="&amp;$A260)+IF(AND(YEAR($A260)=YEAR(Settings!$B$3),MONTH($A260)=MONTH(Settings!$B$3)),Settings!$B$11,0))</f>
        <v/>
      </c>
      <c r="P260" s="77">
        <f>IF($A260="","",SUMIFS($H$5:$H$800,$A$5:$A$800,"&gt;="&amp;DATE(YEAR($A260),MONTH($A260),1),$A$5:$A$800,"&lt;="&amp;$A260)+IF(AND(YEAR($A260)=YEAR(Settings!$B$3),MONTH($A260)=MONTH(Settings!$B$3)),Settings!$B$12,0))</f>
        <v/>
      </c>
      <c r="Q260" s="78">
        <f>IF($A260="","",SUMIFS($I$5:$I$800,$A$5:$A$800,"&gt;="&amp;DATE(YEAR($A260),MONTH($A260),1),$A$5:$A$800,"&lt;="&amp;$A260)+IF(AND(YEAR($A260)=YEAR(Settings!$B$3),MONTH($A260)=MONTH(Settings!$B$3)),Settings!$B$13,0))</f>
        <v/>
      </c>
      <c r="R260" s="77">
        <f>IF($A260="","",N260+P260)</f>
        <v/>
      </c>
      <c r="S260" s="78">
        <f>IF($A260="","",O260+Q260)</f>
        <v/>
      </c>
    </row>
    <row r="261">
      <c r="A261" s="67" t="n"/>
      <c r="B261" s="75" t="n"/>
      <c r="C261" s="76" t="n"/>
      <c r="D261" s="75" t="n"/>
      <c r="E261" s="76" t="n"/>
      <c r="F261" s="75" t="n"/>
      <c r="G261" s="76" t="n"/>
      <c r="H261" s="75" t="n"/>
      <c r="I261" s="76" t="n"/>
      <c r="J261" s="77">
        <f>IF($A261="","",B261+D261+F261)</f>
        <v/>
      </c>
      <c r="K261" s="78">
        <f>IF($A261="","",C261+E261+G261)</f>
        <v/>
      </c>
      <c r="L261" s="79">
        <f>IF($A261="","",J261+H261)</f>
        <v/>
      </c>
      <c r="M261" s="80">
        <f>IF($A261="","",K261+I261)</f>
        <v/>
      </c>
      <c r="N261" s="77">
        <f>IF($A261="","",SUMIFS($J$5:$J$800,$A$5:$A$800,"&gt;="&amp;DATE(YEAR($A261),MONTH($A261),1),$A$5:$A$800,"&lt;="&amp;$A261)+IF(AND(YEAR($A261)=YEAR(Settings!$B$3),MONTH($A261)=MONTH(Settings!$B$3)),Settings!$B$10,0))</f>
        <v/>
      </c>
      <c r="O261" s="78">
        <f>IF($A261="","",SUMIFS($K$5:$K$800,$A$5:$A$800,"&gt;="&amp;DATE(YEAR($A261),MONTH($A261),1),$A$5:$A$800,"&lt;="&amp;$A261)+IF(AND(YEAR($A261)=YEAR(Settings!$B$3),MONTH($A261)=MONTH(Settings!$B$3)),Settings!$B$11,0))</f>
        <v/>
      </c>
      <c r="P261" s="77">
        <f>IF($A261="","",SUMIFS($H$5:$H$800,$A$5:$A$800,"&gt;="&amp;DATE(YEAR($A261),MONTH($A261),1),$A$5:$A$800,"&lt;="&amp;$A261)+IF(AND(YEAR($A261)=YEAR(Settings!$B$3),MONTH($A261)=MONTH(Settings!$B$3)),Settings!$B$12,0))</f>
        <v/>
      </c>
      <c r="Q261" s="78">
        <f>IF($A261="","",SUMIFS($I$5:$I$800,$A$5:$A$800,"&gt;="&amp;DATE(YEAR($A261),MONTH($A261),1),$A$5:$A$800,"&lt;="&amp;$A261)+IF(AND(YEAR($A261)=YEAR(Settings!$B$3),MONTH($A261)=MONTH(Settings!$B$3)),Settings!$B$13,0))</f>
        <v/>
      </c>
      <c r="R261" s="77">
        <f>IF($A261="","",N261+P261)</f>
        <v/>
      </c>
      <c r="S261" s="78">
        <f>IF($A261="","",O261+Q261)</f>
        <v/>
      </c>
    </row>
    <row r="262">
      <c r="A262" s="67" t="n"/>
      <c r="B262" s="75" t="n"/>
      <c r="C262" s="76" t="n"/>
      <c r="D262" s="75" t="n"/>
      <c r="E262" s="76" t="n"/>
      <c r="F262" s="75" t="n"/>
      <c r="G262" s="76" t="n"/>
      <c r="H262" s="75" t="n"/>
      <c r="I262" s="76" t="n"/>
      <c r="J262" s="77">
        <f>IF($A262="","",B262+D262+F262)</f>
        <v/>
      </c>
      <c r="K262" s="78">
        <f>IF($A262="","",C262+E262+G262)</f>
        <v/>
      </c>
      <c r="L262" s="79">
        <f>IF($A262="","",J262+H262)</f>
        <v/>
      </c>
      <c r="M262" s="80">
        <f>IF($A262="","",K262+I262)</f>
        <v/>
      </c>
      <c r="N262" s="77">
        <f>IF($A262="","",SUMIFS($J$5:$J$800,$A$5:$A$800,"&gt;="&amp;DATE(YEAR($A262),MONTH($A262),1),$A$5:$A$800,"&lt;="&amp;$A262)+IF(AND(YEAR($A262)=YEAR(Settings!$B$3),MONTH($A262)=MONTH(Settings!$B$3)),Settings!$B$10,0))</f>
        <v/>
      </c>
      <c r="O262" s="78">
        <f>IF($A262="","",SUMIFS($K$5:$K$800,$A$5:$A$800,"&gt;="&amp;DATE(YEAR($A262),MONTH($A262),1),$A$5:$A$800,"&lt;="&amp;$A262)+IF(AND(YEAR($A262)=YEAR(Settings!$B$3),MONTH($A262)=MONTH(Settings!$B$3)),Settings!$B$11,0))</f>
        <v/>
      </c>
      <c r="P262" s="77">
        <f>IF($A262="","",SUMIFS($H$5:$H$800,$A$5:$A$800,"&gt;="&amp;DATE(YEAR($A262),MONTH($A262),1),$A$5:$A$800,"&lt;="&amp;$A262)+IF(AND(YEAR($A262)=YEAR(Settings!$B$3),MONTH($A262)=MONTH(Settings!$B$3)),Settings!$B$12,0))</f>
        <v/>
      </c>
      <c r="Q262" s="78">
        <f>IF($A262="","",SUMIFS($I$5:$I$800,$A$5:$A$800,"&gt;="&amp;DATE(YEAR($A262),MONTH($A262),1),$A$5:$A$800,"&lt;="&amp;$A262)+IF(AND(YEAR($A262)=YEAR(Settings!$B$3),MONTH($A262)=MONTH(Settings!$B$3)),Settings!$B$13,0))</f>
        <v/>
      </c>
      <c r="R262" s="77">
        <f>IF($A262="","",N262+P262)</f>
        <v/>
      </c>
      <c r="S262" s="78">
        <f>IF($A262="","",O262+Q262)</f>
        <v/>
      </c>
    </row>
    <row r="263">
      <c r="A263" s="67" t="n"/>
      <c r="B263" s="75" t="n"/>
      <c r="C263" s="76" t="n"/>
      <c r="D263" s="75" t="n"/>
      <c r="E263" s="76" t="n"/>
      <c r="F263" s="75" t="n"/>
      <c r="G263" s="76" t="n"/>
      <c r="H263" s="75" t="n"/>
      <c r="I263" s="76" t="n"/>
      <c r="J263" s="77">
        <f>IF($A263="","",B263+D263+F263)</f>
        <v/>
      </c>
      <c r="K263" s="78">
        <f>IF($A263="","",C263+E263+G263)</f>
        <v/>
      </c>
      <c r="L263" s="79">
        <f>IF($A263="","",J263+H263)</f>
        <v/>
      </c>
      <c r="M263" s="80">
        <f>IF($A263="","",K263+I263)</f>
        <v/>
      </c>
      <c r="N263" s="77">
        <f>IF($A263="","",SUMIFS($J$5:$J$800,$A$5:$A$800,"&gt;="&amp;DATE(YEAR($A263),MONTH($A263),1),$A$5:$A$800,"&lt;="&amp;$A263)+IF(AND(YEAR($A263)=YEAR(Settings!$B$3),MONTH($A263)=MONTH(Settings!$B$3)),Settings!$B$10,0))</f>
        <v/>
      </c>
      <c r="O263" s="78">
        <f>IF($A263="","",SUMIFS($K$5:$K$800,$A$5:$A$800,"&gt;="&amp;DATE(YEAR($A263),MONTH($A263),1),$A$5:$A$800,"&lt;="&amp;$A263)+IF(AND(YEAR($A263)=YEAR(Settings!$B$3),MONTH($A263)=MONTH(Settings!$B$3)),Settings!$B$11,0))</f>
        <v/>
      </c>
      <c r="P263" s="77">
        <f>IF($A263="","",SUMIFS($H$5:$H$800,$A$5:$A$800,"&gt;="&amp;DATE(YEAR($A263),MONTH($A263),1),$A$5:$A$800,"&lt;="&amp;$A263)+IF(AND(YEAR($A263)=YEAR(Settings!$B$3),MONTH($A263)=MONTH(Settings!$B$3)),Settings!$B$12,0))</f>
        <v/>
      </c>
      <c r="Q263" s="78">
        <f>IF($A263="","",SUMIFS($I$5:$I$800,$A$5:$A$800,"&gt;="&amp;DATE(YEAR($A263),MONTH($A263),1),$A$5:$A$800,"&lt;="&amp;$A263)+IF(AND(YEAR($A263)=YEAR(Settings!$B$3),MONTH($A263)=MONTH(Settings!$B$3)),Settings!$B$13,0))</f>
        <v/>
      </c>
      <c r="R263" s="77">
        <f>IF($A263="","",N263+P263)</f>
        <v/>
      </c>
      <c r="S263" s="78">
        <f>IF($A263="","",O263+Q263)</f>
        <v/>
      </c>
    </row>
    <row r="264">
      <c r="A264" s="67" t="n"/>
      <c r="B264" s="75" t="n"/>
      <c r="C264" s="76" t="n"/>
      <c r="D264" s="75" t="n"/>
      <c r="E264" s="76" t="n"/>
      <c r="F264" s="75" t="n"/>
      <c r="G264" s="76" t="n"/>
      <c r="H264" s="75" t="n"/>
      <c r="I264" s="76" t="n"/>
      <c r="J264" s="77">
        <f>IF($A264="","",B264+D264+F264)</f>
        <v/>
      </c>
      <c r="K264" s="78">
        <f>IF($A264="","",C264+E264+G264)</f>
        <v/>
      </c>
      <c r="L264" s="79">
        <f>IF($A264="","",J264+H264)</f>
        <v/>
      </c>
      <c r="M264" s="80">
        <f>IF($A264="","",K264+I264)</f>
        <v/>
      </c>
      <c r="N264" s="77">
        <f>IF($A264="","",SUMIFS($J$5:$J$800,$A$5:$A$800,"&gt;="&amp;DATE(YEAR($A264),MONTH($A264),1),$A$5:$A$800,"&lt;="&amp;$A264)+IF(AND(YEAR($A264)=YEAR(Settings!$B$3),MONTH($A264)=MONTH(Settings!$B$3)),Settings!$B$10,0))</f>
        <v/>
      </c>
      <c r="O264" s="78">
        <f>IF($A264="","",SUMIFS($K$5:$K$800,$A$5:$A$800,"&gt;="&amp;DATE(YEAR($A264),MONTH($A264),1),$A$5:$A$800,"&lt;="&amp;$A264)+IF(AND(YEAR($A264)=YEAR(Settings!$B$3),MONTH($A264)=MONTH(Settings!$B$3)),Settings!$B$11,0))</f>
        <v/>
      </c>
      <c r="P264" s="77">
        <f>IF($A264="","",SUMIFS($H$5:$H$800,$A$5:$A$800,"&gt;="&amp;DATE(YEAR($A264),MONTH($A264),1),$A$5:$A$800,"&lt;="&amp;$A264)+IF(AND(YEAR($A264)=YEAR(Settings!$B$3),MONTH($A264)=MONTH(Settings!$B$3)),Settings!$B$12,0))</f>
        <v/>
      </c>
      <c r="Q264" s="78">
        <f>IF($A264="","",SUMIFS($I$5:$I$800,$A$5:$A$800,"&gt;="&amp;DATE(YEAR($A264),MONTH($A264),1),$A$5:$A$800,"&lt;="&amp;$A264)+IF(AND(YEAR($A264)=YEAR(Settings!$B$3),MONTH($A264)=MONTH(Settings!$B$3)),Settings!$B$13,0))</f>
        <v/>
      </c>
      <c r="R264" s="77">
        <f>IF($A264="","",N264+P264)</f>
        <v/>
      </c>
      <c r="S264" s="78">
        <f>IF($A264="","",O264+Q264)</f>
        <v/>
      </c>
    </row>
    <row r="265">
      <c r="A265" s="67" t="n"/>
      <c r="B265" s="75" t="n"/>
      <c r="C265" s="76" t="n"/>
      <c r="D265" s="75" t="n"/>
      <c r="E265" s="76" t="n"/>
      <c r="F265" s="75" t="n"/>
      <c r="G265" s="76" t="n"/>
      <c r="H265" s="75" t="n"/>
      <c r="I265" s="76" t="n"/>
      <c r="J265" s="77">
        <f>IF($A265="","",B265+D265+F265)</f>
        <v/>
      </c>
      <c r="K265" s="78">
        <f>IF($A265="","",C265+E265+G265)</f>
        <v/>
      </c>
      <c r="L265" s="79">
        <f>IF($A265="","",J265+H265)</f>
        <v/>
      </c>
      <c r="M265" s="80">
        <f>IF($A265="","",K265+I265)</f>
        <v/>
      </c>
      <c r="N265" s="77">
        <f>IF($A265="","",SUMIFS($J$5:$J$800,$A$5:$A$800,"&gt;="&amp;DATE(YEAR($A265),MONTH($A265),1),$A$5:$A$800,"&lt;="&amp;$A265)+IF(AND(YEAR($A265)=YEAR(Settings!$B$3),MONTH($A265)=MONTH(Settings!$B$3)),Settings!$B$10,0))</f>
        <v/>
      </c>
      <c r="O265" s="78">
        <f>IF($A265="","",SUMIFS($K$5:$K$800,$A$5:$A$800,"&gt;="&amp;DATE(YEAR($A265),MONTH($A265),1),$A$5:$A$800,"&lt;="&amp;$A265)+IF(AND(YEAR($A265)=YEAR(Settings!$B$3),MONTH($A265)=MONTH(Settings!$B$3)),Settings!$B$11,0))</f>
        <v/>
      </c>
      <c r="P265" s="77">
        <f>IF($A265="","",SUMIFS($H$5:$H$800,$A$5:$A$800,"&gt;="&amp;DATE(YEAR($A265),MONTH($A265),1),$A$5:$A$800,"&lt;="&amp;$A265)+IF(AND(YEAR($A265)=YEAR(Settings!$B$3),MONTH($A265)=MONTH(Settings!$B$3)),Settings!$B$12,0))</f>
        <v/>
      </c>
      <c r="Q265" s="78">
        <f>IF($A265="","",SUMIFS($I$5:$I$800,$A$5:$A$800,"&gt;="&amp;DATE(YEAR($A265),MONTH($A265),1),$A$5:$A$800,"&lt;="&amp;$A265)+IF(AND(YEAR($A265)=YEAR(Settings!$B$3),MONTH($A265)=MONTH(Settings!$B$3)),Settings!$B$13,0))</f>
        <v/>
      </c>
      <c r="R265" s="77">
        <f>IF($A265="","",N265+P265)</f>
        <v/>
      </c>
      <c r="S265" s="78">
        <f>IF($A265="","",O265+Q265)</f>
        <v/>
      </c>
    </row>
    <row r="266">
      <c r="A266" s="67" t="n"/>
      <c r="B266" s="75" t="n"/>
      <c r="C266" s="76" t="n"/>
      <c r="D266" s="75" t="n"/>
      <c r="E266" s="76" t="n"/>
      <c r="F266" s="75" t="n"/>
      <c r="G266" s="76" t="n"/>
      <c r="H266" s="75" t="n"/>
      <c r="I266" s="76" t="n"/>
      <c r="J266" s="77">
        <f>IF($A266="","",B266+D266+F266)</f>
        <v/>
      </c>
      <c r="K266" s="78">
        <f>IF($A266="","",C266+E266+G266)</f>
        <v/>
      </c>
      <c r="L266" s="79">
        <f>IF($A266="","",J266+H266)</f>
        <v/>
      </c>
      <c r="M266" s="80">
        <f>IF($A266="","",K266+I266)</f>
        <v/>
      </c>
      <c r="N266" s="77">
        <f>IF($A266="","",SUMIFS($J$5:$J$800,$A$5:$A$800,"&gt;="&amp;DATE(YEAR($A266),MONTH($A266),1),$A$5:$A$800,"&lt;="&amp;$A266)+IF(AND(YEAR($A266)=YEAR(Settings!$B$3),MONTH($A266)=MONTH(Settings!$B$3)),Settings!$B$10,0))</f>
        <v/>
      </c>
      <c r="O266" s="78">
        <f>IF($A266="","",SUMIFS($K$5:$K$800,$A$5:$A$800,"&gt;="&amp;DATE(YEAR($A266),MONTH($A266),1),$A$5:$A$800,"&lt;="&amp;$A266)+IF(AND(YEAR($A266)=YEAR(Settings!$B$3),MONTH($A266)=MONTH(Settings!$B$3)),Settings!$B$11,0))</f>
        <v/>
      </c>
      <c r="P266" s="77">
        <f>IF($A266="","",SUMIFS($H$5:$H$800,$A$5:$A$800,"&gt;="&amp;DATE(YEAR($A266),MONTH($A266),1),$A$5:$A$800,"&lt;="&amp;$A266)+IF(AND(YEAR($A266)=YEAR(Settings!$B$3),MONTH($A266)=MONTH(Settings!$B$3)),Settings!$B$12,0))</f>
        <v/>
      </c>
      <c r="Q266" s="78">
        <f>IF($A266="","",SUMIFS($I$5:$I$800,$A$5:$A$800,"&gt;="&amp;DATE(YEAR($A266),MONTH($A266),1),$A$5:$A$800,"&lt;="&amp;$A266)+IF(AND(YEAR($A266)=YEAR(Settings!$B$3),MONTH($A266)=MONTH(Settings!$B$3)),Settings!$B$13,0))</f>
        <v/>
      </c>
      <c r="R266" s="77">
        <f>IF($A266="","",N266+P266)</f>
        <v/>
      </c>
      <c r="S266" s="78">
        <f>IF($A266="","",O266+Q266)</f>
        <v/>
      </c>
    </row>
    <row r="267">
      <c r="A267" s="67" t="n"/>
      <c r="B267" s="75" t="n"/>
      <c r="C267" s="76" t="n"/>
      <c r="D267" s="75" t="n"/>
      <c r="E267" s="76" t="n"/>
      <c r="F267" s="75" t="n"/>
      <c r="G267" s="76" t="n"/>
      <c r="H267" s="75" t="n"/>
      <c r="I267" s="76" t="n"/>
      <c r="J267" s="77">
        <f>IF($A267="","",B267+D267+F267)</f>
        <v/>
      </c>
      <c r="K267" s="78">
        <f>IF($A267="","",C267+E267+G267)</f>
        <v/>
      </c>
      <c r="L267" s="79">
        <f>IF($A267="","",J267+H267)</f>
        <v/>
      </c>
      <c r="M267" s="80">
        <f>IF($A267="","",K267+I267)</f>
        <v/>
      </c>
      <c r="N267" s="77">
        <f>IF($A267="","",SUMIFS($J$5:$J$800,$A$5:$A$800,"&gt;="&amp;DATE(YEAR($A267),MONTH($A267),1),$A$5:$A$800,"&lt;="&amp;$A267)+IF(AND(YEAR($A267)=YEAR(Settings!$B$3),MONTH($A267)=MONTH(Settings!$B$3)),Settings!$B$10,0))</f>
        <v/>
      </c>
      <c r="O267" s="78">
        <f>IF($A267="","",SUMIFS($K$5:$K$800,$A$5:$A$800,"&gt;="&amp;DATE(YEAR($A267),MONTH($A267),1),$A$5:$A$800,"&lt;="&amp;$A267)+IF(AND(YEAR($A267)=YEAR(Settings!$B$3),MONTH($A267)=MONTH(Settings!$B$3)),Settings!$B$11,0))</f>
        <v/>
      </c>
      <c r="P267" s="77">
        <f>IF($A267="","",SUMIFS($H$5:$H$800,$A$5:$A$800,"&gt;="&amp;DATE(YEAR($A267),MONTH($A267),1),$A$5:$A$800,"&lt;="&amp;$A267)+IF(AND(YEAR($A267)=YEAR(Settings!$B$3),MONTH($A267)=MONTH(Settings!$B$3)),Settings!$B$12,0))</f>
        <v/>
      </c>
      <c r="Q267" s="78">
        <f>IF($A267="","",SUMIFS($I$5:$I$800,$A$5:$A$800,"&gt;="&amp;DATE(YEAR($A267),MONTH($A267),1),$A$5:$A$800,"&lt;="&amp;$A267)+IF(AND(YEAR($A267)=YEAR(Settings!$B$3),MONTH($A267)=MONTH(Settings!$B$3)),Settings!$B$13,0))</f>
        <v/>
      </c>
      <c r="R267" s="77">
        <f>IF($A267="","",N267+P267)</f>
        <v/>
      </c>
      <c r="S267" s="78">
        <f>IF($A267="","",O267+Q267)</f>
        <v/>
      </c>
    </row>
    <row r="268">
      <c r="A268" s="67" t="n"/>
      <c r="B268" s="75" t="n"/>
      <c r="C268" s="76" t="n"/>
      <c r="D268" s="75" t="n"/>
      <c r="E268" s="76" t="n"/>
      <c r="F268" s="75" t="n"/>
      <c r="G268" s="76" t="n"/>
      <c r="H268" s="75" t="n"/>
      <c r="I268" s="76" t="n"/>
      <c r="J268" s="77">
        <f>IF($A268="","",B268+D268+F268)</f>
        <v/>
      </c>
      <c r="K268" s="78">
        <f>IF($A268="","",C268+E268+G268)</f>
        <v/>
      </c>
      <c r="L268" s="79">
        <f>IF($A268="","",J268+H268)</f>
        <v/>
      </c>
      <c r="M268" s="80">
        <f>IF($A268="","",K268+I268)</f>
        <v/>
      </c>
      <c r="N268" s="77">
        <f>IF($A268="","",SUMIFS($J$5:$J$800,$A$5:$A$800,"&gt;="&amp;DATE(YEAR($A268),MONTH($A268),1),$A$5:$A$800,"&lt;="&amp;$A268)+IF(AND(YEAR($A268)=YEAR(Settings!$B$3),MONTH($A268)=MONTH(Settings!$B$3)),Settings!$B$10,0))</f>
        <v/>
      </c>
      <c r="O268" s="78">
        <f>IF($A268="","",SUMIFS($K$5:$K$800,$A$5:$A$800,"&gt;="&amp;DATE(YEAR($A268),MONTH($A268),1),$A$5:$A$800,"&lt;="&amp;$A268)+IF(AND(YEAR($A268)=YEAR(Settings!$B$3),MONTH($A268)=MONTH(Settings!$B$3)),Settings!$B$11,0))</f>
        <v/>
      </c>
      <c r="P268" s="77">
        <f>IF($A268="","",SUMIFS($H$5:$H$800,$A$5:$A$800,"&gt;="&amp;DATE(YEAR($A268),MONTH($A268),1),$A$5:$A$800,"&lt;="&amp;$A268)+IF(AND(YEAR($A268)=YEAR(Settings!$B$3),MONTH($A268)=MONTH(Settings!$B$3)),Settings!$B$12,0))</f>
        <v/>
      </c>
      <c r="Q268" s="78">
        <f>IF($A268="","",SUMIFS($I$5:$I$800,$A$5:$A$800,"&gt;="&amp;DATE(YEAR($A268),MONTH($A268),1),$A$5:$A$800,"&lt;="&amp;$A268)+IF(AND(YEAR($A268)=YEAR(Settings!$B$3),MONTH($A268)=MONTH(Settings!$B$3)),Settings!$B$13,0))</f>
        <v/>
      </c>
      <c r="R268" s="77">
        <f>IF($A268="","",N268+P268)</f>
        <v/>
      </c>
      <c r="S268" s="78">
        <f>IF($A268="","",O268+Q268)</f>
        <v/>
      </c>
    </row>
    <row r="269">
      <c r="A269" s="67" t="n"/>
      <c r="B269" s="75" t="n"/>
      <c r="C269" s="76" t="n"/>
      <c r="D269" s="75" t="n"/>
      <c r="E269" s="76" t="n"/>
      <c r="F269" s="75" t="n"/>
      <c r="G269" s="76" t="n"/>
      <c r="H269" s="75" t="n"/>
      <c r="I269" s="76" t="n"/>
      <c r="J269" s="77">
        <f>IF($A269="","",B269+D269+F269)</f>
        <v/>
      </c>
      <c r="K269" s="78">
        <f>IF($A269="","",C269+E269+G269)</f>
        <v/>
      </c>
      <c r="L269" s="79">
        <f>IF($A269="","",J269+H269)</f>
        <v/>
      </c>
      <c r="M269" s="80">
        <f>IF($A269="","",K269+I269)</f>
        <v/>
      </c>
      <c r="N269" s="77">
        <f>IF($A269="","",SUMIFS($J$5:$J$800,$A$5:$A$800,"&gt;="&amp;DATE(YEAR($A269),MONTH($A269),1),$A$5:$A$800,"&lt;="&amp;$A269)+IF(AND(YEAR($A269)=YEAR(Settings!$B$3),MONTH($A269)=MONTH(Settings!$B$3)),Settings!$B$10,0))</f>
        <v/>
      </c>
      <c r="O269" s="78">
        <f>IF($A269="","",SUMIFS($K$5:$K$800,$A$5:$A$800,"&gt;="&amp;DATE(YEAR($A269),MONTH($A269),1),$A$5:$A$800,"&lt;="&amp;$A269)+IF(AND(YEAR($A269)=YEAR(Settings!$B$3),MONTH($A269)=MONTH(Settings!$B$3)),Settings!$B$11,0))</f>
        <v/>
      </c>
      <c r="P269" s="77">
        <f>IF($A269="","",SUMIFS($H$5:$H$800,$A$5:$A$800,"&gt;="&amp;DATE(YEAR($A269),MONTH($A269),1),$A$5:$A$800,"&lt;="&amp;$A269)+IF(AND(YEAR($A269)=YEAR(Settings!$B$3),MONTH($A269)=MONTH(Settings!$B$3)),Settings!$B$12,0))</f>
        <v/>
      </c>
      <c r="Q269" s="78">
        <f>IF($A269="","",SUMIFS($I$5:$I$800,$A$5:$A$800,"&gt;="&amp;DATE(YEAR($A269),MONTH($A269),1),$A$5:$A$800,"&lt;="&amp;$A269)+IF(AND(YEAR($A269)=YEAR(Settings!$B$3),MONTH($A269)=MONTH(Settings!$B$3)),Settings!$B$13,0))</f>
        <v/>
      </c>
      <c r="R269" s="77">
        <f>IF($A269="","",N269+P269)</f>
        <v/>
      </c>
      <c r="S269" s="78">
        <f>IF($A269="","",O269+Q269)</f>
        <v/>
      </c>
    </row>
    <row r="270">
      <c r="A270" s="67" t="n"/>
      <c r="B270" s="75" t="n"/>
      <c r="C270" s="76" t="n"/>
      <c r="D270" s="75" t="n"/>
      <c r="E270" s="76" t="n"/>
      <c r="F270" s="75" t="n"/>
      <c r="G270" s="76" t="n"/>
      <c r="H270" s="75" t="n"/>
      <c r="I270" s="76" t="n"/>
      <c r="J270" s="77">
        <f>IF($A270="","",B270+D270+F270)</f>
        <v/>
      </c>
      <c r="K270" s="78">
        <f>IF($A270="","",C270+E270+G270)</f>
        <v/>
      </c>
      <c r="L270" s="79">
        <f>IF($A270="","",J270+H270)</f>
        <v/>
      </c>
      <c r="M270" s="80">
        <f>IF($A270="","",K270+I270)</f>
        <v/>
      </c>
      <c r="N270" s="77">
        <f>IF($A270="","",SUMIFS($J$5:$J$800,$A$5:$A$800,"&gt;="&amp;DATE(YEAR($A270),MONTH($A270),1),$A$5:$A$800,"&lt;="&amp;$A270)+IF(AND(YEAR($A270)=YEAR(Settings!$B$3),MONTH($A270)=MONTH(Settings!$B$3)),Settings!$B$10,0))</f>
        <v/>
      </c>
      <c r="O270" s="78">
        <f>IF($A270="","",SUMIFS($K$5:$K$800,$A$5:$A$800,"&gt;="&amp;DATE(YEAR($A270),MONTH($A270),1),$A$5:$A$800,"&lt;="&amp;$A270)+IF(AND(YEAR($A270)=YEAR(Settings!$B$3),MONTH($A270)=MONTH(Settings!$B$3)),Settings!$B$11,0))</f>
        <v/>
      </c>
      <c r="P270" s="77">
        <f>IF($A270="","",SUMIFS($H$5:$H$800,$A$5:$A$800,"&gt;="&amp;DATE(YEAR($A270),MONTH($A270),1),$A$5:$A$800,"&lt;="&amp;$A270)+IF(AND(YEAR($A270)=YEAR(Settings!$B$3),MONTH($A270)=MONTH(Settings!$B$3)),Settings!$B$12,0))</f>
        <v/>
      </c>
      <c r="Q270" s="78">
        <f>IF($A270="","",SUMIFS($I$5:$I$800,$A$5:$A$800,"&gt;="&amp;DATE(YEAR($A270),MONTH($A270),1),$A$5:$A$800,"&lt;="&amp;$A270)+IF(AND(YEAR($A270)=YEAR(Settings!$B$3),MONTH($A270)=MONTH(Settings!$B$3)),Settings!$B$13,0))</f>
        <v/>
      </c>
      <c r="R270" s="77">
        <f>IF($A270="","",N270+P270)</f>
        <v/>
      </c>
      <c r="S270" s="78">
        <f>IF($A270="","",O270+Q270)</f>
        <v/>
      </c>
    </row>
    <row r="271">
      <c r="A271" s="67" t="n"/>
      <c r="B271" s="75" t="n"/>
      <c r="C271" s="76" t="n"/>
      <c r="D271" s="75" t="n"/>
      <c r="E271" s="76" t="n"/>
      <c r="F271" s="75" t="n"/>
      <c r="G271" s="76" t="n"/>
      <c r="H271" s="75" t="n"/>
      <c r="I271" s="76" t="n"/>
      <c r="J271" s="77">
        <f>IF($A271="","",B271+D271+F271)</f>
        <v/>
      </c>
      <c r="K271" s="78">
        <f>IF($A271="","",C271+E271+G271)</f>
        <v/>
      </c>
      <c r="L271" s="79">
        <f>IF($A271="","",J271+H271)</f>
        <v/>
      </c>
      <c r="M271" s="80">
        <f>IF($A271="","",K271+I271)</f>
        <v/>
      </c>
      <c r="N271" s="77">
        <f>IF($A271="","",SUMIFS($J$5:$J$800,$A$5:$A$800,"&gt;="&amp;DATE(YEAR($A271),MONTH($A271),1),$A$5:$A$800,"&lt;="&amp;$A271)+IF(AND(YEAR($A271)=YEAR(Settings!$B$3),MONTH($A271)=MONTH(Settings!$B$3)),Settings!$B$10,0))</f>
        <v/>
      </c>
      <c r="O271" s="78">
        <f>IF($A271="","",SUMIFS($K$5:$K$800,$A$5:$A$800,"&gt;="&amp;DATE(YEAR($A271),MONTH($A271),1),$A$5:$A$800,"&lt;="&amp;$A271)+IF(AND(YEAR($A271)=YEAR(Settings!$B$3),MONTH($A271)=MONTH(Settings!$B$3)),Settings!$B$11,0))</f>
        <v/>
      </c>
      <c r="P271" s="77">
        <f>IF($A271="","",SUMIFS($H$5:$H$800,$A$5:$A$800,"&gt;="&amp;DATE(YEAR($A271),MONTH($A271),1),$A$5:$A$800,"&lt;="&amp;$A271)+IF(AND(YEAR($A271)=YEAR(Settings!$B$3),MONTH($A271)=MONTH(Settings!$B$3)),Settings!$B$12,0))</f>
        <v/>
      </c>
      <c r="Q271" s="78">
        <f>IF($A271="","",SUMIFS($I$5:$I$800,$A$5:$A$800,"&gt;="&amp;DATE(YEAR($A271),MONTH($A271),1),$A$5:$A$800,"&lt;="&amp;$A271)+IF(AND(YEAR($A271)=YEAR(Settings!$B$3),MONTH($A271)=MONTH(Settings!$B$3)),Settings!$B$13,0))</f>
        <v/>
      </c>
      <c r="R271" s="77">
        <f>IF($A271="","",N271+P271)</f>
        <v/>
      </c>
      <c r="S271" s="78">
        <f>IF($A271="","",O271+Q271)</f>
        <v/>
      </c>
    </row>
    <row r="272">
      <c r="A272" s="67" t="n"/>
      <c r="B272" s="75" t="n"/>
      <c r="C272" s="76" t="n"/>
      <c r="D272" s="75" t="n"/>
      <c r="E272" s="76" t="n"/>
      <c r="F272" s="75" t="n"/>
      <c r="G272" s="76" t="n"/>
      <c r="H272" s="75" t="n"/>
      <c r="I272" s="76" t="n"/>
      <c r="J272" s="77">
        <f>IF($A272="","",B272+D272+F272)</f>
        <v/>
      </c>
      <c r="K272" s="78">
        <f>IF($A272="","",C272+E272+G272)</f>
        <v/>
      </c>
      <c r="L272" s="79">
        <f>IF($A272="","",J272+H272)</f>
        <v/>
      </c>
      <c r="M272" s="80">
        <f>IF($A272="","",K272+I272)</f>
        <v/>
      </c>
      <c r="N272" s="77">
        <f>IF($A272="","",SUMIFS($J$5:$J$800,$A$5:$A$800,"&gt;="&amp;DATE(YEAR($A272),MONTH($A272),1),$A$5:$A$800,"&lt;="&amp;$A272)+IF(AND(YEAR($A272)=YEAR(Settings!$B$3),MONTH($A272)=MONTH(Settings!$B$3)),Settings!$B$10,0))</f>
        <v/>
      </c>
      <c r="O272" s="78">
        <f>IF($A272="","",SUMIFS($K$5:$K$800,$A$5:$A$800,"&gt;="&amp;DATE(YEAR($A272),MONTH($A272),1),$A$5:$A$800,"&lt;="&amp;$A272)+IF(AND(YEAR($A272)=YEAR(Settings!$B$3),MONTH($A272)=MONTH(Settings!$B$3)),Settings!$B$11,0))</f>
        <v/>
      </c>
      <c r="P272" s="77">
        <f>IF($A272="","",SUMIFS($H$5:$H$800,$A$5:$A$800,"&gt;="&amp;DATE(YEAR($A272),MONTH($A272),1),$A$5:$A$800,"&lt;="&amp;$A272)+IF(AND(YEAR($A272)=YEAR(Settings!$B$3),MONTH($A272)=MONTH(Settings!$B$3)),Settings!$B$12,0))</f>
        <v/>
      </c>
      <c r="Q272" s="78">
        <f>IF($A272="","",SUMIFS($I$5:$I$800,$A$5:$A$800,"&gt;="&amp;DATE(YEAR($A272),MONTH($A272),1),$A$5:$A$800,"&lt;="&amp;$A272)+IF(AND(YEAR($A272)=YEAR(Settings!$B$3),MONTH($A272)=MONTH(Settings!$B$3)),Settings!$B$13,0))</f>
        <v/>
      </c>
      <c r="R272" s="77">
        <f>IF($A272="","",N272+P272)</f>
        <v/>
      </c>
      <c r="S272" s="78">
        <f>IF($A272="","",O272+Q272)</f>
        <v/>
      </c>
    </row>
    <row r="273">
      <c r="A273" s="67" t="n"/>
      <c r="B273" s="75" t="n"/>
      <c r="C273" s="76" t="n"/>
      <c r="D273" s="75" t="n"/>
      <c r="E273" s="76" t="n"/>
      <c r="F273" s="75" t="n"/>
      <c r="G273" s="76" t="n"/>
      <c r="H273" s="75" t="n"/>
      <c r="I273" s="76" t="n"/>
      <c r="J273" s="77">
        <f>IF($A273="","",B273+D273+F273)</f>
        <v/>
      </c>
      <c r="K273" s="78">
        <f>IF($A273="","",C273+E273+G273)</f>
        <v/>
      </c>
      <c r="L273" s="79">
        <f>IF($A273="","",J273+H273)</f>
        <v/>
      </c>
      <c r="M273" s="80">
        <f>IF($A273="","",K273+I273)</f>
        <v/>
      </c>
      <c r="N273" s="77">
        <f>IF($A273="","",SUMIFS($J$5:$J$800,$A$5:$A$800,"&gt;="&amp;DATE(YEAR($A273),MONTH($A273),1),$A$5:$A$800,"&lt;="&amp;$A273)+IF(AND(YEAR($A273)=YEAR(Settings!$B$3),MONTH($A273)=MONTH(Settings!$B$3)),Settings!$B$10,0))</f>
        <v/>
      </c>
      <c r="O273" s="78">
        <f>IF($A273="","",SUMIFS($K$5:$K$800,$A$5:$A$800,"&gt;="&amp;DATE(YEAR($A273),MONTH($A273),1),$A$5:$A$800,"&lt;="&amp;$A273)+IF(AND(YEAR($A273)=YEAR(Settings!$B$3),MONTH($A273)=MONTH(Settings!$B$3)),Settings!$B$11,0))</f>
        <v/>
      </c>
      <c r="P273" s="77">
        <f>IF($A273="","",SUMIFS($H$5:$H$800,$A$5:$A$800,"&gt;="&amp;DATE(YEAR($A273),MONTH($A273),1),$A$5:$A$800,"&lt;="&amp;$A273)+IF(AND(YEAR($A273)=YEAR(Settings!$B$3),MONTH($A273)=MONTH(Settings!$B$3)),Settings!$B$12,0))</f>
        <v/>
      </c>
      <c r="Q273" s="78">
        <f>IF($A273="","",SUMIFS($I$5:$I$800,$A$5:$A$800,"&gt;="&amp;DATE(YEAR($A273),MONTH($A273),1),$A$5:$A$800,"&lt;="&amp;$A273)+IF(AND(YEAR($A273)=YEAR(Settings!$B$3),MONTH($A273)=MONTH(Settings!$B$3)),Settings!$B$13,0))</f>
        <v/>
      </c>
      <c r="R273" s="77">
        <f>IF($A273="","",N273+P273)</f>
        <v/>
      </c>
      <c r="S273" s="78">
        <f>IF($A273="","",O273+Q273)</f>
        <v/>
      </c>
    </row>
    <row r="274">
      <c r="A274" s="67" t="n"/>
      <c r="B274" s="75" t="n"/>
      <c r="C274" s="76" t="n"/>
      <c r="D274" s="75" t="n"/>
      <c r="E274" s="76" t="n"/>
      <c r="F274" s="75" t="n"/>
      <c r="G274" s="76" t="n"/>
      <c r="H274" s="75" t="n"/>
      <c r="I274" s="76" t="n"/>
      <c r="J274" s="77">
        <f>IF($A274="","",B274+D274+F274)</f>
        <v/>
      </c>
      <c r="K274" s="78">
        <f>IF($A274="","",C274+E274+G274)</f>
        <v/>
      </c>
      <c r="L274" s="79">
        <f>IF($A274="","",J274+H274)</f>
        <v/>
      </c>
      <c r="M274" s="80">
        <f>IF($A274="","",K274+I274)</f>
        <v/>
      </c>
      <c r="N274" s="77">
        <f>IF($A274="","",SUMIFS($J$5:$J$800,$A$5:$A$800,"&gt;="&amp;DATE(YEAR($A274),MONTH($A274),1),$A$5:$A$800,"&lt;="&amp;$A274)+IF(AND(YEAR($A274)=YEAR(Settings!$B$3),MONTH($A274)=MONTH(Settings!$B$3)),Settings!$B$10,0))</f>
        <v/>
      </c>
      <c r="O274" s="78">
        <f>IF($A274="","",SUMIFS($K$5:$K$800,$A$5:$A$800,"&gt;="&amp;DATE(YEAR($A274),MONTH($A274),1),$A$5:$A$800,"&lt;="&amp;$A274)+IF(AND(YEAR($A274)=YEAR(Settings!$B$3),MONTH($A274)=MONTH(Settings!$B$3)),Settings!$B$11,0))</f>
        <v/>
      </c>
      <c r="P274" s="77">
        <f>IF($A274="","",SUMIFS($H$5:$H$800,$A$5:$A$800,"&gt;="&amp;DATE(YEAR($A274),MONTH($A274),1),$A$5:$A$800,"&lt;="&amp;$A274)+IF(AND(YEAR($A274)=YEAR(Settings!$B$3),MONTH($A274)=MONTH(Settings!$B$3)),Settings!$B$12,0))</f>
        <v/>
      </c>
      <c r="Q274" s="78">
        <f>IF($A274="","",SUMIFS($I$5:$I$800,$A$5:$A$800,"&gt;="&amp;DATE(YEAR($A274),MONTH($A274),1),$A$5:$A$800,"&lt;="&amp;$A274)+IF(AND(YEAR($A274)=YEAR(Settings!$B$3),MONTH($A274)=MONTH(Settings!$B$3)),Settings!$B$13,0))</f>
        <v/>
      </c>
      <c r="R274" s="77">
        <f>IF($A274="","",N274+P274)</f>
        <v/>
      </c>
      <c r="S274" s="78">
        <f>IF($A274="","",O274+Q274)</f>
        <v/>
      </c>
    </row>
    <row r="275">
      <c r="A275" s="67" t="n"/>
      <c r="B275" s="75" t="n"/>
      <c r="C275" s="76" t="n"/>
      <c r="D275" s="75" t="n"/>
      <c r="E275" s="76" t="n"/>
      <c r="F275" s="75" t="n"/>
      <c r="G275" s="76" t="n"/>
      <c r="H275" s="75" t="n"/>
      <c r="I275" s="76" t="n"/>
      <c r="J275" s="77">
        <f>IF($A275="","",B275+D275+F275)</f>
        <v/>
      </c>
      <c r="K275" s="78">
        <f>IF($A275="","",C275+E275+G275)</f>
        <v/>
      </c>
      <c r="L275" s="79">
        <f>IF($A275="","",J275+H275)</f>
        <v/>
      </c>
      <c r="M275" s="80">
        <f>IF($A275="","",K275+I275)</f>
        <v/>
      </c>
      <c r="N275" s="77">
        <f>IF($A275="","",SUMIFS($J$5:$J$800,$A$5:$A$800,"&gt;="&amp;DATE(YEAR($A275),MONTH($A275),1),$A$5:$A$800,"&lt;="&amp;$A275)+IF(AND(YEAR($A275)=YEAR(Settings!$B$3),MONTH($A275)=MONTH(Settings!$B$3)),Settings!$B$10,0))</f>
        <v/>
      </c>
      <c r="O275" s="78">
        <f>IF($A275="","",SUMIFS($K$5:$K$800,$A$5:$A$800,"&gt;="&amp;DATE(YEAR($A275),MONTH($A275),1),$A$5:$A$800,"&lt;="&amp;$A275)+IF(AND(YEAR($A275)=YEAR(Settings!$B$3),MONTH($A275)=MONTH(Settings!$B$3)),Settings!$B$11,0))</f>
        <v/>
      </c>
      <c r="P275" s="77">
        <f>IF($A275="","",SUMIFS($H$5:$H$800,$A$5:$A$800,"&gt;="&amp;DATE(YEAR($A275),MONTH($A275),1),$A$5:$A$800,"&lt;="&amp;$A275)+IF(AND(YEAR($A275)=YEAR(Settings!$B$3),MONTH($A275)=MONTH(Settings!$B$3)),Settings!$B$12,0))</f>
        <v/>
      </c>
      <c r="Q275" s="78">
        <f>IF($A275="","",SUMIFS($I$5:$I$800,$A$5:$A$800,"&gt;="&amp;DATE(YEAR($A275),MONTH($A275),1),$A$5:$A$800,"&lt;="&amp;$A275)+IF(AND(YEAR($A275)=YEAR(Settings!$B$3),MONTH($A275)=MONTH(Settings!$B$3)),Settings!$B$13,0))</f>
        <v/>
      </c>
      <c r="R275" s="77">
        <f>IF($A275="","",N275+P275)</f>
        <v/>
      </c>
      <c r="S275" s="78">
        <f>IF($A275="","",O275+Q275)</f>
        <v/>
      </c>
    </row>
    <row r="276">
      <c r="A276" s="67" t="n"/>
      <c r="B276" s="75" t="n"/>
      <c r="C276" s="76" t="n"/>
      <c r="D276" s="75" t="n"/>
      <c r="E276" s="76" t="n"/>
      <c r="F276" s="75" t="n"/>
      <c r="G276" s="76" t="n"/>
      <c r="H276" s="75" t="n"/>
      <c r="I276" s="76" t="n"/>
      <c r="J276" s="77">
        <f>IF($A276="","",B276+D276+F276)</f>
        <v/>
      </c>
      <c r="K276" s="78">
        <f>IF($A276="","",C276+E276+G276)</f>
        <v/>
      </c>
      <c r="L276" s="79">
        <f>IF($A276="","",J276+H276)</f>
        <v/>
      </c>
      <c r="M276" s="80">
        <f>IF($A276="","",K276+I276)</f>
        <v/>
      </c>
      <c r="N276" s="77">
        <f>IF($A276="","",SUMIFS($J$5:$J$800,$A$5:$A$800,"&gt;="&amp;DATE(YEAR($A276),MONTH($A276),1),$A$5:$A$800,"&lt;="&amp;$A276)+IF(AND(YEAR($A276)=YEAR(Settings!$B$3),MONTH($A276)=MONTH(Settings!$B$3)),Settings!$B$10,0))</f>
        <v/>
      </c>
      <c r="O276" s="78">
        <f>IF($A276="","",SUMIFS($K$5:$K$800,$A$5:$A$800,"&gt;="&amp;DATE(YEAR($A276),MONTH($A276),1),$A$5:$A$800,"&lt;="&amp;$A276)+IF(AND(YEAR($A276)=YEAR(Settings!$B$3),MONTH($A276)=MONTH(Settings!$B$3)),Settings!$B$11,0))</f>
        <v/>
      </c>
      <c r="P276" s="77">
        <f>IF($A276="","",SUMIFS($H$5:$H$800,$A$5:$A$800,"&gt;="&amp;DATE(YEAR($A276),MONTH($A276),1),$A$5:$A$800,"&lt;="&amp;$A276)+IF(AND(YEAR($A276)=YEAR(Settings!$B$3),MONTH($A276)=MONTH(Settings!$B$3)),Settings!$B$12,0))</f>
        <v/>
      </c>
      <c r="Q276" s="78">
        <f>IF($A276="","",SUMIFS($I$5:$I$800,$A$5:$A$800,"&gt;="&amp;DATE(YEAR($A276),MONTH($A276),1),$A$5:$A$800,"&lt;="&amp;$A276)+IF(AND(YEAR($A276)=YEAR(Settings!$B$3),MONTH($A276)=MONTH(Settings!$B$3)),Settings!$B$13,0))</f>
        <v/>
      </c>
      <c r="R276" s="77">
        <f>IF($A276="","",N276+P276)</f>
        <v/>
      </c>
      <c r="S276" s="78">
        <f>IF($A276="","",O276+Q276)</f>
        <v/>
      </c>
    </row>
    <row r="277">
      <c r="A277" s="67" t="n"/>
      <c r="B277" s="75" t="n"/>
      <c r="C277" s="76" t="n"/>
      <c r="D277" s="75" t="n"/>
      <c r="E277" s="76" t="n"/>
      <c r="F277" s="75" t="n"/>
      <c r="G277" s="76" t="n"/>
      <c r="H277" s="75" t="n"/>
      <c r="I277" s="76" t="n"/>
      <c r="J277" s="77">
        <f>IF($A277="","",B277+D277+F277)</f>
        <v/>
      </c>
      <c r="K277" s="78">
        <f>IF($A277="","",C277+E277+G277)</f>
        <v/>
      </c>
      <c r="L277" s="79">
        <f>IF($A277="","",J277+H277)</f>
        <v/>
      </c>
      <c r="M277" s="80">
        <f>IF($A277="","",K277+I277)</f>
        <v/>
      </c>
      <c r="N277" s="77">
        <f>IF($A277="","",SUMIFS($J$5:$J$800,$A$5:$A$800,"&gt;="&amp;DATE(YEAR($A277),MONTH($A277),1),$A$5:$A$800,"&lt;="&amp;$A277)+IF(AND(YEAR($A277)=YEAR(Settings!$B$3),MONTH($A277)=MONTH(Settings!$B$3)),Settings!$B$10,0))</f>
        <v/>
      </c>
      <c r="O277" s="78">
        <f>IF($A277="","",SUMIFS($K$5:$K$800,$A$5:$A$800,"&gt;="&amp;DATE(YEAR($A277),MONTH($A277),1),$A$5:$A$800,"&lt;="&amp;$A277)+IF(AND(YEAR($A277)=YEAR(Settings!$B$3),MONTH($A277)=MONTH(Settings!$B$3)),Settings!$B$11,0))</f>
        <v/>
      </c>
      <c r="P277" s="77">
        <f>IF($A277="","",SUMIFS($H$5:$H$800,$A$5:$A$800,"&gt;="&amp;DATE(YEAR($A277),MONTH($A277),1),$A$5:$A$800,"&lt;="&amp;$A277)+IF(AND(YEAR($A277)=YEAR(Settings!$B$3),MONTH($A277)=MONTH(Settings!$B$3)),Settings!$B$12,0))</f>
        <v/>
      </c>
      <c r="Q277" s="78">
        <f>IF($A277="","",SUMIFS($I$5:$I$800,$A$5:$A$800,"&gt;="&amp;DATE(YEAR($A277),MONTH($A277),1),$A$5:$A$800,"&lt;="&amp;$A277)+IF(AND(YEAR($A277)=YEAR(Settings!$B$3),MONTH($A277)=MONTH(Settings!$B$3)),Settings!$B$13,0))</f>
        <v/>
      </c>
      <c r="R277" s="77">
        <f>IF($A277="","",N277+P277)</f>
        <v/>
      </c>
      <c r="S277" s="78">
        <f>IF($A277="","",O277+Q277)</f>
        <v/>
      </c>
    </row>
    <row r="278">
      <c r="A278" s="67" t="n"/>
      <c r="B278" s="75" t="n"/>
      <c r="C278" s="76" t="n"/>
      <c r="D278" s="75" t="n"/>
      <c r="E278" s="76" t="n"/>
      <c r="F278" s="75" t="n"/>
      <c r="G278" s="76" t="n"/>
      <c r="H278" s="75" t="n"/>
      <c r="I278" s="76" t="n"/>
      <c r="J278" s="77">
        <f>IF($A278="","",B278+D278+F278)</f>
        <v/>
      </c>
      <c r="K278" s="78">
        <f>IF($A278="","",C278+E278+G278)</f>
        <v/>
      </c>
      <c r="L278" s="79">
        <f>IF($A278="","",J278+H278)</f>
        <v/>
      </c>
      <c r="M278" s="80">
        <f>IF($A278="","",K278+I278)</f>
        <v/>
      </c>
      <c r="N278" s="77">
        <f>IF($A278="","",SUMIFS($J$5:$J$800,$A$5:$A$800,"&gt;="&amp;DATE(YEAR($A278),MONTH($A278),1),$A$5:$A$800,"&lt;="&amp;$A278)+IF(AND(YEAR($A278)=YEAR(Settings!$B$3),MONTH($A278)=MONTH(Settings!$B$3)),Settings!$B$10,0))</f>
        <v/>
      </c>
      <c r="O278" s="78">
        <f>IF($A278="","",SUMIFS($K$5:$K$800,$A$5:$A$800,"&gt;="&amp;DATE(YEAR($A278),MONTH($A278),1),$A$5:$A$800,"&lt;="&amp;$A278)+IF(AND(YEAR($A278)=YEAR(Settings!$B$3),MONTH($A278)=MONTH(Settings!$B$3)),Settings!$B$11,0))</f>
        <v/>
      </c>
      <c r="P278" s="77">
        <f>IF($A278="","",SUMIFS($H$5:$H$800,$A$5:$A$800,"&gt;="&amp;DATE(YEAR($A278),MONTH($A278),1),$A$5:$A$800,"&lt;="&amp;$A278)+IF(AND(YEAR($A278)=YEAR(Settings!$B$3),MONTH($A278)=MONTH(Settings!$B$3)),Settings!$B$12,0))</f>
        <v/>
      </c>
      <c r="Q278" s="78">
        <f>IF($A278="","",SUMIFS($I$5:$I$800,$A$5:$A$800,"&gt;="&amp;DATE(YEAR($A278),MONTH($A278),1),$A$5:$A$800,"&lt;="&amp;$A278)+IF(AND(YEAR($A278)=YEAR(Settings!$B$3),MONTH($A278)=MONTH(Settings!$B$3)),Settings!$B$13,0))</f>
        <v/>
      </c>
      <c r="R278" s="77">
        <f>IF($A278="","",N278+P278)</f>
        <v/>
      </c>
      <c r="S278" s="78">
        <f>IF($A278="","",O278+Q278)</f>
        <v/>
      </c>
    </row>
    <row r="279">
      <c r="A279" s="67" t="n"/>
      <c r="B279" s="75" t="n"/>
      <c r="C279" s="76" t="n"/>
      <c r="D279" s="75" t="n"/>
      <c r="E279" s="76" t="n"/>
      <c r="F279" s="75" t="n"/>
      <c r="G279" s="76" t="n"/>
      <c r="H279" s="75" t="n"/>
      <c r="I279" s="76" t="n"/>
      <c r="J279" s="77">
        <f>IF($A279="","",B279+D279+F279)</f>
        <v/>
      </c>
      <c r="K279" s="78">
        <f>IF($A279="","",C279+E279+G279)</f>
        <v/>
      </c>
      <c r="L279" s="79">
        <f>IF($A279="","",J279+H279)</f>
        <v/>
      </c>
      <c r="M279" s="80">
        <f>IF($A279="","",K279+I279)</f>
        <v/>
      </c>
      <c r="N279" s="77">
        <f>IF($A279="","",SUMIFS($J$5:$J$800,$A$5:$A$800,"&gt;="&amp;DATE(YEAR($A279),MONTH($A279),1),$A$5:$A$800,"&lt;="&amp;$A279)+IF(AND(YEAR($A279)=YEAR(Settings!$B$3),MONTH($A279)=MONTH(Settings!$B$3)),Settings!$B$10,0))</f>
        <v/>
      </c>
      <c r="O279" s="78">
        <f>IF($A279="","",SUMIFS($K$5:$K$800,$A$5:$A$800,"&gt;="&amp;DATE(YEAR($A279),MONTH($A279),1),$A$5:$A$800,"&lt;="&amp;$A279)+IF(AND(YEAR($A279)=YEAR(Settings!$B$3),MONTH($A279)=MONTH(Settings!$B$3)),Settings!$B$11,0))</f>
        <v/>
      </c>
      <c r="P279" s="77">
        <f>IF($A279="","",SUMIFS($H$5:$H$800,$A$5:$A$800,"&gt;="&amp;DATE(YEAR($A279),MONTH($A279),1),$A$5:$A$800,"&lt;="&amp;$A279)+IF(AND(YEAR($A279)=YEAR(Settings!$B$3),MONTH($A279)=MONTH(Settings!$B$3)),Settings!$B$12,0))</f>
        <v/>
      </c>
      <c r="Q279" s="78">
        <f>IF($A279="","",SUMIFS($I$5:$I$800,$A$5:$A$800,"&gt;="&amp;DATE(YEAR($A279),MONTH($A279),1),$A$5:$A$800,"&lt;="&amp;$A279)+IF(AND(YEAR($A279)=YEAR(Settings!$B$3),MONTH($A279)=MONTH(Settings!$B$3)),Settings!$B$13,0))</f>
        <v/>
      </c>
      <c r="R279" s="77">
        <f>IF($A279="","",N279+P279)</f>
        <v/>
      </c>
      <c r="S279" s="78">
        <f>IF($A279="","",O279+Q279)</f>
        <v/>
      </c>
    </row>
    <row r="280">
      <c r="A280" s="67" t="n"/>
      <c r="B280" s="75" t="n"/>
      <c r="C280" s="76" t="n"/>
      <c r="D280" s="75" t="n"/>
      <c r="E280" s="76" t="n"/>
      <c r="F280" s="75" t="n"/>
      <c r="G280" s="76" t="n"/>
      <c r="H280" s="75" t="n"/>
      <c r="I280" s="76" t="n"/>
      <c r="J280" s="77">
        <f>IF($A280="","",B280+D280+F280)</f>
        <v/>
      </c>
      <c r="K280" s="78">
        <f>IF($A280="","",C280+E280+G280)</f>
        <v/>
      </c>
      <c r="L280" s="79">
        <f>IF($A280="","",J280+H280)</f>
        <v/>
      </c>
      <c r="M280" s="80">
        <f>IF($A280="","",K280+I280)</f>
        <v/>
      </c>
      <c r="N280" s="77">
        <f>IF($A280="","",SUMIFS($J$5:$J$800,$A$5:$A$800,"&gt;="&amp;DATE(YEAR($A280),MONTH($A280),1),$A$5:$A$800,"&lt;="&amp;$A280)+IF(AND(YEAR($A280)=YEAR(Settings!$B$3),MONTH($A280)=MONTH(Settings!$B$3)),Settings!$B$10,0))</f>
        <v/>
      </c>
      <c r="O280" s="78">
        <f>IF($A280="","",SUMIFS($K$5:$K$800,$A$5:$A$800,"&gt;="&amp;DATE(YEAR($A280),MONTH($A280),1),$A$5:$A$800,"&lt;="&amp;$A280)+IF(AND(YEAR($A280)=YEAR(Settings!$B$3),MONTH($A280)=MONTH(Settings!$B$3)),Settings!$B$11,0))</f>
        <v/>
      </c>
      <c r="P280" s="77">
        <f>IF($A280="","",SUMIFS($H$5:$H$800,$A$5:$A$800,"&gt;="&amp;DATE(YEAR($A280),MONTH($A280),1),$A$5:$A$800,"&lt;="&amp;$A280)+IF(AND(YEAR($A280)=YEAR(Settings!$B$3),MONTH($A280)=MONTH(Settings!$B$3)),Settings!$B$12,0))</f>
        <v/>
      </c>
      <c r="Q280" s="78">
        <f>IF($A280="","",SUMIFS($I$5:$I$800,$A$5:$A$800,"&gt;="&amp;DATE(YEAR($A280),MONTH($A280),1),$A$5:$A$800,"&lt;="&amp;$A280)+IF(AND(YEAR($A280)=YEAR(Settings!$B$3),MONTH($A280)=MONTH(Settings!$B$3)),Settings!$B$13,0))</f>
        <v/>
      </c>
      <c r="R280" s="77">
        <f>IF($A280="","",N280+P280)</f>
        <v/>
      </c>
      <c r="S280" s="78">
        <f>IF($A280="","",O280+Q280)</f>
        <v/>
      </c>
    </row>
    <row r="281">
      <c r="A281" s="67" t="n"/>
      <c r="B281" s="75" t="n"/>
      <c r="C281" s="76" t="n"/>
      <c r="D281" s="75" t="n"/>
      <c r="E281" s="76" t="n"/>
      <c r="F281" s="75" t="n"/>
      <c r="G281" s="76" t="n"/>
      <c r="H281" s="75" t="n"/>
      <c r="I281" s="76" t="n"/>
      <c r="J281" s="77">
        <f>IF($A281="","",B281+D281+F281)</f>
        <v/>
      </c>
      <c r="K281" s="78">
        <f>IF($A281="","",C281+E281+G281)</f>
        <v/>
      </c>
      <c r="L281" s="79">
        <f>IF($A281="","",J281+H281)</f>
        <v/>
      </c>
      <c r="M281" s="80">
        <f>IF($A281="","",K281+I281)</f>
        <v/>
      </c>
      <c r="N281" s="77">
        <f>IF($A281="","",SUMIFS($J$5:$J$800,$A$5:$A$800,"&gt;="&amp;DATE(YEAR($A281),MONTH($A281),1),$A$5:$A$800,"&lt;="&amp;$A281)+IF(AND(YEAR($A281)=YEAR(Settings!$B$3),MONTH($A281)=MONTH(Settings!$B$3)),Settings!$B$10,0))</f>
        <v/>
      </c>
      <c r="O281" s="78">
        <f>IF($A281="","",SUMIFS($K$5:$K$800,$A$5:$A$800,"&gt;="&amp;DATE(YEAR($A281),MONTH($A281),1),$A$5:$A$800,"&lt;="&amp;$A281)+IF(AND(YEAR($A281)=YEAR(Settings!$B$3),MONTH($A281)=MONTH(Settings!$B$3)),Settings!$B$11,0))</f>
        <v/>
      </c>
      <c r="P281" s="77">
        <f>IF($A281="","",SUMIFS($H$5:$H$800,$A$5:$A$800,"&gt;="&amp;DATE(YEAR($A281),MONTH($A281),1),$A$5:$A$800,"&lt;="&amp;$A281)+IF(AND(YEAR($A281)=YEAR(Settings!$B$3),MONTH($A281)=MONTH(Settings!$B$3)),Settings!$B$12,0))</f>
        <v/>
      </c>
      <c r="Q281" s="78">
        <f>IF($A281="","",SUMIFS($I$5:$I$800,$A$5:$A$800,"&gt;="&amp;DATE(YEAR($A281),MONTH($A281),1),$A$5:$A$800,"&lt;="&amp;$A281)+IF(AND(YEAR($A281)=YEAR(Settings!$B$3),MONTH($A281)=MONTH(Settings!$B$3)),Settings!$B$13,0))</f>
        <v/>
      </c>
      <c r="R281" s="77">
        <f>IF($A281="","",N281+P281)</f>
        <v/>
      </c>
      <c r="S281" s="78">
        <f>IF($A281="","",O281+Q281)</f>
        <v/>
      </c>
    </row>
    <row r="282">
      <c r="A282" s="67" t="n"/>
      <c r="B282" s="75" t="n"/>
      <c r="C282" s="76" t="n"/>
      <c r="D282" s="75" t="n"/>
      <c r="E282" s="76" t="n"/>
      <c r="F282" s="75" t="n"/>
      <c r="G282" s="76" t="n"/>
      <c r="H282" s="75" t="n"/>
      <c r="I282" s="76" t="n"/>
      <c r="J282" s="77">
        <f>IF($A282="","",B282+D282+F282)</f>
        <v/>
      </c>
      <c r="K282" s="78">
        <f>IF($A282="","",C282+E282+G282)</f>
        <v/>
      </c>
      <c r="L282" s="79">
        <f>IF($A282="","",J282+H282)</f>
        <v/>
      </c>
      <c r="M282" s="80">
        <f>IF($A282="","",K282+I282)</f>
        <v/>
      </c>
      <c r="N282" s="77">
        <f>IF($A282="","",SUMIFS($J$5:$J$800,$A$5:$A$800,"&gt;="&amp;DATE(YEAR($A282),MONTH($A282),1),$A$5:$A$800,"&lt;="&amp;$A282)+IF(AND(YEAR($A282)=YEAR(Settings!$B$3),MONTH($A282)=MONTH(Settings!$B$3)),Settings!$B$10,0))</f>
        <v/>
      </c>
      <c r="O282" s="78">
        <f>IF($A282="","",SUMIFS($K$5:$K$800,$A$5:$A$800,"&gt;="&amp;DATE(YEAR($A282),MONTH($A282),1),$A$5:$A$800,"&lt;="&amp;$A282)+IF(AND(YEAR($A282)=YEAR(Settings!$B$3),MONTH($A282)=MONTH(Settings!$B$3)),Settings!$B$11,0))</f>
        <v/>
      </c>
      <c r="P282" s="77">
        <f>IF($A282="","",SUMIFS($H$5:$H$800,$A$5:$A$800,"&gt;="&amp;DATE(YEAR($A282),MONTH($A282),1),$A$5:$A$800,"&lt;="&amp;$A282)+IF(AND(YEAR($A282)=YEAR(Settings!$B$3),MONTH($A282)=MONTH(Settings!$B$3)),Settings!$B$12,0))</f>
        <v/>
      </c>
      <c r="Q282" s="78">
        <f>IF($A282="","",SUMIFS($I$5:$I$800,$A$5:$A$800,"&gt;="&amp;DATE(YEAR($A282),MONTH($A282),1),$A$5:$A$800,"&lt;="&amp;$A282)+IF(AND(YEAR($A282)=YEAR(Settings!$B$3),MONTH($A282)=MONTH(Settings!$B$3)),Settings!$B$13,0))</f>
        <v/>
      </c>
      <c r="R282" s="77">
        <f>IF($A282="","",N282+P282)</f>
        <v/>
      </c>
      <c r="S282" s="78">
        <f>IF($A282="","",O282+Q282)</f>
        <v/>
      </c>
    </row>
    <row r="283">
      <c r="A283" s="67" t="n"/>
      <c r="B283" s="75" t="n"/>
      <c r="C283" s="76" t="n"/>
      <c r="D283" s="75" t="n"/>
      <c r="E283" s="76" t="n"/>
      <c r="F283" s="75" t="n"/>
      <c r="G283" s="76" t="n"/>
      <c r="H283" s="75" t="n"/>
      <c r="I283" s="76" t="n"/>
      <c r="J283" s="77">
        <f>IF($A283="","",B283+D283+F283)</f>
        <v/>
      </c>
      <c r="K283" s="78">
        <f>IF($A283="","",C283+E283+G283)</f>
        <v/>
      </c>
      <c r="L283" s="79">
        <f>IF($A283="","",J283+H283)</f>
        <v/>
      </c>
      <c r="M283" s="80">
        <f>IF($A283="","",K283+I283)</f>
        <v/>
      </c>
      <c r="N283" s="77">
        <f>IF($A283="","",SUMIFS($J$5:$J$800,$A$5:$A$800,"&gt;="&amp;DATE(YEAR($A283),MONTH($A283),1),$A$5:$A$800,"&lt;="&amp;$A283)+IF(AND(YEAR($A283)=YEAR(Settings!$B$3),MONTH($A283)=MONTH(Settings!$B$3)),Settings!$B$10,0))</f>
        <v/>
      </c>
      <c r="O283" s="78">
        <f>IF($A283="","",SUMIFS($K$5:$K$800,$A$5:$A$800,"&gt;="&amp;DATE(YEAR($A283),MONTH($A283),1),$A$5:$A$800,"&lt;="&amp;$A283)+IF(AND(YEAR($A283)=YEAR(Settings!$B$3),MONTH($A283)=MONTH(Settings!$B$3)),Settings!$B$11,0))</f>
        <v/>
      </c>
      <c r="P283" s="77">
        <f>IF($A283="","",SUMIFS($H$5:$H$800,$A$5:$A$800,"&gt;="&amp;DATE(YEAR($A283),MONTH($A283),1),$A$5:$A$800,"&lt;="&amp;$A283)+IF(AND(YEAR($A283)=YEAR(Settings!$B$3),MONTH($A283)=MONTH(Settings!$B$3)),Settings!$B$12,0))</f>
        <v/>
      </c>
      <c r="Q283" s="78">
        <f>IF($A283="","",SUMIFS($I$5:$I$800,$A$5:$A$800,"&gt;="&amp;DATE(YEAR($A283),MONTH($A283),1),$A$5:$A$800,"&lt;="&amp;$A283)+IF(AND(YEAR($A283)=YEAR(Settings!$B$3),MONTH($A283)=MONTH(Settings!$B$3)),Settings!$B$13,0))</f>
        <v/>
      </c>
      <c r="R283" s="77">
        <f>IF($A283="","",N283+P283)</f>
        <v/>
      </c>
      <c r="S283" s="78">
        <f>IF($A283="","",O283+Q283)</f>
        <v/>
      </c>
    </row>
    <row r="284">
      <c r="A284" s="67" t="n"/>
      <c r="B284" s="75" t="n"/>
      <c r="C284" s="76" t="n"/>
      <c r="D284" s="75" t="n"/>
      <c r="E284" s="76" t="n"/>
      <c r="F284" s="75" t="n"/>
      <c r="G284" s="76" t="n"/>
      <c r="H284" s="75" t="n"/>
      <c r="I284" s="76" t="n"/>
      <c r="J284" s="77">
        <f>IF($A284="","",B284+D284+F284)</f>
        <v/>
      </c>
      <c r="K284" s="78">
        <f>IF($A284="","",C284+E284+G284)</f>
        <v/>
      </c>
      <c r="L284" s="79">
        <f>IF($A284="","",J284+H284)</f>
        <v/>
      </c>
      <c r="M284" s="80">
        <f>IF($A284="","",K284+I284)</f>
        <v/>
      </c>
      <c r="N284" s="77">
        <f>IF($A284="","",SUMIFS($J$5:$J$800,$A$5:$A$800,"&gt;="&amp;DATE(YEAR($A284),MONTH($A284),1),$A$5:$A$800,"&lt;="&amp;$A284)+IF(AND(YEAR($A284)=YEAR(Settings!$B$3),MONTH($A284)=MONTH(Settings!$B$3)),Settings!$B$10,0))</f>
        <v/>
      </c>
      <c r="O284" s="78">
        <f>IF($A284="","",SUMIFS($K$5:$K$800,$A$5:$A$800,"&gt;="&amp;DATE(YEAR($A284),MONTH($A284),1),$A$5:$A$800,"&lt;="&amp;$A284)+IF(AND(YEAR($A284)=YEAR(Settings!$B$3),MONTH($A284)=MONTH(Settings!$B$3)),Settings!$B$11,0))</f>
        <v/>
      </c>
      <c r="P284" s="77">
        <f>IF($A284="","",SUMIFS($H$5:$H$800,$A$5:$A$800,"&gt;="&amp;DATE(YEAR($A284),MONTH($A284),1),$A$5:$A$800,"&lt;="&amp;$A284)+IF(AND(YEAR($A284)=YEAR(Settings!$B$3),MONTH($A284)=MONTH(Settings!$B$3)),Settings!$B$12,0))</f>
        <v/>
      </c>
      <c r="Q284" s="78">
        <f>IF($A284="","",SUMIFS($I$5:$I$800,$A$5:$A$800,"&gt;="&amp;DATE(YEAR($A284),MONTH($A284),1),$A$5:$A$800,"&lt;="&amp;$A284)+IF(AND(YEAR($A284)=YEAR(Settings!$B$3),MONTH($A284)=MONTH(Settings!$B$3)),Settings!$B$13,0))</f>
        <v/>
      </c>
      <c r="R284" s="77">
        <f>IF($A284="","",N284+P284)</f>
        <v/>
      </c>
      <c r="S284" s="78">
        <f>IF($A284="","",O284+Q284)</f>
        <v/>
      </c>
    </row>
    <row r="285">
      <c r="A285" s="67" t="n"/>
      <c r="B285" s="75" t="n"/>
      <c r="C285" s="76" t="n"/>
      <c r="D285" s="75" t="n"/>
      <c r="E285" s="76" t="n"/>
      <c r="F285" s="75" t="n"/>
      <c r="G285" s="76" t="n"/>
      <c r="H285" s="75" t="n"/>
      <c r="I285" s="76" t="n"/>
      <c r="J285" s="77">
        <f>IF($A285="","",B285+D285+F285)</f>
        <v/>
      </c>
      <c r="K285" s="78">
        <f>IF($A285="","",C285+E285+G285)</f>
        <v/>
      </c>
      <c r="L285" s="79">
        <f>IF($A285="","",J285+H285)</f>
        <v/>
      </c>
      <c r="M285" s="80">
        <f>IF($A285="","",K285+I285)</f>
        <v/>
      </c>
      <c r="N285" s="77">
        <f>IF($A285="","",SUMIFS($J$5:$J$800,$A$5:$A$800,"&gt;="&amp;DATE(YEAR($A285),MONTH($A285),1),$A$5:$A$800,"&lt;="&amp;$A285)+IF(AND(YEAR($A285)=YEAR(Settings!$B$3),MONTH($A285)=MONTH(Settings!$B$3)),Settings!$B$10,0))</f>
        <v/>
      </c>
      <c r="O285" s="78">
        <f>IF($A285="","",SUMIFS($K$5:$K$800,$A$5:$A$800,"&gt;="&amp;DATE(YEAR($A285),MONTH($A285),1),$A$5:$A$800,"&lt;="&amp;$A285)+IF(AND(YEAR($A285)=YEAR(Settings!$B$3),MONTH($A285)=MONTH(Settings!$B$3)),Settings!$B$11,0))</f>
        <v/>
      </c>
      <c r="P285" s="77">
        <f>IF($A285="","",SUMIFS($H$5:$H$800,$A$5:$A$800,"&gt;="&amp;DATE(YEAR($A285),MONTH($A285),1),$A$5:$A$800,"&lt;="&amp;$A285)+IF(AND(YEAR($A285)=YEAR(Settings!$B$3),MONTH($A285)=MONTH(Settings!$B$3)),Settings!$B$12,0))</f>
        <v/>
      </c>
      <c r="Q285" s="78">
        <f>IF($A285="","",SUMIFS($I$5:$I$800,$A$5:$A$800,"&gt;="&amp;DATE(YEAR($A285),MONTH($A285),1),$A$5:$A$800,"&lt;="&amp;$A285)+IF(AND(YEAR($A285)=YEAR(Settings!$B$3),MONTH($A285)=MONTH(Settings!$B$3)),Settings!$B$13,0))</f>
        <v/>
      </c>
      <c r="R285" s="77">
        <f>IF($A285="","",N285+P285)</f>
        <v/>
      </c>
      <c r="S285" s="78">
        <f>IF($A285="","",O285+Q285)</f>
        <v/>
      </c>
    </row>
    <row r="286">
      <c r="A286" s="67" t="n"/>
      <c r="B286" s="75" t="n"/>
      <c r="C286" s="76" t="n"/>
      <c r="D286" s="75" t="n"/>
      <c r="E286" s="76" t="n"/>
      <c r="F286" s="75" t="n"/>
      <c r="G286" s="76" t="n"/>
      <c r="H286" s="75" t="n"/>
      <c r="I286" s="76" t="n"/>
      <c r="J286" s="77">
        <f>IF($A286="","",B286+D286+F286)</f>
        <v/>
      </c>
      <c r="K286" s="78">
        <f>IF($A286="","",C286+E286+G286)</f>
        <v/>
      </c>
      <c r="L286" s="79">
        <f>IF($A286="","",J286+H286)</f>
        <v/>
      </c>
      <c r="M286" s="80">
        <f>IF($A286="","",K286+I286)</f>
        <v/>
      </c>
      <c r="N286" s="77">
        <f>IF($A286="","",SUMIFS($J$5:$J$800,$A$5:$A$800,"&gt;="&amp;DATE(YEAR($A286),MONTH($A286),1),$A$5:$A$800,"&lt;="&amp;$A286)+IF(AND(YEAR($A286)=YEAR(Settings!$B$3),MONTH($A286)=MONTH(Settings!$B$3)),Settings!$B$10,0))</f>
        <v/>
      </c>
      <c r="O286" s="78">
        <f>IF($A286="","",SUMIFS($K$5:$K$800,$A$5:$A$800,"&gt;="&amp;DATE(YEAR($A286),MONTH($A286),1),$A$5:$A$800,"&lt;="&amp;$A286)+IF(AND(YEAR($A286)=YEAR(Settings!$B$3),MONTH($A286)=MONTH(Settings!$B$3)),Settings!$B$11,0))</f>
        <v/>
      </c>
      <c r="P286" s="77">
        <f>IF($A286="","",SUMIFS($H$5:$H$800,$A$5:$A$800,"&gt;="&amp;DATE(YEAR($A286),MONTH($A286),1),$A$5:$A$800,"&lt;="&amp;$A286)+IF(AND(YEAR($A286)=YEAR(Settings!$B$3),MONTH($A286)=MONTH(Settings!$B$3)),Settings!$B$12,0))</f>
        <v/>
      </c>
      <c r="Q286" s="78">
        <f>IF($A286="","",SUMIFS($I$5:$I$800,$A$5:$A$800,"&gt;="&amp;DATE(YEAR($A286),MONTH($A286),1),$A$5:$A$800,"&lt;="&amp;$A286)+IF(AND(YEAR($A286)=YEAR(Settings!$B$3),MONTH($A286)=MONTH(Settings!$B$3)),Settings!$B$13,0))</f>
        <v/>
      </c>
      <c r="R286" s="77">
        <f>IF($A286="","",N286+P286)</f>
        <v/>
      </c>
      <c r="S286" s="78">
        <f>IF($A286="","",O286+Q286)</f>
        <v/>
      </c>
    </row>
    <row r="287">
      <c r="A287" s="67" t="n"/>
      <c r="B287" s="75" t="n"/>
      <c r="C287" s="76" t="n"/>
      <c r="D287" s="75" t="n"/>
      <c r="E287" s="76" t="n"/>
      <c r="F287" s="75" t="n"/>
      <c r="G287" s="76" t="n"/>
      <c r="H287" s="75" t="n"/>
      <c r="I287" s="76" t="n"/>
      <c r="J287" s="77">
        <f>IF($A287="","",B287+D287+F287)</f>
        <v/>
      </c>
      <c r="K287" s="78">
        <f>IF($A287="","",C287+E287+G287)</f>
        <v/>
      </c>
      <c r="L287" s="79">
        <f>IF($A287="","",J287+H287)</f>
        <v/>
      </c>
      <c r="M287" s="80">
        <f>IF($A287="","",K287+I287)</f>
        <v/>
      </c>
      <c r="N287" s="77">
        <f>IF($A287="","",SUMIFS($J$5:$J$800,$A$5:$A$800,"&gt;="&amp;DATE(YEAR($A287),MONTH($A287),1),$A$5:$A$800,"&lt;="&amp;$A287)+IF(AND(YEAR($A287)=YEAR(Settings!$B$3),MONTH($A287)=MONTH(Settings!$B$3)),Settings!$B$10,0))</f>
        <v/>
      </c>
      <c r="O287" s="78">
        <f>IF($A287="","",SUMIFS($K$5:$K$800,$A$5:$A$800,"&gt;="&amp;DATE(YEAR($A287),MONTH($A287),1),$A$5:$A$800,"&lt;="&amp;$A287)+IF(AND(YEAR($A287)=YEAR(Settings!$B$3),MONTH($A287)=MONTH(Settings!$B$3)),Settings!$B$11,0))</f>
        <v/>
      </c>
      <c r="P287" s="77">
        <f>IF($A287="","",SUMIFS($H$5:$H$800,$A$5:$A$800,"&gt;="&amp;DATE(YEAR($A287),MONTH($A287),1),$A$5:$A$800,"&lt;="&amp;$A287)+IF(AND(YEAR($A287)=YEAR(Settings!$B$3),MONTH($A287)=MONTH(Settings!$B$3)),Settings!$B$12,0))</f>
        <v/>
      </c>
      <c r="Q287" s="78">
        <f>IF($A287="","",SUMIFS($I$5:$I$800,$A$5:$A$800,"&gt;="&amp;DATE(YEAR($A287),MONTH($A287),1),$A$5:$A$800,"&lt;="&amp;$A287)+IF(AND(YEAR($A287)=YEAR(Settings!$B$3),MONTH($A287)=MONTH(Settings!$B$3)),Settings!$B$13,0))</f>
        <v/>
      </c>
      <c r="R287" s="77">
        <f>IF($A287="","",N287+P287)</f>
        <v/>
      </c>
      <c r="S287" s="78">
        <f>IF($A287="","",O287+Q287)</f>
        <v/>
      </c>
    </row>
    <row r="288">
      <c r="A288" s="67" t="n"/>
      <c r="B288" s="75" t="n"/>
      <c r="C288" s="76" t="n"/>
      <c r="D288" s="75" t="n"/>
      <c r="E288" s="76" t="n"/>
      <c r="F288" s="75" t="n"/>
      <c r="G288" s="76" t="n"/>
      <c r="H288" s="75" t="n"/>
      <c r="I288" s="76" t="n"/>
      <c r="J288" s="77">
        <f>IF($A288="","",B288+D288+F288)</f>
        <v/>
      </c>
      <c r="K288" s="78">
        <f>IF($A288="","",C288+E288+G288)</f>
        <v/>
      </c>
      <c r="L288" s="79">
        <f>IF($A288="","",J288+H288)</f>
        <v/>
      </c>
      <c r="M288" s="80">
        <f>IF($A288="","",K288+I288)</f>
        <v/>
      </c>
      <c r="N288" s="77">
        <f>IF($A288="","",SUMIFS($J$5:$J$800,$A$5:$A$800,"&gt;="&amp;DATE(YEAR($A288),MONTH($A288),1),$A$5:$A$800,"&lt;="&amp;$A288)+IF(AND(YEAR($A288)=YEAR(Settings!$B$3),MONTH($A288)=MONTH(Settings!$B$3)),Settings!$B$10,0))</f>
        <v/>
      </c>
      <c r="O288" s="78">
        <f>IF($A288="","",SUMIFS($K$5:$K$800,$A$5:$A$800,"&gt;="&amp;DATE(YEAR($A288),MONTH($A288),1),$A$5:$A$800,"&lt;="&amp;$A288)+IF(AND(YEAR($A288)=YEAR(Settings!$B$3),MONTH($A288)=MONTH(Settings!$B$3)),Settings!$B$11,0))</f>
        <v/>
      </c>
      <c r="P288" s="77">
        <f>IF($A288="","",SUMIFS($H$5:$H$800,$A$5:$A$800,"&gt;="&amp;DATE(YEAR($A288),MONTH($A288),1),$A$5:$A$800,"&lt;="&amp;$A288)+IF(AND(YEAR($A288)=YEAR(Settings!$B$3),MONTH($A288)=MONTH(Settings!$B$3)),Settings!$B$12,0))</f>
        <v/>
      </c>
      <c r="Q288" s="78">
        <f>IF($A288="","",SUMIFS($I$5:$I$800,$A$5:$A$800,"&gt;="&amp;DATE(YEAR($A288),MONTH($A288),1),$A$5:$A$800,"&lt;="&amp;$A288)+IF(AND(YEAR($A288)=YEAR(Settings!$B$3),MONTH($A288)=MONTH(Settings!$B$3)),Settings!$B$13,0))</f>
        <v/>
      </c>
      <c r="R288" s="77">
        <f>IF($A288="","",N288+P288)</f>
        <v/>
      </c>
      <c r="S288" s="78">
        <f>IF($A288="","",O288+Q288)</f>
        <v/>
      </c>
    </row>
    <row r="289">
      <c r="A289" s="67" t="n"/>
      <c r="B289" s="75" t="n"/>
      <c r="C289" s="76" t="n"/>
      <c r="D289" s="75" t="n"/>
      <c r="E289" s="76" t="n"/>
      <c r="F289" s="75" t="n"/>
      <c r="G289" s="76" t="n"/>
      <c r="H289" s="75" t="n"/>
      <c r="I289" s="76" t="n"/>
      <c r="J289" s="77">
        <f>IF($A289="","",B289+D289+F289)</f>
        <v/>
      </c>
      <c r="K289" s="78">
        <f>IF($A289="","",C289+E289+G289)</f>
        <v/>
      </c>
      <c r="L289" s="79">
        <f>IF($A289="","",J289+H289)</f>
        <v/>
      </c>
      <c r="M289" s="80">
        <f>IF($A289="","",K289+I289)</f>
        <v/>
      </c>
      <c r="N289" s="77">
        <f>IF($A289="","",SUMIFS($J$5:$J$800,$A$5:$A$800,"&gt;="&amp;DATE(YEAR($A289),MONTH($A289),1),$A$5:$A$800,"&lt;="&amp;$A289)+IF(AND(YEAR($A289)=YEAR(Settings!$B$3),MONTH($A289)=MONTH(Settings!$B$3)),Settings!$B$10,0))</f>
        <v/>
      </c>
      <c r="O289" s="78">
        <f>IF($A289="","",SUMIFS($K$5:$K$800,$A$5:$A$800,"&gt;="&amp;DATE(YEAR($A289),MONTH($A289),1),$A$5:$A$800,"&lt;="&amp;$A289)+IF(AND(YEAR($A289)=YEAR(Settings!$B$3),MONTH($A289)=MONTH(Settings!$B$3)),Settings!$B$11,0))</f>
        <v/>
      </c>
      <c r="P289" s="77">
        <f>IF($A289="","",SUMIFS($H$5:$H$800,$A$5:$A$800,"&gt;="&amp;DATE(YEAR($A289),MONTH($A289),1),$A$5:$A$800,"&lt;="&amp;$A289)+IF(AND(YEAR($A289)=YEAR(Settings!$B$3),MONTH($A289)=MONTH(Settings!$B$3)),Settings!$B$12,0))</f>
        <v/>
      </c>
      <c r="Q289" s="78">
        <f>IF($A289="","",SUMIFS($I$5:$I$800,$A$5:$A$800,"&gt;="&amp;DATE(YEAR($A289),MONTH($A289),1),$A$5:$A$800,"&lt;="&amp;$A289)+IF(AND(YEAR($A289)=YEAR(Settings!$B$3),MONTH($A289)=MONTH(Settings!$B$3)),Settings!$B$13,0))</f>
        <v/>
      </c>
      <c r="R289" s="77">
        <f>IF($A289="","",N289+P289)</f>
        <v/>
      </c>
      <c r="S289" s="78">
        <f>IF($A289="","",O289+Q289)</f>
        <v/>
      </c>
    </row>
    <row r="290">
      <c r="A290" s="67" t="n"/>
      <c r="B290" s="75" t="n"/>
      <c r="C290" s="76" t="n"/>
      <c r="D290" s="75" t="n"/>
      <c r="E290" s="76" t="n"/>
      <c r="F290" s="75" t="n"/>
      <c r="G290" s="76" t="n"/>
      <c r="H290" s="75" t="n"/>
      <c r="I290" s="76" t="n"/>
      <c r="J290" s="77">
        <f>IF($A290="","",B290+D290+F290)</f>
        <v/>
      </c>
      <c r="K290" s="78">
        <f>IF($A290="","",C290+E290+G290)</f>
        <v/>
      </c>
      <c r="L290" s="79">
        <f>IF($A290="","",J290+H290)</f>
        <v/>
      </c>
      <c r="M290" s="80">
        <f>IF($A290="","",K290+I290)</f>
        <v/>
      </c>
      <c r="N290" s="77">
        <f>IF($A290="","",SUMIFS($J$5:$J$800,$A$5:$A$800,"&gt;="&amp;DATE(YEAR($A290),MONTH($A290),1),$A$5:$A$800,"&lt;="&amp;$A290)+IF(AND(YEAR($A290)=YEAR(Settings!$B$3),MONTH($A290)=MONTH(Settings!$B$3)),Settings!$B$10,0))</f>
        <v/>
      </c>
      <c r="O290" s="78">
        <f>IF($A290="","",SUMIFS($K$5:$K$800,$A$5:$A$800,"&gt;="&amp;DATE(YEAR($A290),MONTH($A290),1),$A$5:$A$800,"&lt;="&amp;$A290)+IF(AND(YEAR($A290)=YEAR(Settings!$B$3),MONTH($A290)=MONTH(Settings!$B$3)),Settings!$B$11,0))</f>
        <v/>
      </c>
      <c r="P290" s="77">
        <f>IF($A290="","",SUMIFS($H$5:$H$800,$A$5:$A$800,"&gt;="&amp;DATE(YEAR($A290),MONTH($A290),1),$A$5:$A$800,"&lt;="&amp;$A290)+IF(AND(YEAR($A290)=YEAR(Settings!$B$3),MONTH($A290)=MONTH(Settings!$B$3)),Settings!$B$12,0))</f>
        <v/>
      </c>
      <c r="Q290" s="78">
        <f>IF($A290="","",SUMIFS($I$5:$I$800,$A$5:$A$800,"&gt;="&amp;DATE(YEAR($A290),MONTH($A290),1),$A$5:$A$800,"&lt;="&amp;$A290)+IF(AND(YEAR($A290)=YEAR(Settings!$B$3),MONTH($A290)=MONTH(Settings!$B$3)),Settings!$B$13,0))</f>
        <v/>
      </c>
      <c r="R290" s="77">
        <f>IF($A290="","",N290+P290)</f>
        <v/>
      </c>
      <c r="S290" s="78">
        <f>IF($A290="","",O290+Q290)</f>
        <v/>
      </c>
    </row>
    <row r="291">
      <c r="A291" s="67" t="n"/>
      <c r="B291" s="75" t="n"/>
      <c r="C291" s="76" t="n"/>
      <c r="D291" s="75" t="n"/>
      <c r="E291" s="76" t="n"/>
      <c r="F291" s="75" t="n"/>
      <c r="G291" s="76" t="n"/>
      <c r="H291" s="75" t="n"/>
      <c r="I291" s="76" t="n"/>
      <c r="J291" s="77">
        <f>IF($A291="","",B291+D291+F291)</f>
        <v/>
      </c>
      <c r="K291" s="78">
        <f>IF($A291="","",C291+E291+G291)</f>
        <v/>
      </c>
      <c r="L291" s="79">
        <f>IF($A291="","",J291+H291)</f>
        <v/>
      </c>
      <c r="M291" s="80">
        <f>IF($A291="","",K291+I291)</f>
        <v/>
      </c>
      <c r="N291" s="77">
        <f>IF($A291="","",SUMIFS($J$5:$J$800,$A$5:$A$800,"&gt;="&amp;DATE(YEAR($A291),MONTH($A291),1),$A$5:$A$800,"&lt;="&amp;$A291)+IF(AND(YEAR($A291)=YEAR(Settings!$B$3),MONTH($A291)=MONTH(Settings!$B$3)),Settings!$B$10,0))</f>
        <v/>
      </c>
      <c r="O291" s="78">
        <f>IF($A291="","",SUMIFS($K$5:$K$800,$A$5:$A$800,"&gt;="&amp;DATE(YEAR($A291),MONTH($A291),1),$A$5:$A$800,"&lt;="&amp;$A291)+IF(AND(YEAR($A291)=YEAR(Settings!$B$3),MONTH($A291)=MONTH(Settings!$B$3)),Settings!$B$11,0))</f>
        <v/>
      </c>
      <c r="P291" s="77">
        <f>IF($A291="","",SUMIFS($H$5:$H$800,$A$5:$A$800,"&gt;="&amp;DATE(YEAR($A291),MONTH($A291),1),$A$5:$A$800,"&lt;="&amp;$A291)+IF(AND(YEAR($A291)=YEAR(Settings!$B$3),MONTH($A291)=MONTH(Settings!$B$3)),Settings!$B$12,0))</f>
        <v/>
      </c>
      <c r="Q291" s="78">
        <f>IF($A291="","",SUMIFS($I$5:$I$800,$A$5:$A$800,"&gt;="&amp;DATE(YEAR($A291),MONTH($A291),1),$A$5:$A$800,"&lt;="&amp;$A291)+IF(AND(YEAR($A291)=YEAR(Settings!$B$3),MONTH($A291)=MONTH(Settings!$B$3)),Settings!$B$13,0))</f>
        <v/>
      </c>
      <c r="R291" s="77">
        <f>IF($A291="","",N291+P291)</f>
        <v/>
      </c>
      <c r="S291" s="78">
        <f>IF($A291="","",O291+Q291)</f>
        <v/>
      </c>
    </row>
    <row r="292">
      <c r="A292" s="67" t="n"/>
      <c r="B292" s="75" t="n"/>
      <c r="C292" s="76" t="n"/>
      <c r="D292" s="75" t="n"/>
      <c r="E292" s="76" t="n"/>
      <c r="F292" s="75" t="n"/>
      <c r="G292" s="76" t="n"/>
      <c r="H292" s="75" t="n"/>
      <c r="I292" s="76" t="n"/>
      <c r="J292" s="77">
        <f>IF($A292="","",B292+D292+F292)</f>
        <v/>
      </c>
      <c r="K292" s="78">
        <f>IF($A292="","",C292+E292+G292)</f>
        <v/>
      </c>
      <c r="L292" s="79">
        <f>IF($A292="","",J292+H292)</f>
        <v/>
      </c>
      <c r="M292" s="80">
        <f>IF($A292="","",K292+I292)</f>
        <v/>
      </c>
      <c r="N292" s="77">
        <f>IF($A292="","",SUMIFS($J$5:$J$800,$A$5:$A$800,"&gt;="&amp;DATE(YEAR($A292),MONTH($A292),1),$A$5:$A$800,"&lt;="&amp;$A292)+IF(AND(YEAR($A292)=YEAR(Settings!$B$3),MONTH($A292)=MONTH(Settings!$B$3)),Settings!$B$10,0))</f>
        <v/>
      </c>
      <c r="O292" s="78">
        <f>IF($A292="","",SUMIFS($K$5:$K$800,$A$5:$A$800,"&gt;="&amp;DATE(YEAR($A292),MONTH($A292),1),$A$5:$A$800,"&lt;="&amp;$A292)+IF(AND(YEAR($A292)=YEAR(Settings!$B$3),MONTH($A292)=MONTH(Settings!$B$3)),Settings!$B$11,0))</f>
        <v/>
      </c>
      <c r="P292" s="77">
        <f>IF($A292="","",SUMIFS($H$5:$H$800,$A$5:$A$800,"&gt;="&amp;DATE(YEAR($A292),MONTH($A292),1),$A$5:$A$800,"&lt;="&amp;$A292)+IF(AND(YEAR($A292)=YEAR(Settings!$B$3),MONTH($A292)=MONTH(Settings!$B$3)),Settings!$B$12,0))</f>
        <v/>
      </c>
      <c r="Q292" s="78">
        <f>IF($A292="","",SUMIFS($I$5:$I$800,$A$5:$A$800,"&gt;="&amp;DATE(YEAR($A292),MONTH($A292),1),$A$5:$A$800,"&lt;="&amp;$A292)+IF(AND(YEAR($A292)=YEAR(Settings!$B$3),MONTH($A292)=MONTH(Settings!$B$3)),Settings!$B$13,0))</f>
        <v/>
      </c>
      <c r="R292" s="77">
        <f>IF($A292="","",N292+P292)</f>
        <v/>
      </c>
      <c r="S292" s="78">
        <f>IF($A292="","",O292+Q292)</f>
        <v/>
      </c>
    </row>
    <row r="293">
      <c r="A293" s="67" t="n"/>
      <c r="B293" s="75" t="n"/>
      <c r="C293" s="76" t="n"/>
      <c r="D293" s="75" t="n"/>
      <c r="E293" s="76" t="n"/>
      <c r="F293" s="75" t="n"/>
      <c r="G293" s="76" t="n"/>
      <c r="H293" s="75" t="n"/>
      <c r="I293" s="76" t="n"/>
      <c r="J293" s="77">
        <f>IF($A293="","",B293+D293+F293)</f>
        <v/>
      </c>
      <c r="K293" s="78">
        <f>IF($A293="","",C293+E293+G293)</f>
        <v/>
      </c>
      <c r="L293" s="79">
        <f>IF($A293="","",J293+H293)</f>
        <v/>
      </c>
      <c r="M293" s="80">
        <f>IF($A293="","",K293+I293)</f>
        <v/>
      </c>
      <c r="N293" s="77">
        <f>IF($A293="","",SUMIFS($J$5:$J$800,$A$5:$A$800,"&gt;="&amp;DATE(YEAR($A293),MONTH($A293),1),$A$5:$A$800,"&lt;="&amp;$A293)+IF(AND(YEAR($A293)=YEAR(Settings!$B$3),MONTH($A293)=MONTH(Settings!$B$3)),Settings!$B$10,0))</f>
        <v/>
      </c>
      <c r="O293" s="78">
        <f>IF($A293="","",SUMIFS($K$5:$K$800,$A$5:$A$800,"&gt;="&amp;DATE(YEAR($A293),MONTH($A293),1),$A$5:$A$800,"&lt;="&amp;$A293)+IF(AND(YEAR($A293)=YEAR(Settings!$B$3),MONTH($A293)=MONTH(Settings!$B$3)),Settings!$B$11,0))</f>
        <v/>
      </c>
      <c r="P293" s="77">
        <f>IF($A293="","",SUMIFS($H$5:$H$800,$A$5:$A$800,"&gt;="&amp;DATE(YEAR($A293),MONTH($A293),1),$A$5:$A$800,"&lt;="&amp;$A293)+IF(AND(YEAR($A293)=YEAR(Settings!$B$3),MONTH($A293)=MONTH(Settings!$B$3)),Settings!$B$12,0))</f>
        <v/>
      </c>
      <c r="Q293" s="78">
        <f>IF($A293="","",SUMIFS($I$5:$I$800,$A$5:$A$800,"&gt;="&amp;DATE(YEAR($A293),MONTH($A293),1),$A$5:$A$800,"&lt;="&amp;$A293)+IF(AND(YEAR($A293)=YEAR(Settings!$B$3),MONTH($A293)=MONTH(Settings!$B$3)),Settings!$B$13,0))</f>
        <v/>
      </c>
      <c r="R293" s="77">
        <f>IF($A293="","",N293+P293)</f>
        <v/>
      </c>
      <c r="S293" s="78">
        <f>IF($A293="","",O293+Q293)</f>
        <v/>
      </c>
    </row>
    <row r="294">
      <c r="A294" s="67" t="n"/>
      <c r="B294" s="75" t="n"/>
      <c r="C294" s="76" t="n"/>
      <c r="D294" s="75" t="n"/>
      <c r="E294" s="76" t="n"/>
      <c r="F294" s="75" t="n"/>
      <c r="G294" s="76" t="n"/>
      <c r="H294" s="75" t="n"/>
      <c r="I294" s="76" t="n"/>
      <c r="J294" s="77">
        <f>IF($A294="","",B294+D294+F294)</f>
        <v/>
      </c>
      <c r="K294" s="78">
        <f>IF($A294="","",C294+E294+G294)</f>
        <v/>
      </c>
      <c r="L294" s="79">
        <f>IF($A294="","",J294+H294)</f>
        <v/>
      </c>
      <c r="M294" s="80">
        <f>IF($A294="","",K294+I294)</f>
        <v/>
      </c>
      <c r="N294" s="77">
        <f>IF($A294="","",SUMIFS($J$5:$J$800,$A$5:$A$800,"&gt;="&amp;DATE(YEAR($A294),MONTH($A294),1),$A$5:$A$800,"&lt;="&amp;$A294)+IF(AND(YEAR($A294)=YEAR(Settings!$B$3),MONTH($A294)=MONTH(Settings!$B$3)),Settings!$B$10,0))</f>
        <v/>
      </c>
      <c r="O294" s="78">
        <f>IF($A294="","",SUMIFS($K$5:$K$800,$A$5:$A$800,"&gt;="&amp;DATE(YEAR($A294),MONTH($A294),1),$A$5:$A$800,"&lt;="&amp;$A294)+IF(AND(YEAR($A294)=YEAR(Settings!$B$3),MONTH($A294)=MONTH(Settings!$B$3)),Settings!$B$11,0))</f>
        <v/>
      </c>
      <c r="P294" s="77">
        <f>IF($A294="","",SUMIFS($H$5:$H$800,$A$5:$A$800,"&gt;="&amp;DATE(YEAR($A294),MONTH($A294),1),$A$5:$A$800,"&lt;="&amp;$A294)+IF(AND(YEAR($A294)=YEAR(Settings!$B$3),MONTH($A294)=MONTH(Settings!$B$3)),Settings!$B$12,0))</f>
        <v/>
      </c>
      <c r="Q294" s="78">
        <f>IF($A294="","",SUMIFS($I$5:$I$800,$A$5:$A$800,"&gt;="&amp;DATE(YEAR($A294),MONTH($A294),1),$A$5:$A$800,"&lt;="&amp;$A294)+IF(AND(YEAR($A294)=YEAR(Settings!$B$3),MONTH($A294)=MONTH(Settings!$B$3)),Settings!$B$13,0))</f>
        <v/>
      </c>
      <c r="R294" s="77">
        <f>IF($A294="","",N294+P294)</f>
        <v/>
      </c>
      <c r="S294" s="78">
        <f>IF($A294="","",O294+Q294)</f>
        <v/>
      </c>
    </row>
    <row r="295">
      <c r="A295" s="67" t="n"/>
      <c r="B295" s="75" t="n"/>
      <c r="C295" s="76" t="n"/>
      <c r="D295" s="75" t="n"/>
      <c r="E295" s="76" t="n"/>
      <c r="F295" s="75" t="n"/>
      <c r="G295" s="76" t="n"/>
      <c r="H295" s="75" t="n"/>
      <c r="I295" s="76" t="n"/>
      <c r="J295" s="77">
        <f>IF($A295="","",B295+D295+F295)</f>
        <v/>
      </c>
      <c r="K295" s="78">
        <f>IF($A295="","",C295+E295+G295)</f>
        <v/>
      </c>
      <c r="L295" s="79">
        <f>IF($A295="","",J295+H295)</f>
        <v/>
      </c>
      <c r="M295" s="80">
        <f>IF($A295="","",K295+I295)</f>
        <v/>
      </c>
      <c r="N295" s="77">
        <f>IF($A295="","",SUMIFS($J$5:$J$800,$A$5:$A$800,"&gt;="&amp;DATE(YEAR($A295),MONTH($A295),1),$A$5:$A$800,"&lt;="&amp;$A295)+IF(AND(YEAR($A295)=YEAR(Settings!$B$3),MONTH($A295)=MONTH(Settings!$B$3)),Settings!$B$10,0))</f>
        <v/>
      </c>
      <c r="O295" s="78">
        <f>IF($A295="","",SUMIFS($K$5:$K$800,$A$5:$A$800,"&gt;="&amp;DATE(YEAR($A295),MONTH($A295),1),$A$5:$A$800,"&lt;="&amp;$A295)+IF(AND(YEAR($A295)=YEAR(Settings!$B$3),MONTH($A295)=MONTH(Settings!$B$3)),Settings!$B$11,0))</f>
        <v/>
      </c>
      <c r="P295" s="77">
        <f>IF($A295="","",SUMIFS($H$5:$H$800,$A$5:$A$800,"&gt;="&amp;DATE(YEAR($A295),MONTH($A295),1),$A$5:$A$800,"&lt;="&amp;$A295)+IF(AND(YEAR($A295)=YEAR(Settings!$B$3),MONTH($A295)=MONTH(Settings!$B$3)),Settings!$B$12,0))</f>
        <v/>
      </c>
      <c r="Q295" s="78">
        <f>IF($A295="","",SUMIFS($I$5:$I$800,$A$5:$A$800,"&gt;="&amp;DATE(YEAR($A295),MONTH($A295),1),$A$5:$A$800,"&lt;="&amp;$A295)+IF(AND(YEAR($A295)=YEAR(Settings!$B$3),MONTH($A295)=MONTH(Settings!$B$3)),Settings!$B$13,0))</f>
        <v/>
      </c>
      <c r="R295" s="77">
        <f>IF($A295="","",N295+P295)</f>
        <v/>
      </c>
      <c r="S295" s="78">
        <f>IF($A295="","",O295+Q295)</f>
        <v/>
      </c>
    </row>
    <row r="296">
      <c r="A296" s="67" t="n"/>
      <c r="B296" s="75" t="n"/>
      <c r="C296" s="76" t="n"/>
      <c r="D296" s="75" t="n"/>
      <c r="E296" s="76" t="n"/>
      <c r="F296" s="75" t="n"/>
      <c r="G296" s="76" t="n"/>
      <c r="H296" s="75" t="n"/>
      <c r="I296" s="76" t="n"/>
      <c r="J296" s="77">
        <f>IF($A296="","",B296+D296+F296)</f>
        <v/>
      </c>
      <c r="K296" s="78">
        <f>IF($A296="","",C296+E296+G296)</f>
        <v/>
      </c>
      <c r="L296" s="79">
        <f>IF($A296="","",J296+H296)</f>
        <v/>
      </c>
      <c r="M296" s="80">
        <f>IF($A296="","",K296+I296)</f>
        <v/>
      </c>
      <c r="N296" s="77">
        <f>IF($A296="","",SUMIFS($J$5:$J$800,$A$5:$A$800,"&gt;="&amp;DATE(YEAR($A296),MONTH($A296),1),$A$5:$A$800,"&lt;="&amp;$A296)+IF(AND(YEAR($A296)=YEAR(Settings!$B$3),MONTH($A296)=MONTH(Settings!$B$3)),Settings!$B$10,0))</f>
        <v/>
      </c>
      <c r="O296" s="78">
        <f>IF($A296="","",SUMIFS($K$5:$K$800,$A$5:$A$800,"&gt;="&amp;DATE(YEAR($A296),MONTH($A296),1),$A$5:$A$800,"&lt;="&amp;$A296)+IF(AND(YEAR($A296)=YEAR(Settings!$B$3),MONTH($A296)=MONTH(Settings!$B$3)),Settings!$B$11,0))</f>
        <v/>
      </c>
      <c r="P296" s="77">
        <f>IF($A296="","",SUMIFS($H$5:$H$800,$A$5:$A$800,"&gt;="&amp;DATE(YEAR($A296),MONTH($A296),1),$A$5:$A$800,"&lt;="&amp;$A296)+IF(AND(YEAR($A296)=YEAR(Settings!$B$3),MONTH($A296)=MONTH(Settings!$B$3)),Settings!$B$12,0))</f>
        <v/>
      </c>
      <c r="Q296" s="78">
        <f>IF($A296="","",SUMIFS($I$5:$I$800,$A$5:$A$800,"&gt;="&amp;DATE(YEAR($A296),MONTH($A296),1),$A$5:$A$800,"&lt;="&amp;$A296)+IF(AND(YEAR($A296)=YEAR(Settings!$B$3),MONTH($A296)=MONTH(Settings!$B$3)),Settings!$B$13,0))</f>
        <v/>
      </c>
      <c r="R296" s="77">
        <f>IF($A296="","",N296+P296)</f>
        <v/>
      </c>
      <c r="S296" s="78">
        <f>IF($A296="","",O296+Q296)</f>
        <v/>
      </c>
    </row>
    <row r="297">
      <c r="A297" s="67" t="n"/>
      <c r="B297" s="75" t="n"/>
      <c r="C297" s="76" t="n"/>
      <c r="D297" s="75" t="n"/>
      <c r="E297" s="76" t="n"/>
      <c r="F297" s="75" t="n"/>
      <c r="G297" s="76" t="n"/>
      <c r="H297" s="75" t="n"/>
      <c r="I297" s="76" t="n"/>
      <c r="J297" s="77">
        <f>IF($A297="","",B297+D297+F297)</f>
        <v/>
      </c>
      <c r="K297" s="78">
        <f>IF($A297="","",C297+E297+G297)</f>
        <v/>
      </c>
      <c r="L297" s="79">
        <f>IF($A297="","",J297+H297)</f>
        <v/>
      </c>
      <c r="M297" s="80">
        <f>IF($A297="","",K297+I297)</f>
        <v/>
      </c>
      <c r="N297" s="77">
        <f>IF($A297="","",SUMIFS($J$5:$J$800,$A$5:$A$800,"&gt;="&amp;DATE(YEAR($A297),MONTH($A297),1),$A$5:$A$800,"&lt;="&amp;$A297)+IF(AND(YEAR($A297)=YEAR(Settings!$B$3),MONTH($A297)=MONTH(Settings!$B$3)),Settings!$B$10,0))</f>
        <v/>
      </c>
      <c r="O297" s="78">
        <f>IF($A297="","",SUMIFS($K$5:$K$800,$A$5:$A$800,"&gt;="&amp;DATE(YEAR($A297),MONTH($A297),1),$A$5:$A$800,"&lt;="&amp;$A297)+IF(AND(YEAR($A297)=YEAR(Settings!$B$3),MONTH($A297)=MONTH(Settings!$B$3)),Settings!$B$11,0))</f>
        <v/>
      </c>
      <c r="P297" s="77">
        <f>IF($A297="","",SUMIFS($H$5:$H$800,$A$5:$A$800,"&gt;="&amp;DATE(YEAR($A297),MONTH($A297),1),$A$5:$A$800,"&lt;="&amp;$A297)+IF(AND(YEAR($A297)=YEAR(Settings!$B$3),MONTH($A297)=MONTH(Settings!$B$3)),Settings!$B$12,0))</f>
        <v/>
      </c>
      <c r="Q297" s="78">
        <f>IF($A297="","",SUMIFS($I$5:$I$800,$A$5:$A$800,"&gt;="&amp;DATE(YEAR($A297),MONTH($A297),1),$A$5:$A$800,"&lt;="&amp;$A297)+IF(AND(YEAR($A297)=YEAR(Settings!$B$3),MONTH($A297)=MONTH(Settings!$B$3)),Settings!$B$13,0))</f>
        <v/>
      </c>
      <c r="R297" s="77">
        <f>IF($A297="","",N297+P297)</f>
        <v/>
      </c>
      <c r="S297" s="78">
        <f>IF($A297="","",O297+Q297)</f>
        <v/>
      </c>
    </row>
    <row r="298">
      <c r="A298" s="67" t="n"/>
      <c r="B298" s="75" t="n"/>
      <c r="C298" s="76" t="n"/>
      <c r="D298" s="75" t="n"/>
      <c r="E298" s="76" t="n"/>
      <c r="F298" s="75" t="n"/>
      <c r="G298" s="76" t="n"/>
      <c r="H298" s="75" t="n"/>
      <c r="I298" s="76" t="n"/>
      <c r="J298" s="77">
        <f>IF($A298="","",B298+D298+F298)</f>
        <v/>
      </c>
      <c r="K298" s="78">
        <f>IF($A298="","",C298+E298+G298)</f>
        <v/>
      </c>
      <c r="L298" s="79">
        <f>IF($A298="","",J298+H298)</f>
        <v/>
      </c>
      <c r="M298" s="80">
        <f>IF($A298="","",K298+I298)</f>
        <v/>
      </c>
      <c r="N298" s="77">
        <f>IF($A298="","",SUMIFS($J$5:$J$800,$A$5:$A$800,"&gt;="&amp;DATE(YEAR($A298),MONTH($A298),1),$A$5:$A$800,"&lt;="&amp;$A298)+IF(AND(YEAR($A298)=YEAR(Settings!$B$3),MONTH($A298)=MONTH(Settings!$B$3)),Settings!$B$10,0))</f>
        <v/>
      </c>
      <c r="O298" s="78">
        <f>IF($A298="","",SUMIFS($K$5:$K$800,$A$5:$A$800,"&gt;="&amp;DATE(YEAR($A298),MONTH($A298),1),$A$5:$A$800,"&lt;="&amp;$A298)+IF(AND(YEAR($A298)=YEAR(Settings!$B$3),MONTH($A298)=MONTH(Settings!$B$3)),Settings!$B$11,0))</f>
        <v/>
      </c>
      <c r="P298" s="77">
        <f>IF($A298="","",SUMIFS($H$5:$H$800,$A$5:$A$800,"&gt;="&amp;DATE(YEAR($A298),MONTH($A298),1),$A$5:$A$800,"&lt;="&amp;$A298)+IF(AND(YEAR($A298)=YEAR(Settings!$B$3),MONTH($A298)=MONTH(Settings!$B$3)),Settings!$B$12,0))</f>
        <v/>
      </c>
      <c r="Q298" s="78">
        <f>IF($A298="","",SUMIFS($I$5:$I$800,$A$5:$A$800,"&gt;="&amp;DATE(YEAR($A298),MONTH($A298),1),$A$5:$A$800,"&lt;="&amp;$A298)+IF(AND(YEAR($A298)=YEAR(Settings!$B$3),MONTH($A298)=MONTH(Settings!$B$3)),Settings!$B$13,0))</f>
        <v/>
      </c>
      <c r="R298" s="77">
        <f>IF($A298="","",N298+P298)</f>
        <v/>
      </c>
      <c r="S298" s="78">
        <f>IF($A298="","",O298+Q298)</f>
        <v/>
      </c>
    </row>
    <row r="299">
      <c r="A299" s="67" t="n"/>
      <c r="B299" s="75" t="n"/>
      <c r="C299" s="76" t="n"/>
      <c r="D299" s="75" t="n"/>
      <c r="E299" s="76" t="n"/>
      <c r="F299" s="75" t="n"/>
      <c r="G299" s="76" t="n"/>
      <c r="H299" s="75" t="n"/>
      <c r="I299" s="76" t="n"/>
      <c r="J299" s="77">
        <f>IF($A299="","",B299+D299+F299)</f>
        <v/>
      </c>
      <c r="K299" s="78">
        <f>IF($A299="","",C299+E299+G299)</f>
        <v/>
      </c>
      <c r="L299" s="79">
        <f>IF($A299="","",J299+H299)</f>
        <v/>
      </c>
      <c r="M299" s="80">
        <f>IF($A299="","",K299+I299)</f>
        <v/>
      </c>
      <c r="N299" s="77">
        <f>IF($A299="","",SUMIFS($J$5:$J$800,$A$5:$A$800,"&gt;="&amp;DATE(YEAR($A299),MONTH($A299),1),$A$5:$A$800,"&lt;="&amp;$A299)+IF(AND(YEAR($A299)=YEAR(Settings!$B$3),MONTH($A299)=MONTH(Settings!$B$3)),Settings!$B$10,0))</f>
        <v/>
      </c>
      <c r="O299" s="78">
        <f>IF($A299="","",SUMIFS($K$5:$K$800,$A$5:$A$800,"&gt;="&amp;DATE(YEAR($A299),MONTH($A299),1),$A$5:$A$800,"&lt;="&amp;$A299)+IF(AND(YEAR($A299)=YEAR(Settings!$B$3),MONTH($A299)=MONTH(Settings!$B$3)),Settings!$B$11,0))</f>
        <v/>
      </c>
      <c r="P299" s="77">
        <f>IF($A299="","",SUMIFS($H$5:$H$800,$A$5:$A$800,"&gt;="&amp;DATE(YEAR($A299),MONTH($A299),1),$A$5:$A$800,"&lt;="&amp;$A299)+IF(AND(YEAR($A299)=YEAR(Settings!$B$3),MONTH($A299)=MONTH(Settings!$B$3)),Settings!$B$12,0))</f>
        <v/>
      </c>
      <c r="Q299" s="78">
        <f>IF($A299="","",SUMIFS($I$5:$I$800,$A$5:$A$800,"&gt;="&amp;DATE(YEAR($A299),MONTH($A299),1),$A$5:$A$800,"&lt;="&amp;$A299)+IF(AND(YEAR($A299)=YEAR(Settings!$B$3),MONTH($A299)=MONTH(Settings!$B$3)),Settings!$B$13,0))</f>
        <v/>
      </c>
      <c r="R299" s="77">
        <f>IF($A299="","",N299+P299)</f>
        <v/>
      </c>
      <c r="S299" s="78">
        <f>IF($A299="","",O299+Q299)</f>
        <v/>
      </c>
    </row>
    <row r="300">
      <c r="A300" s="67" t="n"/>
      <c r="B300" s="75" t="n"/>
      <c r="C300" s="76" t="n"/>
      <c r="D300" s="75" t="n"/>
      <c r="E300" s="76" t="n"/>
      <c r="F300" s="75" t="n"/>
      <c r="G300" s="76" t="n"/>
      <c r="H300" s="75" t="n"/>
      <c r="I300" s="76" t="n"/>
      <c r="J300" s="77">
        <f>IF($A300="","",B300+D300+F300)</f>
        <v/>
      </c>
      <c r="K300" s="78">
        <f>IF($A300="","",C300+E300+G300)</f>
        <v/>
      </c>
      <c r="L300" s="79">
        <f>IF($A300="","",J300+H300)</f>
        <v/>
      </c>
      <c r="M300" s="80">
        <f>IF($A300="","",K300+I300)</f>
        <v/>
      </c>
      <c r="N300" s="77">
        <f>IF($A300="","",SUMIFS($J$5:$J$800,$A$5:$A$800,"&gt;="&amp;DATE(YEAR($A300),MONTH($A300),1),$A$5:$A$800,"&lt;="&amp;$A300)+IF(AND(YEAR($A300)=YEAR(Settings!$B$3),MONTH($A300)=MONTH(Settings!$B$3)),Settings!$B$10,0))</f>
        <v/>
      </c>
      <c r="O300" s="78">
        <f>IF($A300="","",SUMIFS($K$5:$K$800,$A$5:$A$800,"&gt;="&amp;DATE(YEAR($A300),MONTH($A300),1),$A$5:$A$800,"&lt;="&amp;$A300)+IF(AND(YEAR($A300)=YEAR(Settings!$B$3),MONTH($A300)=MONTH(Settings!$B$3)),Settings!$B$11,0))</f>
        <v/>
      </c>
      <c r="P300" s="77">
        <f>IF($A300="","",SUMIFS($H$5:$H$800,$A$5:$A$800,"&gt;="&amp;DATE(YEAR($A300),MONTH($A300),1),$A$5:$A$800,"&lt;="&amp;$A300)+IF(AND(YEAR($A300)=YEAR(Settings!$B$3),MONTH($A300)=MONTH(Settings!$B$3)),Settings!$B$12,0))</f>
        <v/>
      </c>
      <c r="Q300" s="78">
        <f>IF($A300="","",SUMIFS($I$5:$I$800,$A$5:$A$800,"&gt;="&amp;DATE(YEAR($A300),MONTH($A300),1),$A$5:$A$800,"&lt;="&amp;$A300)+IF(AND(YEAR($A300)=YEAR(Settings!$B$3),MONTH($A300)=MONTH(Settings!$B$3)),Settings!$B$13,0))</f>
        <v/>
      </c>
      <c r="R300" s="77">
        <f>IF($A300="","",N300+P300)</f>
        <v/>
      </c>
      <c r="S300" s="78">
        <f>IF($A300="","",O300+Q300)</f>
        <v/>
      </c>
    </row>
    <row r="301">
      <c r="A301" s="67" t="n"/>
      <c r="B301" s="75" t="n"/>
      <c r="C301" s="76" t="n"/>
      <c r="D301" s="75" t="n"/>
      <c r="E301" s="76" t="n"/>
      <c r="F301" s="75" t="n"/>
      <c r="G301" s="76" t="n"/>
      <c r="H301" s="75" t="n"/>
      <c r="I301" s="76" t="n"/>
      <c r="J301" s="77">
        <f>IF($A301="","",B301+D301+F301)</f>
        <v/>
      </c>
      <c r="K301" s="78">
        <f>IF($A301="","",C301+E301+G301)</f>
        <v/>
      </c>
      <c r="L301" s="79">
        <f>IF($A301="","",J301+H301)</f>
        <v/>
      </c>
      <c r="M301" s="80">
        <f>IF($A301="","",K301+I301)</f>
        <v/>
      </c>
      <c r="N301" s="77">
        <f>IF($A301="","",SUMIFS($J$5:$J$800,$A$5:$A$800,"&gt;="&amp;DATE(YEAR($A301),MONTH($A301),1),$A$5:$A$800,"&lt;="&amp;$A301)+IF(AND(YEAR($A301)=YEAR(Settings!$B$3),MONTH($A301)=MONTH(Settings!$B$3)),Settings!$B$10,0))</f>
        <v/>
      </c>
      <c r="O301" s="78">
        <f>IF($A301="","",SUMIFS($K$5:$K$800,$A$5:$A$800,"&gt;="&amp;DATE(YEAR($A301),MONTH($A301),1),$A$5:$A$800,"&lt;="&amp;$A301)+IF(AND(YEAR($A301)=YEAR(Settings!$B$3),MONTH($A301)=MONTH(Settings!$B$3)),Settings!$B$11,0))</f>
        <v/>
      </c>
      <c r="P301" s="77">
        <f>IF($A301="","",SUMIFS($H$5:$H$800,$A$5:$A$800,"&gt;="&amp;DATE(YEAR($A301),MONTH($A301),1),$A$5:$A$800,"&lt;="&amp;$A301)+IF(AND(YEAR($A301)=YEAR(Settings!$B$3),MONTH($A301)=MONTH(Settings!$B$3)),Settings!$B$12,0))</f>
        <v/>
      </c>
      <c r="Q301" s="78">
        <f>IF($A301="","",SUMIFS($I$5:$I$800,$A$5:$A$800,"&gt;="&amp;DATE(YEAR($A301),MONTH($A301),1),$A$5:$A$800,"&lt;="&amp;$A301)+IF(AND(YEAR($A301)=YEAR(Settings!$B$3),MONTH($A301)=MONTH(Settings!$B$3)),Settings!$B$13,0))</f>
        <v/>
      </c>
      <c r="R301" s="77">
        <f>IF($A301="","",N301+P301)</f>
        <v/>
      </c>
      <c r="S301" s="78">
        <f>IF($A301="","",O301+Q301)</f>
        <v/>
      </c>
    </row>
    <row r="302">
      <c r="A302" s="67" t="n"/>
      <c r="B302" s="75" t="n"/>
      <c r="C302" s="76" t="n"/>
      <c r="D302" s="75" t="n"/>
      <c r="E302" s="76" t="n"/>
      <c r="F302" s="75" t="n"/>
      <c r="G302" s="76" t="n"/>
      <c r="H302" s="75" t="n"/>
      <c r="I302" s="76" t="n"/>
      <c r="J302" s="77">
        <f>IF($A302="","",B302+D302+F302)</f>
        <v/>
      </c>
      <c r="K302" s="78">
        <f>IF($A302="","",C302+E302+G302)</f>
        <v/>
      </c>
      <c r="L302" s="79">
        <f>IF($A302="","",J302+H302)</f>
        <v/>
      </c>
      <c r="M302" s="80">
        <f>IF($A302="","",K302+I302)</f>
        <v/>
      </c>
      <c r="N302" s="77">
        <f>IF($A302="","",SUMIFS($J$5:$J$800,$A$5:$A$800,"&gt;="&amp;DATE(YEAR($A302),MONTH($A302),1),$A$5:$A$800,"&lt;="&amp;$A302)+IF(AND(YEAR($A302)=YEAR(Settings!$B$3),MONTH($A302)=MONTH(Settings!$B$3)),Settings!$B$10,0))</f>
        <v/>
      </c>
      <c r="O302" s="78">
        <f>IF($A302="","",SUMIFS($K$5:$K$800,$A$5:$A$800,"&gt;="&amp;DATE(YEAR($A302),MONTH($A302),1),$A$5:$A$800,"&lt;="&amp;$A302)+IF(AND(YEAR($A302)=YEAR(Settings!$B$3),MONTH($A302)=MONTH(Settings!$B$3)),Settings!$B$11,0))</f>
        <v/>
      </c>
      <c r="P302" s="77">
        <f>IF($A302="","",SUMIFS($H$5:$H$800,$A$5:$A$800,"&gt;="&amp;DATE(YEAR($A302),MONTH($A302),1),$A$5:$A$800,"&lt;="&amp;$A302)+IF(AND(YEAR($A302)=YEAR(Settings!$B$3),MONTH($A302)=MONTH(Settings!$B$3)),Settings!$B$12,0))</f>
        <v/>
      </c>
      <c r="Q302" s="78">
        <f>IF($A302="","",SUMIFS($I$5:$I$800,$A$5:$A$800,"&gt;="&amp;DATE(YEAR($A302),MONTH($A302),1),$A$5:$A$800,"&lt;="&amp;$A302)+IF(AND(YEAR($A302)=YEAR(Settings!$B$3),MONTH($A302)=MONTH(Settings!$B$3)),Settings!$B$13,0))</f>
        <v/>
      </c>
      <c r="R302" s="77">
        <f>IF($A302="","",N302+P302)</f>
        <v/>
      </c>
      <c r="S302" s="78">
        <f>IF($A302="","",O302+Q302)</f>
        <v/>
      </c>
    </row>
    <row r="303">
      <c r="A303" s="67" t="n"/>
      <c r="B303" s="75" t="n"/>
      <c r="C303" s="76" t="n"/>
      <c r="D303" s="75" t="n"/>
      <c r="E303" s="76" t="n"/>
      <c r="F303" s="75" t="n"/>
      <c r="G303" s="76" t="n"/>
      <c r="H303" s="75" t="n"/>
      <c r="I303" s="76" t="n"/>
      <c r="J303" s="77">
        <f>IF($A303="","",B303+D303+F303)</f>
        <v/>
      </c>
      <c r="K303" s="78">
        <f>IF($A303="","",C303+E303+G303)</f>
        <v/>
      </c>
      <c r="L303" s="79">
        <f>IF($A303="","",J303+H303)</f>
        <v/>
      </c>
      <c r="M303" s="80">
        <f>IF($A303="","",K303+I303)</f>
        <v/>
      </c>
      <c r="N303" s="77">
        <f>IF($A303="","",SUMIFS($J$5:$J$800,$A$5:$A$800,"&gt;="&amp;DATE(YEAR($A303),MONTH($A303),1),$A$5:$A$800,"&lt;="&amp;$A303)+IF(AND(YEAR($A303)=YEAR(Settings!$B$3),MONTH($A303)=MONTH(Settings!$B$3)),Settings!$B$10,0))</f>
        <v/>
      </c>
      <c r="O303" s="78">
        <f>IF($A303="","",SUMIFS($K$5:$K$800,$A$5:$A$800,"&gt;="&amp;DATE(YEAR($A303),MONTH($A303),1),$A$5:$A$800,"&lt;="&amp;$A303)+IF(AND(YEAR($A303)=YEAR(Settings!$B$3),MONTH($A303)=MONTH(Settings!$B$3)),Settings!$B$11,0))</f>
        <v/>
      </c>
      <c r="P303" s="77">
        <f>IF($A303="","",SUMIFS($H$5:$H$800,$A$5:$A$800,"&gt;="&amp;DATE(YEAR($A303),MONTH($A303),1),$A$5:$A$800,"&lt;="&amp;$A303)+IF(AND(YEAR($A303)=YEAR(Settings!$B$3),MONTH($A303)=MONTH(Settings!$B$3)),Settings!$B$12,0))</f>
        <v/>
      </c>
      <c r="Q303" s="78">
        <f>IF($A303="","",SUMIFS($I$5:$I$800,$A$5:$A$800,"&gt;="&amp;DATE(YEAR($A303),MONTH($A303),1),$A$5:$A$800,"&lt;="&amp;$A303)+IF(AND(YEAR($A303)=YEAR(Settings!$B$3),MONTH($A303)=MONTH(Settings!$B$3)),Settings!$B$13,0))</f>
        <v/>
      </c>
      <c r="R303" s="77">
        <f>IF($A303="","",N303+P303)</f>
        <v/>
      </c>
      <c r="S303" s="78">
        <f>IF($A303="","",O303+Q303)</f>
        <v/>
      </c>
    </row>
    <row r="304">
      <c r="A304" s="67" t="n"/>
      <c r="B304" s="75" t="n"/>
      <c r="C304" s="76" t="n"/>
      <c r="D304" s="75" t="n"/>
      <c r="E304" s="76" t="n"/>
      <c r="F304" s="75" t="n"/>
      <c r="G304" s="76" t="n"/>
      <c r="H304" s="75" t="n"/>
      <c r="I304" s="76" t="n"/>
      <c r="J304" s="77">
        <f>IF($A304="","",B304+D304+F304)</f>
        <v/>
      </c>
      <c r="K304" s="78">
        <f>IF($A304="","",C304+E304+G304)</f>
        <v/>
      </c>
      <c r="L304" s="79">
        <f>IF($A304="","",J304+H304)</f>
        <v/>
      </c>
      <c r="M304" s="80">
        <f>IF($A304="","",K304+I304)</f>
        <v/>
      </c>
      <c r="N304" s="77">
        <f>IF($A304="","",SUMIFS($J$5:$J$800,$A$5:$A$800,"&gt;="&amp;DATE(YEAR($A304),MONTH($A304),1),$A$5:$A$800,"&lt;="&amp;$A304)+IF(AND(YEAR($A304)=YEAR(Settings!$B$3),MONTH($A304)=MONTH(Settings!$B$3)),Settings!$B$10,0))</f>
        <v/>
      </c>
      <c r="O304" s="78">
        <f>IF($A304="","",SUMIFS($K$5:$K$800,$A$5:$A$800,"&gt;="&amp;DATE(YEAR($A304),MONTH($A304),1),$A$5:$A$800,"&lt;="&amp;$A304)+IF(AND(YEAR($A304)=YEAR(Settings!$B$3),MONTH($A304)=MONTH(Settings!$B$3)),Settings!$B$11,0))</f>
        <v/>
      </c>
      <c r="P304" s="77">
        <f>IF($A304="","",SUMIFS($H$5:$H$800,$A$5:$A$800,"&gt;="&amp;DATE(YEAR($A304),MONTH($A304),1),$A$5:$A$800,"&lt;="&amp;$A304)+IF(AND(YEAR($A304)=YEAR(Settings!$B$3),MONTH($A304)=MONTH(Settings!$B$3)),Settings!$B$12,0))</f>
        <v/>
      </c>
      <c r="Q304" s="78">
        <f>IF($A304="","",SUMIFS($I$5:$I$800,$A$5:$A$800,"&gt;="&amp;DATE(YEAR($A304),MONTH($A304),1),$A$5:$A$800,"&lt;="&amp;$A304)+IF(AND(YEAR($A304)=YEAR(Settings!$B$3),MONTH($A304)=MONTH(Settings!$B$3)),Settings!$B$13,0))</f>
        <v/>
      </c>
      <c r="R304" s="77">
        <f>IF($A304="","",N304+P304)</f>
        <v/>
      </c>
      <c r="S304" s="78">
        <f>IF($A304="","",O304+Q304)</f>
        <v/>
      </c>
    </row>
    <row r="305">
      <c r="A305" s="67" t="n"/>
      <c r="B305" s="75" t="n"/>
      <c r="C305" s="76" t="n"/>
      <c r="D305" s="75" t="n"/>
      <c r="E305" s="76" t="n"/>
      <c r="F305" s="75" t="n"/>
      <c r="G305" s="76" t="n"/>
      <c r="H305" s="75" t="n"/>
      <c r="I305" s="76" t="n"/>
      <c r="J305" s="77">
        <f>IF($A305="","",B305+D305+F305)</f>
        <v/>
      </c>
      <c r="K305" s="78">
        <f>IF($A305="","",C305+E305+G305)</f>
        <v/>
      </c>
      <c r="L305" s="79">
        <f>IF($A305="","",J305+H305)</f>
        <v/>
      </c>
      <c r="M305" s="80">
        <f>IF($A305="","",K305+I305)</f>
        <v/>
      </c>
      <c r="N305" s="77">
        <f>IF($A305="","",SUMIFS($J$5:$J$800,$A$5:$A$800,"&gt;="&amp;DATE(YEAR($A305),MONTH($A305),1),$A$5:$A$800,"&lt;="&amp;$A305)+IF(AND(YEAR($A305)=YEAR(Settings!$B$3),MONTH($A305)=MONTH(Settings!$B$3)),Settings!$B$10,0))</f>
        <v/>
      </c>
      <c r="O305" s="78">
        <f>IF($A305="","",SUMIFS($K$5:$K$800,$A$5:$A$800,"&gt;="&amp;DATE(YEAR($A305),MONTH($A305),1),$A$5:$A$800,"&lt;="&amp;$A305)+IF(AND(YEAR($A305)=YEAR(Settings!$B$3),MONTH($A305)=MONTH(Settings!$B$3)),Settings!$B$11,0))</f>
        <v/>
      </c>
      <c r="P305" s="77">
        <f>IF($A305="","",SUMIFS($H$5:$H$800,$A$5:$A$800,"&gt;="&amp;DATE(YEAR($A305),MONTH($A305),1),$A$5:$A$800,"&lt;="&amp;$A305)+IF(AND(YEAR($A305)=YEAR(Settings!$B$3),MONTH($A305)=MONTH(Settings!$B$3)),Settings!$B$12,0))</f>
        <v/>
      </c>
      <c r="Q305" s="78">
        <f>IF($A305="","",SUMIFS($I$5:$I$800,$A$5:$A$800,"&gt;="&amp;DATE(YEAR($A305),MONTH($A305),1),$A$5:$A$800,"&lt;="&amp;$A305)+IF(AND(YEAR($A305)=YEAR(Settings!$B$3),MONTH($A305)=MONTH(Settings!$B$3)),Settings!$B$13,0))</f>
        <v/>
      </c>
      <c r="R305" s="77">
        <f>IF($A305="","",N305+P305)</f>
        <v/>
      </c>
      <c r="S305" s="78">
        <f>IF($A305="","",O305+Q305)</f>
        <v/>
      </c>
    </row>
    <row r="306">
      <c r="A306" s="67" t="n"/>
      <c r="B306" s="75" t="n"/>
      <c r="C306" s="76" t="n"/>
      <c r="D306" s="75" t="n"/>
      <c r="E306" s="76" t="n"/>
      <c r="F306" s="75" t="n"/>
      <c r="G306" s="76" t="n"/>
      <c r="H306" s="75" t="n"/>
      <c r="I306" s="76" t="n"/>
      <c r="J306" s="77">
        <f>IF($A306="","",B306+D306+F306)</f>
        <v/>
      </c>
      <c r="K306" s="78">
        <f>IF($A306="","",C306+E306+G306)</f>
        <v/>
      </c>
      <c r="L306" s="79">
        <f>IF($A306="","",J306+H306)</f>
        <v/>
      </c>
      <c r="M306" s="80">
        <f>IF($A306="","",K306+I306)</f>
        <v/>
      </c>
      <c r="N306" s="77">
        <f>IF($A306="","",SUMIFS($J$5:$J$800,$A$5:$A$800,"&gt;="&amp;DATE(YEAR($A306),MONTH($A306),1),$A$5:$A$800,"&lt;="&amp;$A306)+IF(AND(YEAR($A306)=YEAR(Settings!$B$3),MONTH($A306)=MONTH(Settings!$B$3)),Settings!$B$10,0))</f>
        <v/>
      </c>
      <c r="O306" s="78">
        <f>IF($A306="","",SUMIFS($K$5:$K$800,$A$5:$A$800,"&gt;="&amp;DATE(YEAR($A306),MONTH($A306),1),$A$5:$A$800,"&lt;="&amp;$A306)+IF(AND(YEAR($A306)=YEAR(Settings!$B$3),MONTH($A306)=MONTH(Settings!$B$3)),Settings!$B$11,0))</f>
        <v/>
      </c>
      <c r="P306" s="77">
        <f>IF($A306="","",SUMIFS($H$5:$H$800,$A$5:$A$800,"&gt;="&amp;DATE(YEAR($A306),MONTH($A306),1),$A$5:$A$800,"&lt;="&amp;$A306)+IF(AND(YEAR($A306)=YEAR(Settings!$B$3),MONTH($A306)=MONTH(Settings!$B$3)),Settings!$B$12,0))</f>
        <v/>
      </c>
      <c r="Q306" s="78">
        <f>IF($A306="","",SUMIFS($I$5:$I$800,$A$5:$A$800,"&gt;="&amp;DATE(YEAR($A306),MONTH($A306),1),$A$5:$A$800,"&lt;="&amp;$A306)+IF(AND(YEAR($A306)=YEAR(Settings!$B$3),MONTH($A306)=MONTH(Settings!$B$3)),Settings!$B$13,0))</f>
        <v/>
      </c>
      <c r="R306" s="77">
        <f>IF($A306="","",N306+P306)</f>
        <v/>
      </c>
      <c r="S306" s="78">
        <f>IF($A306="","",O306+Q306)</f>
        <v/>
      </c>
    </row>
    <row r="307">
      <c r="A307" s="67" t="n"/>
      <c r="B307" s="75" t="n"/>
      <c r="C307" s="76" t="n"/>
      <c r="D307" s="75" t="n"/>
      <c r="E307" s="76" t="n"/>
      <c r="F307" s="75" t="n"/>
      <c r="G307" s="76" t="n"/>
      <c r="H307" s="75" t="n"/>
      <c r="I307" s="76" t="n"/>
      <c r="J307" s="77">
        <f>IF($A307="","",B307+D307+F307)</f>
        <v/>
      </c>
      <c r="K307" s="78">
        <f>IF($A307="","",C307+E307+G307)</f>
        <v/>
      </c>
      <c r="L307" s="79">
        <f>IF($A307="","",J307+H307)</f>
        <v/>
      </c>
      <c r="M307" s="80">
        <f>IF($A307="","",K307+I307)</f>
        <v/>
      </c>
      <c r="N307" s="77">
        <f>IF($A307="","",SUMIFS($J$5:$J$800,$A$5:$A$800,"&gt;="&amp;DATE(YEAR($A307),MONTH($A307),1),$A$5:$A$800,"&lt;="&amp;$A307)+IF(AND(YEAR($A307)=YEAR(Settings!$B$3),MONTH($A307)=MONTH(Settings!$B$3)),Settings!$B$10,0))</f>
        <v/>
      </c>
      <c r="O307" s="78">
        <f>IF($A307="","",SUMIFS($K$5:$K$800,$A$5:$A$800,"&gt;="&amp;DATE(YEAR($A307),MONTH($A307),1),$A$5:$A$800,"&lt;="&amp;$A307)+IF(AND(YEAR($A307)=YEAR(Settings!$B$3),MONTH($A307)=MONTH(Settings!$B$3)),Settings!$B$11,0))</f>
        <v/>
      </c>
      <c r="P307" s="77">
        <f>IF($A307="","",SUMIFS($H$5:$H$800,$A$5:$A$800,"&gt;="&amp;DATE(YEAR($A307),MONTH($A307),1),$A$5:$A$800,"&lt;="&amp;$A307)+IF(AND(YEAR($A307)=YEAR(Settings!$B$3),MONTH($A307)=MONTH(Settings!$B$3)),Settings!$B$12,0))</f>
        <v/>
      </c>
      <c r="Q307" s="78">
        <f>IF($A307="","",SUMIFS($I$5:$I$800,$A$5:$A$800,"&gt;="&amp;DATE(YEAR($A307),MONTH($A307),1),$A$5:$A$800,"&lt;="&amp;$A307)+IF(AND(YEAR($A307)=YEAR(Settings!$B$3),MONTH($A307)=MONTH(Settings!$B$3)),Settings!$B$13,0))</f>
        <v/>
      </c>
      <c r="R307" s="77">
        <f>IF($A307="","",N307+P307)</f>
        <v/>
      </c>
      <c r="S307" s="78">
        <f>IF($A307="","",O307+Q307)</f>
        <v/>
      </c>
    </row>
    <row r="308">
      <c r="A308" s="67" t="n"/>
      <c r="B308" s="75" t="n"/>
      <c r="C308" s="76" t="n"/>
      <c r="D308" s="75" t="n"/>
      <c r="E308" s="76" t="n"/>
      <c r="F308" s="75" t="n"/>
      <c r="G308" s="76" t="n"/>
      <c r="H308" s="75" t="n"/>
      <c r="I308" s="76" t="n"/>
      <c r="J308" s="77">
        <f>IF($A308="","",B308+D308+F308)</f>
        <v/>
      </c>
      <c r="K308" s="78">
        <f>IF($A308="","",C308+E308+G308)</f>
        <v/>
      </c>
      <c r="L308" s="79">
        <f>IF($A308="","",J308+H308)</f>
        <v/>
      </c>
      <c r="M308" s="80">
        <f>IF($A308="","",K308+I308)</f>
        <v/>
      </c>
      <c r="N308" s="77">
        <f>IF($A308="","",SUMIFS($J$5:$J$800,$A$5:$A$800,"&gt;="&amp;DATE(YEAR($A308),MONTH($A308),1),$A$5:$A$800,"&lt;="&amp;$A308)+IF(AND(YEAR($A308)=YEAR(Settings!$B$3),MONTH($A308)=MONTH(Settings!$B$3)),Settings!$B$10,0))</f>
        <v/>
      </c>
      <c r="O308" s="78">
        <f>IF($A308="","",SUMIFS($K$5:$K$800,$A$5:$A$800,"&gt;="&amp;DATE(YEAR($A308),MONTH($A308),1),$A$5:$A$800,"&lt;="&amp;$A308)+IF(AND(YEAR($A308)=YEAR(Settings!$B$3),MONTH($A308)=MONTH(Settings!$B$3)),Settings!$B$11,0))</f>
        <v/>
      </c>
      <c r="P308" s="77">
        <f>IF($A308="","",SUMIFS($H$5:$H$800,$A$5:$A$800,"&gt;="&amp;DATE(YEAR($A308),MONTH($A308),1),$A$5:$A$800,"&lt;="&amp;$A308)+IF(AND(YEAR($A308)=YEAR(Settings!$B$3),MONTH($A308)=MONTH(Settings!$B$3)),Settings!$B$12,0))</f>
        <v/>
      </c>
      <c r="Q308" s="78">
        <f>IF($A308="","",SUMIFS($I$5:$I$800,$A$5:$A$800,"&gt;="&amp;DATE(YEAR($A308),MONTH($A308),1),$A$5:$A$800,"&lt;="&amp;$A308)+IF(AND(YEAR($A308)=YEAR(Settings!$B$3),MONTH($A308)=MONTH(Settings!$B$3)),Settings!$B$13,0))</f>
        <v/>
      </c>
      <c r="R308" s="77">
        <f>IF($A308="","",N308+P308)</f>
        <v/>
      </c>
      <c r="S308" s="78">
        <f>IF($A308="","",O308+Q308)</f>
        <v/>
      </c>
    </row>
    <row r="309">
      <c r="A309" s="67" t="n"/>
      <c r="B309" s="75" t="n"/>
      <c r="C309" s="76" t="n"/>
      <c r="D309" s="75" t="n"/>
      <c r="E309" s="76" t="n"/>
      <c r="F309" s="75" t="n"/>
      <c r="G309" s="76" t="n"/>
      <c r="H309" s="75" t="n"/>
      <c r="I309" s="76" t="n"/>
      <c r="J309" s="77">
        <f>IF($A309="","",B309+D309+F309)</f>
        <v/>
      </c>
      <c r="K309" s="78">
        <f>IF($A309="","",C309+E309+G309)</f>
        <v/>
      </c>
      <c r="L309" s="79">
        <f>IF($A309="","",J309+H309)</f>
        <v/>
      </c>
      <c r="M309" s="80">
        <f>IF($A309="","",K309+I309)</f>
        <v/>
      </c>
      <c r="N309" s="77">
        <f>IF($A309="","",SUMIFS($J$5:$J$800,$A$5:$A$800,"&gt;="&amp;DATE(YEAR($A309),MONTH($A309),1),$A$5:$A$800,"&lt;="&amp;$A309)+IF(AND(YEAR($A309)=YEAR(Settings!$B$3),MONTH($A309)=MONTH(Settings!$B$3)),Settings!$B$10,0))</f>
        <v/>
      </c>
      <c r="O309" s="78">
        <f>IF($A309="","",SUMIFS($K$5:$K$800,$A$5:$A$800,"&gt;="&amp;DATE(YEAR($A309),MONTH($A309),1),$A$5:$A$800,"&lt;="&amp;$A309)+IF(AND(YEAR($A309)=YEAR(Settings!$B$3),MONTH($A309)=MONTH(Settings!$B$3)),Settings!$B$11,0))</f>
        <v/>
      </c>
      <c r="P309" s="77">
        <f>IF($A309="","",SUMIFS($H$5:$H$800,$A$5:$A$800,"&gt;="&amp;DATE(YEAR($A309),MONTH($A309),1),$A$5:$A$800,"&lt;="&amp;$A309)+IF(AND(YEAR($A309)=YEAR(Settings!$B$3),MONTH($A309)=MONTH(Settings!$B$3)),Settings!$B$12,0))</f>
        <v/>
      </c>
      <c r="Q309" s="78">
        <f>IF($A309="","",SUMIFS($I$5:$I$800,$A$5:$A$800,"&gt;="&amp;DATE(YEAR($A309),MONTH($A309),1),$A$5:$A$800,"&lt;="&amp;$A309)+IF(AND(YEAR($A309)=YEAR(Settings!$B$3),MONTH($A309)=MONTH(Settings!$B$3)),Settings!$B$13,0))</f>
        <v/>
      </c>
      <c r="R309" s="77">
        <f>IF($A309="","",N309+P309)</f>
        <v/>
      </c>
      <c r="S309" s="78">
        <f>IF($A309="","",O309+Q309)</f>
        <v/>
      </c>
    </row>
    <row r="310">
      <c r="A310" s="67" t="n"/>
      <c r="B310" s="75" t="n"/>
      <c r="C310" s="76" t="n"/>
      <c r="D310" s="75" t="n"/>
      <c r="E310" s="76" t="n"/>
      <c r="F310" s="75" t="n"/>
      <c r="G310" s="76" t="n"/>
      <c r="H310" s="75" t="n"/>
      <c r="I310" s="76" t="n"/>
      <c r="J310" s="77">
        <f>IF($A310="","",B310+D310+F310)</f>
        <v/>
      </c>
      <c r="K310" s="78">
        <f>IF($A310="","",C310+E310+G310)</f>
        <v/>
      </c>
      <c r="L310" s="79">
        <f>IF($A310="","",J310+H310)</f>
        <v/>
      </c>
      <c r="M310" s="80">
        <f>IF($A310="","",K310+I310)</f>
        <v/>
      </c>
      <c r="N310" s="77">
        <f>IF($A310="","",SUMIFS($J$5:$J$800,$A$5:$A$800,"&gt;="&amp;DATE(YEAR($A310),MONTH($A310),1),$A$5:$A$800,"&lt;="&amp;$A310)+IF(AND(YEAR($A310)=YEAR(Settings!$B$3),MONTH($A310)=MONTH(Settings!$B$3)),Settings!$B$10,0))</f>
        <v/>
      </c>
      <c r="O310" s="78">
        <f>IF($A310="","",SUMIFS($K$5:$K$800,$A$5:$A$800,"&gt;="&amp;DATE(YEAR($A310),MONTH($A310),1),$A$5:$A$800,"&lt;="&amp;$A310)+IF(AND(YEAR($A310)=YEAR(Settings!$B$3),MONTH($A310)=MONTH(Settings!$B$3)),Settings!$B$11,0))</f>
        <v/>
      </c>
      <c r="P310" s="77">
        <f>IF($A310="","",SUMIFS($H$5:$H$800,$A$5:$A$800,"&gt;="&amp;DATE(YEAR($A310),MONTH($A310),1),$A$5:$A$800,"&lt;="&amp;$A310)+IF(AND(YEAR($A310)=YEAR(Settings!$B$3),MONTH($A310)=MONTH(Settings!$B$3)),Settings!$B$12,0))</f>
        <v/>
      </c>
      <c r="Q310" s="78">
        <f>IF($A310="","",SUMIFS($I$5:$I$800,$A$5:$A$800,"&gt;="&amp;DATE(YEAR($A310),MONTH($A310),1),$A$5:$A$800,"&lt;="&amp;$A310)+IF(AND(YEAR($A310)=YEAR(Settings!$B$3),MONTH($A310)=MONTH(Settings!$B$3)),Settings!$B$13,0))</f>
        <v/>
      </c>
      <c r="R310" s="77">
        <f>IF($A310="","",N310+P310)</f>
        <v/>
      </c>
      <c r="S310" s="78">
        <f>IF($A310="","",O310+Q310)</f>
        <v/>
      </c>
    </row>
    <row r="311">
      <c r="A311" s="67" t="n"/>
      <c r="B311" s="75" t="n"/>
      <c r="C311" s="76" t="n"/>
      <c r="D311" s="75" t="n"/>
      <c r="E311" s="76" t="n"/>
      <c r="F311" s="75" t="n"/>
      <c r="G311" s="76" t="n"/>
      <c r="H311" s="75" t="n"/>
      <c r="I311" s="76" t="n"/>
      <c r="J311" s="77">
        <f>IF($A311="","",B311+D311+F311)</f>
        <v/>
      </c>
      <c r="K311" s="78">
        <f>IF($A311="","",C311+E311+G311)</f>
        <v/>
      </c>
      <c r="L311" s="79">
        <f>IF($A311="","",J311+H311)</f>
        <v/>
      </c>
      <c r="M311" s="80">
        <f>IF($A311="","",K311+I311)</f>
        <v/>
      </c>
      <c r="N311" s="77">
        <f>IF($A311="","",SUMIFS($J$5:$J$800,$A$5:$A$800,"&gt;="&amp;DATE(YEAR($A311),MONTH($A311),1),$A$5:$A$800,"&lt;="&amp;$A311)+IF(AND(YEAR($A311)=YEAR(Settings!$B$3),MONTH($A311)=MONTH(Settings!$B$3)),Settings!$B$10,0))</f>
        <v/>
      </c>
      <c r="O311" s="78">
        <f>IF($A311="","",SUMIFS($K$5:$K$800,$A$5:$A$800,"&gt;="&amp;DATE(YEAR($A311),MONTH($A311),1),$A$5:$A$800,"&lt;="&amp;$A311)+IF(AND(YEAR($A311)=YEAR(Settings!$B$3),MONTH($A311)=MONTH(Settings!$B$3)),Settings!$B$11,0))</f>
        <v/>
      </c>
      <c r="P311" s="77">
        <f>IF($A311="","",SUMIFS($H$5:$H$800,$A$5:$A$800,"&gt;="&amp;DATE(YEAR($A311),MONTH($A311),1),$A$5:$A$800,"&lt;="&amp;$A311)+IF(AND(YEAR($A311)=YEAR(Settings!$B$3),MONTH($A311)=MONTH(Settings!$B$3)),Settings!$B$12,0))</f>
        <v/>
      </c>
      <c r="Q311" s="78">
        <f>IF($A311="","",SUMIFS($I$5:$I$800,$A$5:$A$800,"&gt;="&amp;DATE(YEAR($A311),MONTH($A311),1),$A$5:$A$800,"&lt;="&amp;$A311)+IF(AND(YEAR($A311)=YEAR(Settings!$B$3),MONTH($A311)=MONTH(Settings!$B$3)),Settings!$B$13,0))</f>
        <v/>
      </c>
      <c r="R311" s="77">
        <f>IF($A311="","",N311+P311)</f>
        <v/>
      </c>
      <c r="S311" s="78">
        <f>IF($A311="","",O311+Q311)</f>
        <v/>
      </c>
    </row>
    <row r="312">
      <c r="A312" s="67" t="n"/>
      <c r="B312" s="75" t="n"/>
      <c r="C312" s="76" t="n"/>
      <c r="D312" s="75" t="n"/>
      <c r="E312" s="76" t="n"/>
      <c r="F312" s="75" t="n"/>
      <c r="G312" s="76" t="n"/>
      <c r="H312" s="75" t="n"/>
      <c r="I312" s="76" t="n"/>
      <c r="J312" s="77">
        <f>IF($A312="","",B312+D312+F312)</f>
        <v/>
      </c>
      <c r="K312" s="78">
        <f>IF($A312="","",C312+E312+G312)</f>
        <v/>
      </c>
      <c r="L312" s="79">
        <f>IF($A312="","",J312+H312)</f>
        <v/>
      </c>
      <c r="M312" s="80">
        <f>IF($A312="","",K312+I312)</f>
        <v/>
      </c>
      <c r="N312" s="77">
        <f>IF($A312="","",SUMIFS($J$5:$J$800,$A$5:$A$800,"&gt;="&amp;DATE(YEAR($A312),MONTH($A312),1),$A$5:$A$800,"&lt;="&amp;$A312)+IF(AND(YEAR($A312)=YEAR(Settings!$B$3),MONTH($A312)=MONTH(Settings!$B$3)),Settings!$B$10,0))</f>
        <v/>
      </c>
      <c r="O312" s="78">
        <f>IF($A312="","",SUMIFS($K$5:$K$800,$A$5:$A$800,"&gt;="&amp;DATE(YEAR($A312),MONTH($A312),1),$A$5:$A$800,"&lt;="&amp;$A312)+IF(AND(YEAR($A312)=YEAR(Settings!$B$3),MONTH($A312)=MONTH(Settings!$B$3)),Settings!$B$11,0))</f>
        <v/>
      </c>
      <c r="P312" s="77">
        <f>IF($A312="","",SUMIFS($H$5:$H$800,$A$5:$A$800,"&gt;="&amp;DATE(YEAR($A312),MONTH($A312),1),$A$5:$A$800,"&lt;="&amp;$A312)+IF(AND(YEAR($A312)=YEAR(Settings!$B$3),MONTH($A312)=MONTH(Settings!$B$3)),Settings!$B$12,0))</f>
        <v/>
      </c>
      <c r="Q312" s="78">
        <f>IF($A312="","",SUMIFS($I$5:$I$800,$A$5:$A$800,"&gt;="&amp;DATE(YEAR($A312),MONTH($A312),1),$A$5:$A$800,"&lt;="&amp;$A312)+IF(AND(YEAR($A312)=YEAR(Settings!$B$3),MONTH($A312)=MONTH(Settings!$B$3)),Settings!$B$13,0))</f>
        <v/>
      </c>
      <c r="R312" s="77">
        <f>IF($A312="","",N312+P312)</f>
        <v/>
      </c>
      <c r="S312" s="78">
        <f>IF($A312="","",O312+Q312)</f>
        <v/>
      </c>
    </row>
    <row r="313">
      <c r="A313" s="67" t="n"/>
      <c r="B313" s="75" t="n"/>
      <c r="C313" s="76" t="n"/>
      <c r="D313" s="75" t="n"/>
      <c r="E313" s="76" t="n"/>
      <c r="F313" s="75" t="n"/>
      <c r="G313" s="76" t="n"/>
      <c r="H313" s="75" t="n"/>
      <c r="I313" s="76" t="n"/>
      <c r="J313" s="77">
        <f>IF($A313="","",B313+D313+F313)</f>
        <v/>
      </c>
      <c r="K313" s="78">
        <f>IF($A313="","",C313+E313+G313)</f>
        <v/>
      </c>
      <c r="L313" s="79">
        <f>IF($A313="","",J313+H313)</f>
        <v/>
      </c>
      <c r="M313" s="80">
        <f>IF($A313="","",K313+I313)</f>
        <v/>
      </c>
      <c r="N313" s="77">
        <f>IF($A313="","",SUMIFS($J$5:$J$800,$A$5:$A$800,"&gt;="&amp;DATE(YEAR($A313),MONTH($A313),1),$A$5:$A$800,"&lt;="&amp;$A313)+IF(AND(YEAR($A313)=YEAR(Settings!$B$3),MONTH($A313)=MONTH(Settings!$B$3)),Settings!$B$10,0))</f>
        <v/>
      </c>
      <c r="O313" s="78">
        <f>IF($A313="","",SUMIFS($K$5:$K$800,$A$5:$A$800,"&gt;="&amp;DATE(YEAR($A313),MONTH($A313),1),$A$5:$A$800,"&lt;="&amp;$A313)+IF(AND(YEAR($A313)=YEAR(Settings!$B$3),MONTH($A313)=MONTH(Settings!$B$3)),Settings!$B$11,0))</f>
        <v/>
      </c>
      <c r="P313" s="77">
        <f>IF($A313="","",SUMIFS($H$5:$H$800,$A$5:$A$800,"&gt;="&amp;DATE(YEAR($A313),MONTH($A313),1),$A$5:$A$800,"&lt;="&amp;$A313)+IF(AND(YEAR($A313)=YEAR(Settings!$B$3),MONTH($A313)=MONTH(Settings!$B$3)),Settings!$B$12,0))</f>
        <v/>
      </c>
      <c r="Q313" s="78">
        <f>IF($A313="","",SUMIFS($I$5:$I$800,$A$5:$A$800,"&gt;="&amp;DATE(YEAR($A313),MONTH($A313),1),$A$5:$A$800,"&lt;="&amp;$A313)+IF(AND(YEAR($A313)=YEAR(Settings!$B$3),MONTH($A313)=MONTH(Settings!$B$3)),Settings!$B$13,0))</f>
        <v/>
      </c>
      <c r="R313" s="77">
        <f>IF($A313="","",N313+P313)</f>
        <v/>
      </c>
      <c r="S313" s="78">
        <f>IF($A313="","",O313+Q313)</f>
        <v/>
      </c>
    </row>
    <row r="314">
      <c r="A314" s="67" t="n"/>
      <c r="B314" s="75" t="n"/>
      <c r="C314" s="76" t="n"/>
      <c r="D314" s="75" t="n"/>
      <c r="E314" s="76" t="n"/>
      <c r="F314" s="75" t="n"/>
      <c r="G314" s="76" t="n"/>
      <c r="H314" s="75" t="n"/>
      <c r="I314" s="76" t="n"/>
      <c r="J314" s="77">
        <f>IF($A314="","",B314+D314+F314)</f>
        <v/>
      </c>
      <c r="K314" s="78">
        <f>IF($A314="","",C314+E314+G314)</f>
        <v/>
      </c>
      <c r="L314" s="79">
        <f>IF($A314="","",J314+H314)</f>
        <v/>
      </c>
      <c r="M314" s="80">
        <f>IF($A314="","",K314+I314)</f>
        <v/>
      </c>
      <c r="N314" s="77">
        <f>IF($A314="","",SUMIFS($J$5:$J$800,$A$5:$A$800,"&gt;="&amp;DATE(YEAR($A314),MONTH($A314),1),$A$5:$A$800,"&lt;="&amp;$A314)+IF(AND(YEAR($A314)=YEAR(Settings!$B$3),MONTH($A314)=MONTH(Settings!$B$3)),Settings!$B$10,0))</f>
        <v/>
      </c>
      <c r="O314" s="78">
        <f>IF($A314="","",SUMIFS($K$5:$K$800,$A$5:$A$800,"&gt;="&amp;DATE(YEAR($A314),MONTH($A314),1),$A$5:$A$800,"&lt;="&amp;$A314)+IF(AND(YEAR($A314)=YEAR(Settings!$B$3),MONTH($A314)=MONTH(Settings!$B$3)),Settings!$B$11,0))</f>
        <v/>
      </c>
      <c r="P314" s="77">
        <f>IF($A314="","",SUMIFS($H$5:$H$800,$A$5:$A$800,"&gt;="&amp;DATE(YEAR($A314),MONTH($A314),1),$A$5:$A$800,"&lt;="&amp;$A314)+IF(AND(YEAR($A314)=YEAR(Settings!$B$3),MONTH($A314)=MONTH(Settings!$B$3)),Settings!$B$12,0))</f>
        <v/>
      </c>
      <c r="Q314" s="78">
        <f>IF($A314="","",SUMIFS($I$5:$I$800,$A$5:$A$800,"&gt;="&amp;DATE(YEAR($A314),MONTH($A314),1),$A$5:$A$800,"&lt;="&amp;$A314)+IF(AND(YEAR($A314)=YEAR(Settings!$B$3),MONTH($A314)=MONTH(Settings!$B$3)),Settings!$B$13,0))</f>
        <v/>
      </c>
      <c r="R314" s="77">
        <f>IF($A314="","",N314+P314)</f>
        <v/>
      </c>
      <c r="S314" s="78">
        <f>IF($A314="","",O314+Q314)</f>
        <v/>
      </c>
    </row>
    <row r="315">
      <c r="A315" s="67" t="n"/>
      <c r="B315" s="75" t="n"/>
      <c r="C315" s="76" t="n"/>
      <c r="D315" s="75" t="n"/>
      <c r="E315" s="76" t="n"/>
      <c r="F315" s="75" t="n"/>
      <c r="G315" s="76" t="n"/>
      <c r="H315" s="75" t="n"/>
      <c r="I315" s="76" t="n"/>
      <c r="J315" s="77">
        <f>IF($A315="","",B315+D315+F315)</f>
        <v/>
      </c>
      <c r="K315" s="78">
        <f>IF($A315="","",C315+E315+G315)</f>
        <v/>
      </c>
      <c r="L315" s="79">
        <f>IF($A315="","",J315+H315)</f>
        <v/>
      </c>
      <c r="M315" s="80">
        <f>IF($A315="","",K315+I315)</f>
        <v/>
      </c>
      <c r="N315" s="77">
        <f>IF($A315="","",SUMIFS($J$5:$J$800,$A$5:$A$800,"&gt;="&amp;DATE(YEAR($A315),MONTH($A315),1),$A$5:$A$800,"&lt;="&amp;$A315)+IF(AND(YEAR($A315)=YEAR(Settings!$B$3),MONTH($A315)=MONTH(Settings!$B$3)),Settings!$B$10,0))</f>
        <v/>
      </c>
      <c r="O315" s="78">
        <f>IF($A315="","",SUMIFS($K$5:$K$800,$A$5:$A$800,"&gt;="&amp;DATE(YEAR($A315),MONTH($A315),1),$A$5:$A$800,"&lt;="&amp;$A315)+IF(AND(YEAR($A315)=YEAR(Settings!$B$3),MONTH($A315)=MONTH(Settings!$B$3)),Settings!$B$11,0))</f>
        <v/>
      </c>
      <c r="P315" s="77">
        <f>IF($A315="","",SUMIFS($H$5:$H$800,$A$5:$A$800,"&gt;="&amp;DATE(YEAR($A315),MONTH($A315),1),$A$5:$A$800,"&lt;="&amp;$A315)+IF(AND(YEAR($A315)=YEAR(Settings!$B$3),MONTH($A315)=MONTH(Settings!$B$3)),Settings!$B$12,0))</f>
        <v/>
      </c>
      <c r="Q315" s="78">
        <f>IF($A315="","",SUMIFS($I$5:$I$800,$A$5:$A$800,"&gt;="&amp;DATE(YEAR($A315),MONTH($A315),1),$A$5:$A$800,"&lt;="&amp;$A315)+IF(AND(YEAR($A315)=YEAR(Settings!$B$3),MONTH($A315)=MONTH(Settings!$B$3)),Settings!$B$13,0))</f>
        <v/>
      </c>
      <c r="R315" s="77">
        <f>IF($A315="","",N315+P315)</f>
        <v/>
      </c>
      <c r="S315" s="78">
        <f>IF($A315="","",O315+Q315)</f>
        <v/>
      </c>
    </row>
    <row r="316">
      <c r="A316" s="67" t="n"/>
      <c r="B316" s="75" t="n"/>
      <c r="C316" s="76" t="n"/>
      <c r="D316" s="75" t="n"/>
      <c r="E316" s="76" t="n"/>
      <c r="F316" s="75" t="n"/>
      <c r="G316" s="76" t="n"/>
      <c r="H316" s="75" t="n"/>
      <c r="I316" s="76" t="n"/>
      <c r="J316" s="77">
        <f>IF($A316="","",B316+D316+F316)</f>
        <v/>
      </c>
      <c r="K316" s="78">
        <f>IF($A316="","",C316+E316+G316)</f>
        <v/>
      </c>
      <c r="L316" s="79">
        <f>IF($A316="","",J316+H316)</f>
        <v/>
      </c>
      <c r="M316" s="80">
        <f>IF($A316="","",K316+I316)</f>
        <v/>
      </c>
      <c r="N316" s="77">
        <f>IF($A316="","",SUMIFS($J$5:$J$800,$A$5:$A$800,"&gt;="&amp;DATE(YEAR($A316),MONTH($A316),1),$A$5:$A$800,"&lt;="&amp;$A316)+IF(AND(YEAR($A316)=YEAR(Settings!$B$3),MONTH($A316)=MONTH(Settings!$B$3)),Settings!$B$10,0))</f>
        <v/>
      </c>
      <c r="O316" s="78">
        <f>IF($A316="","",SUMIFS($K$5:$K$800,$A$5:$A$800,"&gt;="&amp;DATE(YEAR($A316),MONTH($A316),1),$A$5:$A$800,"&lt;="&amp;$A316)+IF(AND(YEAR($A316)=YEAR(Settings!$B$3),MONTH($A316)=MONTH(Settings!$B$3)),Settings!$B$11,0))</f>
        <v/>
      </c>
      <c r="P316" s="77">
        <f>IF($A316="","",SUMIFS($H$5:$H$800,$A$5:$A$800,"&gt;="&amp;DATE(YEAR($A316),MONTH($A316),1),$A$5:$A$800,"&lt;="&amp;$A316)+IF(AND(YEAR($A316)=YEAR(Settings!$B$3),MONTH($A316)=MONTH(Settings!$B$3)),Settings!$B$12,0))</f>
        <v/>
      </c>
      <c r="Q316" s="78">
        <f>IF($A316="","",SUMIFS($I$5:$I$800,$A$5:$A$800,"&gt;="&amp;DATE(YEAR($A316),MONTH($A316),1),$A$5:$A$800,"&lt;="&amp;$A316)+IF(AND(YEAR($A316)=YEAR(Settings!$B$3),MONTH($A316)=MONTH(Settings!$B$3)),Settings!$B$13,0))</f>
        <v/>
      </c>
      <c r="R316" s="77">
        <f>IF($A316="","",N316+P316)</f>
        <v/>
      </c>
      <c r="S316" s="78">
        <f>IF($A316="","",O316+Q316)</f>
        <v/>
      </c>
    </row>
    <row r="317">
      <c r="A317" s="67" t="n"/>
      <c r="B317" s="75" t="n"/>
      <c r="C317" s="76" t="n"/>
      <c r="D317" s="75" t="n"/>
      <c r="E317" s="76" t="n"/>
      <c r="F317" s="75" t="n"/>
      <c r="G317" s="76" t="n"/>
      <c r="H317" s="75" t="n"/>
      <c r="I317" s="76" t="n"/>
      <c r="J317" s="77">
        <f>IF($A317="","",B317+D317+F317)</f>
        <v/>
      </c>
      <c r="K317" s="78">
        <f>IF($A317="","",C317+E317+G317)</f>
        <v/>
      </c>
      <c r="L317" s="79">
        <f>IF($A317="","",J317+H317)</f>
        <v/>
      </c>
      <c r="M317" s="80">
        <f>IF($A317="","",K317+I317)</f>
        <v/>
      </c>
      <c r="N317" s="77">
        <f>IF($A317="","",SUMIFS($J$5:$J$800,$A$5:$A$800,"&gt;="&amp;DATE(YEAR($A317),MONTH($A317),1),$A$5:$A$800,"&lt;="&amp;$A317)+IF(AND(YEAR($A317)=YEAR(Settings!$B$3),MONTH($A317)=MONTH(Settings!$B$3)),Settings!$B$10,0))</f>
        <v/>
      </c>
      <c r="O317" s="78">
        <f>IF($A317="","",SUMIFS($K$5:$K$800,$A$5:$A$800,"&gt;="&amp;DATE(YEAR($A317),MONTH($A317),1),$A$5:$A$800,"&lt;="&amp;$A317)+IF(AND(YEAR($A317)=YEAR(Settings!$B$3),MONTH($A317)=MONTH(Settings!$B$3)),Settings!$B$11,0))</f>
        <v/>
      </c>
      <c r="P317" s="77">
        <f>IF($A317="","",SUMIFS($H$5:$H$800,$A$5:$A$800,"&gt;="&amp;DATE(YEAR($A317),MONTH($A317),1),$A$5:$A$800,"&lt;="&amp;$A317)+IF(AND(YEAR($A317)=YEAR(Settings!$B$3),MONTH($A317)=MONTH(Settings!$B$3)),Settings!$B$12,0))</f>
        <v/>
      </c>
      <c r="Q317" s="78">
        <f>IF($A317="","",SUMIFS($I$5:$I$800,$A$5:$A$800,"&gt;="&amp;DATE(YEAR($A317),MONTH($A317),1),$A$5:$A$800,"&lt;="&amp;$A317)+IF(AND(YEAR($A317)=YEAR(Settings!$B$3),MONTH($A317)=MONTH(Settings!$B$3)),Settings!$B$13,0))</f>
        <v/>
      </c>
      <c r="R317" s="77">
        <f>IF($A317="","",N317+P317)</f>
        <v/>
      </c>
      <c r="S317" s="78">
        <f>IF($A317="","",O317+Q317)</f>
        <v/>
      </c>
    </row>
    <row r="318">
      <c r="A318" s="67" t="n"/>
      <c r="B318" s="75" t="n"/>
      <c r="C318" s="76" t="n"/>
      <c r="D318" s="75" t="n"/>
      <c r="E318" s="76" t="n"/>
      <c r="F318" s="75" t="n"/>
      <c r="G318" s="76" t="n"/>
      <c r="H318" s="75" t="n"/>
      <c r="I318" s="76" t="n"/>
      <c r="J318" s="77">
        <f>IF($A318="","",B318+D318+F318)</f>
        <v/>
      </c>
      <c r="K318" s="78">
        <f>IF($A318="","",C318+E318+G318)</f>
        <v/>
      </c>
      <c r="L318" s="79">
        <f>IF($A318="","",J318+H318)</f>
        <v/>
      </c>
      <c r="M318" s="80">
        <f>IF($A318="","",K318+I318)</f>
        <v/>
      </c>
      <c r="N318" s="77">
        <f>IF($A318="","",SUMIFS($J$5:$J$800,$A$5:$A$800,"&gt;="&amp;DATE(YEAR($A318),MONTH($A318),1),$A$5:$A$800,"&lt;="&amp;$A318)+IF(AND(YEAR($A318)=YEAR(Settings!$B$3),MONTH($A318)=MONTH(Settings!$B$3)),Settings!$B$10,0))</f>
        <v/>
      </c>
      <c r="O318" s="78">
        <f>IF($A318="","",SUMIFS($K$5:$K$800,$A$5:$A$800,"&gt;="&amp;DATE(YEAR($A318),MONTH($A318),1),$A$5:$A$800,"&lt;="&amp;$A318)+IF(AND(YEAR($A318)=YEAR(Settings!$B$3),MONTH($A318)=MONTH(Settings!$B$3)),Settings!$B$11,0))</f>
        <v/>
      </c>
      <c r="P318" s="77">
        <f>IF($A318="","",SUMIFS($H$5:$H$800,$A$5:$A$800,"&gt;="&amp;DATE(YEAR($A318),MONTH($A318),1),$A$5:$A$800,"&lt;="&amp;$A318)+IF(AND(YEAR($A318)=YEAR(Settings!$B$3),MONTH($A318)=MONTH(Settings!$B$3)),Settings!$B$12,0))</f>
        <v/>
      </c>
      <c r="Q318" s="78">
        <f>IF($A318="","",SUMIFS($I$5:$I$800,$A$5:$A$800,"&gt;="&amp;DATE(YEAR($A318),MONTH($A318),1),$A$5:$A$800,"&lt;="&amp;$A318)+IF(AND(YEAR($A318)=YEAR(Settings!$B$3),MONTH($A318)=MONTH(Settings!$B$3)),Settings!$B$13,0))</f>
        <v/>
      </c>
      <c r="R318" s="77">
        <f>IF($A318="","",N318+P318)</f>
        <v/>
      </c>
      <c r="S318" s="78">
        <f>IF($A318="","",O318+Q318)</f>
        <v/>
      </c>
    </row>
    <row r="319">
      <c r="A319" s="67" t="n"/>
      <c r="B319" s="75" t="n"/>
      <c r="C319" s="76" t="n"/>
      <c r="D319" s="75" t="n"/>
      <c r="E319" s="76" t="n"/>
      <c r="F319" s="75" t="n"/>
      <c r="G319" s="76" t="n"/>
      <c r="H319" s="75" t="n"/>
      <c r="I319" s="76" t="n"/>
      <c r="J319" s="77">
        <f>IF($A319="","",B319+D319+F319)</f>
        <v/>
      </c>
      <c r="K319" s="78">
        <f>IF($A319="","",C319+E319+G319)</f>
        <v/>
      </c>
      <c r="L319" s="79">
        <f>IF($A319="","",J319+H319)</f>
        <v/>
      </c>
      <c r="M319" s="80">
        <f>IF($A319="","",K319+I319)</f>
        <v/>
      </c>
      <c r="N319" s="77">
        <f>IF($A319="","",SUMIFS($J$5:$J$800,$A$5:$A$800,"&gt;="&amp;DATE(YEAR($A319),MONTH($A319),1),$A$5:$A$800,"&lt;="&amp;$A319)+IF(AND(YEAR($A319)=YEAR(Settings!$B$3),MONTH($A319)=MONTH(Settings!$B$3)),Settings!$B$10,0))</f>
        <v/>
      </c>
      <c r="O319" s="78">
        <f>IF($A319="","",SUMIFS($K$5:$K$800,$A$5:$A$800,"&gt;="&amp;DATE(YEAR($A319),MONTH($A319),1),$A$5:$A$800,"&lt;="&amp;$A319)+IF(AND(YEAR($A319)=YEAR(Settings!$B$3),MONTH($A319)=MONTH(Settings!$B$3)),Settings!$B$11,0))</f>
        <v/>
      </c>
      <c r="P319" s="77">
        <f>IF($A319="","",SUMIFS($H$5:$H$800,$A$5:$A$800,"&gt;="&amp;DATE(YEAR($A319),MONTH($A319),1),$A$5:$A$800,"&lt;="&amp;$A319)+IF(AND(YEAR($A319)=YEAR(Settings!$B$3),MONTH($A319)=MONTH(Settings!$B$3)),Settings!$B$12,0))</f>
        <v/>
      </c>
      <c r="Q319" s="78">
        <f>IF($A319="","",SUMIFS($I$5:$I$800,$A$5:$A$800,"&gt;="&amp;DATE(YEAR($A319),MONTH($A319),1),$A$5:$A$800,"&lt;="&amp;$A319)+IF(AND(YEAR($A319)=YEAR(Settings!$B$3),MONTH($A319)=MONTH(Settings!$B$3)),Settings!$B$13,0))</f>
        <v/>
      </c>
      <c r="R319" s="77">
        <f>IF($A319="","",N319+P319)</f>
        <v/>
      </c>
      <c r="S319" s="78">
        <f>IF($A319="","",O319+Q319)</f>
        <v/>
      </c>
    </row>
    <row r="320">
      <c r="A320" s="67" t="n"/>
      <c r="B320" s="75" t="n"/>
      <c r="C320" s="76" t="n"/>
      <c r="D320" s="75" t="n"/>
      <c r="E320" s="76" t="n"/>
      <c r="F320" s="75" t="n"/>
      <c r="G320" s="76" t="n"/>
      <c r="H320" s="75" t="n"/>
      <c r="I320" s="76" t="n"/>
      <c r="J320" s="77">
        <f>IF($A320="","",B320+D320+F320)</f>
        <v/>
      </c>
      <c r="K320" s="78">
        <f>IF($A320="","",C320+E320+G320)</f>
        <v/>
      </c>
      <c r="L320" s="79">
        <f>IF($A320="","",J320+H320)</f>
        <v/>
      </c>
      <c r="M320" s="80">
        <f>IF($A320="","",K320+I320)</f>
        <v/>
      </c>
      <c r="N320" s="77">
        <f>IF($A320="","",SUMIFS($J$5:$J$800,$A$5:$A$800,"&gt;="&amp;DATE(YEAR($A320),MONTH($A320),1),$A$5:$A$800,"&lt;="&amp;$A320)+IF(AND(YEAR($A320)=YEAR(Settings!$B$3),MONTH($A320)=MONTH(Settings!$B$3)),Settings!$B$10,0))</f>
        <v/>
      </c>
      <c r="O320" s="78">
        <f>IF($A320="","",SUMIFS($K$5:$K$800,$A$5:$A$800,"&gt;="&amp;DATE(YEAR($A320),MONTH($A320),1),$A$5:$A$800,"&lt;="&amp;$A320)+IF(AND(YEAR($A320)=YEAR(Settings!$B$3),MONTH($A320)=MONTH(Settings!$B$3)),Settings!$B$11,0))</f>
        <v/>
      </c>
      <c r="P320" s="77">
        <f>IF($A320="","",SUMIFS($H$5:$H$800,$A$5:$A$800,"&gt;="&amp;DATE(YEAR($A320),MONTH($A320),1),$A$5:$A$800,"&lt;="&amp;$A320)+IF(AND(YEAR($A320)=YEAR(Settings!$B$3),MONTH($A320)=MONTH(Settings!$B$3)),Settings!$B$12,0))</f>
        <v/>
      </c>
      <c r="Q320" s="78">
        <f>IF($A320="","",SUMIFS($I$5:$I$800,$A$5:$A$800,"&gt;="&amp;DATE(YEAR($A320),MONTH($A320),1),$A$5:$A$800,"&lt;="&amp;$A320)+IF(AND(YEAR($A320)=YEAR(Settings!$B$3),MONTH($A320)=MONTH(Settings!$B$3)),Settings!$B$13,0))</f>
        <v/>
      </c>
      <c r="R320" s="77">
        <f>IF($A320="","",N320+P320)</f>
        <v/>
      </c>
      <c r="S320" s="78">
        <f>IF($A320="","",O320+Q320)</f>
        <v/>
      </c>
    </row>
    <row r="321">
      <c r="A321" s="67" t="n"/>
      <c r="B321" s="75" t="n"/>
      <c r="C321" s="76" t="n"/>
      <c r="D321" s="75" t="n"/>
      <c r="E321" s="76" t="n"/>
      <c r="F321" s="75" t="n"/>
      <c r="G321" s="76" t="n"/>
      <c r="H321" s="75" t="n"/>
      <c r="I321" s="76" t="n"/>
      <c r="J321" s="77">
        <f>IF($A321="","",B321+D321+F321)</f>
        <v/>
      </c>
      <c r="K321" s="78">
        <f>IF($A321="","",C321+E321+G321)</f>
        <v/>
      </c>
      <c r="L321" s="79">
        <f>IF($A321="","",J321+H321)</f>
        <v/>
      </c>
      <c r="M321" s="80">
        <f>IF($A321="","",K321+I321)</f>
        <v/>
      </c>
      <c r="N321" s="77">
        <f>IF($A321="","",SUMIFS($J$5:$J$800,$A$5:$A$800,"&gt;="&amp;DATE(YEAR($A321),MONTH($A321),1),$A$5:$A$800,"&lt;="&amp;$A321)+IF(AND(YEAR($A321)=YEAR(Settings!$B$3),MONTH($A321)=MONTH(Settings!$B$3)),Settings!$B$10,0))</f>
        <v/>
      </c>
      <c r="O321" s="78">
        <f>IF($A321="","",SUMIFS($K$5:$K$800,$A$5:$A$800,"&gt;="&amp;DATE(YEAR($A321),MONTH($A321),1),$A$5:$A$800,"&lt;="&amp;$A321)+IF(AND(YEAR($A321)=YEAR(Settings!$B$3),MONTH($A321)=MONTH(Settings!$B$3)),Settings!$B$11,0))</f>
        <v/>
      </c>
      <c r="P321" s="77">
        <f>IF($A321="","",SUMIFS($H$5:$H$800,$A$5:$A$800,"&gt;="&amp;DATE(YEAR($A321),MONTH($A321),1),$A$5:$A$800,"&lt;="&amp;$A321)+IF(AND(YEAR($A321)=YEAR(Settings!$B$3),MONTH($A321)=MONTH(Settings!$B$3)),Settings!$B$12,0))</f>
        <v/>
      </c>
      <c r="Q321" s="78">
        <f>IF($A321="","",SUMIFS($I$5:$I$800,$A$5:$A$800,"&gt;="&amp;DATE(YEAR($A321),MONTH($A321),1),$A$5:$A$800,"&lt;="&amp;$A321)+IF(AND(YEAR($A321)=YEAR(Settings!$B$3),MONTH($A321)=MONTH(Settings!$B$3)),Settings!$B$13,0))</f>
        <v/>
      </c>
      <c r="R321" s="77">
        <f>IF($A321="","",N321+P321)</f>
        <v/>
      </c>
      <c r="S321" s="78">
        <f>IF($A321="","",O321+Q321)</f>
        <v/>
      </c>
    </row>
    <row r="322">
      <c r="A322" s="67" t="n"/>
      <c r="B322" s="75" t="n"/>
      <c r="C322" s="76" t="n"/>
      <c r="D322" s="75" t="n"/>
      <c r="E322" s="76" t="n"/>
      <c r="F322" s="75" t="n"/>
      <c r="G322" s="76" t="n"/>
      <c r="H322" s="75" t="n"/>
      <c r="I322" s="76" t="n"/>
      <c r="J322" s="77">
        <f>IF($A322="","",B322+D322+F322)</f>
        <v/>
      </c>
      <c r="K322" s="78">
        <f>IF($A322="","",C322+E322+G322)</f>
        <v/>
      </c>
      <c r="L322" s="79">
        <f>IF($A322="","",J322+H322)</f>
        <v/>
      </c>
      <c r="M322" s="80">
        <f>IF($A322="","",K322+I322)</f>
        <v/>
      </c>
      <c r="N322" s="77">
        <f>IF($A322="","",SUMIFS($J$5:$J$800,$A$5:$A$800,"&gt;="&amp;DATE(YEAR($A322),MONTH($A322),1),$A$5:$A$800,"&lt;="&amp;$A322)+IF(AND(YEAR($A322)=YEAR(Settings!$B$3),MONTH($A322)=MONTH(Settings!$B$3)),Settings!$B$10,0))</f>
        <v/>
      </c>
      <c r="O322" s="78">
        <f>IF($A322="","",SUMIFS($K$5:$K$800,$A$5:$A$800,"&gt;="&amp;DATE(YEAR($A322),MONTH($A322),1),$A$5:$A$800,"&lt;="&amp;$A322)+IF(AND(YEAR($A322)=YEAR(Settings!$B$3),MONTH($A322)=MONTH(Settings!$B$3)),Settings!$B$11,0))</f>
        <v/>
      </c>
      <c r="P322" s="77">
        <f>IF($A322="","",SUMIFS($H$5:$H$800,$A$5:$A$800,"&gt;="&amp;DATE(YEAR($A322),MONTH($A322),1),$A$5:$A$800,"&lt;="&amp;$A322)+IF(AND(YEAR($A322)=YEAR(Settings!$B$3),MONTH($A322)=MONTH(Settings!$B$3)),Settings!$B$12,0))</f>
        <v/>
      </c>
      <c r="Q322" s="78">
        <f>IF($A322="","",SUMIFS($I$5:$I$800,$A$5:$A$800,"&gt;="&amp;DATE(YEAR($A322),MONTH($A322),1),$A$5:$A$800,"&lt;="&amp;$A322)+IF(AND(YEAR($A322)=YEAR(Settings!$B$3),MONTH($A322)=MONTH(Settings!$B$3)),Settings!$B$13,0))</f>
        <v/>
      </c>
      <c r="R322" s="77">
        <f>IF($A322="","",N322+P322)</f>
        <v/>
      </c>
      <c r="S322" s="78">
        <f>IF($A322="","",O322+Q322)</f>
        <v/>
      </c>
    </row>
    <row r="323">
      <c r="A323" s="67" t="n"/>
      <c r="B323" s="75" t="n"/>
      <c r="C323" s="76" t="n"/>
      <c r="D323" s="75" t="n"/>
      <c r="E323" s="76" t="n"/>
      <c r="F323" s="75" t="n"/>
      <c r="G323" s="76" t="n"/>
      <c r="H323" s="75" t="n"/>
      <c r="I323" s="76" t="n"/>
      <c r="J323" s="77">
        <f>IF($A323="","",B323+D323+F323)</f>
        <v/>
      </c>
      <c r="K323" s="78">
        <f>IF($A323="","",C323+E323+G323)</f>
        <v/>
      </c>
      <c r="L323" s="79">
        <f>IF($A323="","",J323+H323)</f>
        <v/>
      </c>
      <c r="M323" s="80">
        <f>IF($A323="","",K323+I323)</f>
        <v/>
      </c>
      <c r="N323" s="77">
        <f>IF($A323="","",SUMIFS($J$5:$J$800,$A$5:$A$800,"&gt;="&amp;DATE(YEAR($A323),MONTH($A323),1),$A$5:$A$800,"&lt;="&amp;$A323)+IF(AND(YEAR($A323)=YEAR(Settings!$B$3),MONTH($A323)=MONTH(Settings!$B$3)),Settings!$B$10,0))</f>
        <v/>
      </c>
      <c r="O323" s="78">
        <f>IF($A323="","",SUMIFS($K$5:$K$800,$A$5:$A$800,"&gt;="&amp;DATE(YEAR($A323),MONTH($A323),1),$A$5:$A$800,"&lt;="&amp;$A323)+IF(AND(YEAR($A323)=YEAR(Settings!$B$3),MONTH($A323)=MONTH(Settings!$B$3)),Settings!$B$11,0))</f>
        <v/>
      </c>
      <c r="P323" s="77">
        <f>IF($A323="","",SUMIFS($H$5:$H$800,$A$5:$A$800,"&gt;="&amp;DATE(YEAR($A323),MONTH($A323),1),$A$5:$A$800,"&lt;="&amp;$A323)+IF(AND(YEAR($A323)=YEAR(Settings!$B$3),MONTH($A323)=MONTH(Settings!$B$3)),Settings!$B$12,0))</f>
        <v/>
      </c>
      <c r="Q323" s="78">
        <f>IF($A323="","",SUMIFS($I$5:$I$800,$A$5:$A$800,"&gt;="&amp;DATE(YEAR($A323),MONTH($A323),1),$A$5:$A$800,"&lt;="&amp;$A323)+IF(AND(YEAR($A323)=YEAR(Settings!$B$3),MONTH($A323)=MONTH(Settings!$B$3)),Settings!$B$13,0))</f>
        <v/>
      </c>
      <c r="R323" s="77">
        <f>IF($A323="","",N323+P323)</f>
        <v/>
      </c>
      <c r="S323" s="78">
        <f>IF($A323="","",O323+Q323)</f>
        <v/>
      </c>
    </row>
    <row r="324">
      <c r="A324" s="67" t="n"/>
      <c r="B324" s="75" t="n"/>
      <c r="C324" s="76" t="n"/>
      <c r="D324" s="75" t="n"/>
      <c r="E324" s="76" t="n"/>
      <c r="F324" s="75" t="n"/>
      <c r="G324" s="76" t="n"/>
      <c r="H324" s="75" t="n"/>
      <c r="I324" s="76" t="n"/>
      <c r="J324" s="77">
        <f>IF($A324="","",B324+D324+F324)</f>
        <v/>
      </c>
      <c r="K324" s="78">
        <f>IF($A324="","",C324+E324+G324)</f>
        <v/>
      </c>
      <c r="L324" s="79">
        <f>IF($A324="","",J324+H324)</f>
        <v/>
      </c>
      <c r="M324" s="80">
        <f>IF($A324="","",K324+I324)</f>
        <v/>
      </c>
      <c r="N324" s="77">
        <f>IF($A324="","",SUMIFS($J$5:$J$800,$A$5:$A$800,"&gt;="&amp;DATE(YEAR($A324),MONTH($A324),1),$A$5:$A$800,"&lt;="&amp;$A324)+IF(AND(YEAR($A324)=YEAR(Settings!$B$3),MONTH($A324)=MONTH(Settings!$B$3)),Settings!$B$10,0))</f>
        <v/>
      </c>
      <c r="O324" s="78">
        <f>IF($A324="","",SUMIFS($K$5:$K$800,$A$5:$A$800,"&gt;="&amp;DATE(YEAR($A324),MONTH($A324),1),$A$5:$A$800,"&lt;="&amp;$A324)+IF(AND(YEAR($A324)=YEAR(Settings!$B$3),MONTH($A324)=MONTH(Settings!$B$3)),Settings!$B$11,0))</f>
        <v/>
      </c>
      <c r="P324" s="77">
        <f>IF($A324="","",SUMIFS($H$5:$H$800,$A$5:$A$800,"&gt;="&amp;DATE(YEAR($A324),MONTH($A324),1),$A$5:$A$800,"&lt;="&amp;$A324)+IF(AND(YEAR($A324)=YEAR(Settings!$B$3),MONTH($A324)=MONTH(Settings!$B$3)),Settings!$B$12,0))</f>
        <v/>
      </c>
      <c r="Q324" s="78">
        <f>IF($A324="","",SUMIFS($I$5:$I$800,$A$5:$A$800,"&gt;="&amp;DATE(YEAR($A324),MONTH($A324),1),$A$5:$A$800,"&lt;="&amp;$A324)+IF(AND(YEAR($A324)=YEAR(Settings!$B$3),MONTH($A324)=MONTH(Settings!$B$3)),Settings!$B$13,0))</f>
        <v/>
      </c>
      <c r="R324" s="77">
        <f>IF($A324="","",N324+P324)</f>
        <v/>
      </c>
      <c r="S324" s="78">
        <f>IF($A324="","",O324+Q324)</f>
        <v/>
      </c>
    </row>
    <row r="325">
      <c r="A325" s="67" t="n"/>
      <c r="B325" s="75" t="n"/>
      <c r="C325" s="76" t="n"/>
      <c r="D325" s="75" t="n"/>
      <c r="E325" s="76" t="n"/>
      <c r="F325" s="75" t="n"/>
      <c r="G325" s="76" t="n"/>
      <c r="H325" s="75" t="n"/>
      <c r="I325" s="76" t="n"/>
      <c r="J325" s="77">
        <f>IF($A325="","",B325+D325+F325)</f>
        <v/>
      </c>
      <c r="K325" s="78">
        <f>IF($A325="","",C325+E325+G325)</f>
        <v/>
      </c>
      <c r="L325" s="79">
        <f>IF($A325="","",J325+H325)</f>
        <v/>
      </c>
      <c r="M325" s="80">
        <f>IF($A325="","",K325+I325)</f>
        <v/>
      </c>
      <c r="N325" s="77">
        <f>IF($A325="","",SUMIFS($J$5:$J$800,$A$5:$A$800,"&gt;="&amp;DATE(YEAR($A325),MONTH($A325),1),$A$5:$A$800,"&lt;="&amp;$A325)+IF(AND(YEAR($A325)=YEAR(Settings!$B$3),MONTH($A325)=MONTH(Settings!$B$3)),Settings!$B$10,0))</f>
        <v/>
      </c>
      <c r="O325" s="78">
        <f>IF($A325="","",SUMIFS($K$5:$K$800,$A$5:$A$800,"&gt;="&amp;DATE(YEAR($A325),MONTH($A325),1),$A$5:$A$800,"&lt;="&amp;$A325)+IF(AND(YEAR($A325)=YEAR(Settings!$B$3),MONTH($A325)=MONTH(Settings!$B$3)),Settings!$B$11,0))</f>
        <v/>
      </c>
      <c r="P325" s="77">
        <f>IF($A325="","",SUMIFS($H$5:$H$800,$A$5:$A$800,"&gt;="&amp;DATE(YEAR($A325),MONTH($A325),1),$A$5:$A$800,"&lt;="&amp;$A325)+IF(AND(YEAR($A325)=YEAR(Settings!$B$3),MONTH($A325)=MONTH(Settings!$B$3)),Settings!$B$12,0))</f>
        <v/>
      </c>
      <c r="Q325" s="78">
        <f>IF($A325="","",SUMIFS($I$5:$I$800,$A$5:$A$800,"&gt;="&amp;DATE(YEAR($A325),MONTH($A325),1),$A$5:$A$800,"&lt;="&amp;$A325)+IF(AND(YEAR($A325)=YEAR(Settings!$B$3),MONTH($A325)=MONTH(Settings!$B$3)),Settings!$B$13,0))</f>
        <v/>
      </c>
      <c r="R325" s="77">
        <f>IF($A325="","",N325+P325)</f>
        <v/>
      </c>
      <c r="S325" s="78">
        <f>IF($A325="","",O325+Q325)</f>
        <v/>
      </c>
    </row>
    <row r="326">
      <c r="A326" s="67" t="n"/>
      <c r="B326" s="75" t="n"/>
      <c r="C326" s="76" t="n"/>
      <c r="D326" s="75" t="n"/>
      <c r="E326" s="76" t="n"/>
      <c r="F326" s="75" t="n"/>
      <c r="G326" s="76" t="n"/>
      <c r="H326" s="75" t="n"/>
      <c r="I326" s="76" t="n"/>
      <c r="J326" s="77">
        <f>IF($A326="","",B326+D326+F326)</f>
        <v/>
      </c>
      <c r="K326" s="78">
        <f>IF($A326="","",C326+E326+G326)</f>
        <v/>
      </c>
      <c r="L326" s="79">
        <f>IF($A326="","",J326+H326)</f>
        <v/>
      </c>
      <c r="M326" s="80">
        <f>IF($A326="","",K326+I326)</f>
        <v/>
      </c>
      <c r="N326" s="77">
        <f>IF($A326="","",SUMIFS($J$5:$J$800,$A$5:$A$800,"&gt;="&amp;DATE(YEAR($A326),MONTH($A326),1),$A$5:$A$800,"&lt;="&amp;$A326)+IF(AND(YEAR($A326)=YEAR(Settings!$B$3),MONTH($A326)=MONTH(Settings!$B$3)),Settings!$B$10,0))</f>
        <v/>
      </c>
      <c r="O326" s="78">
        <f>IF($A326="","",SUMIFS($K$5:$K$800,$A$5:$A$800,"&gt;="&amp;DATE(YEAR($A326),MONTH($A326),1),$A$5:$A$800,"&lt;="&amp;$A326)+IF(AND(YEAR($A326)=YEAR(Settings!$B$3),MONTH($A326)=MONTH(Settings!$B$3)),Settings!$B$11,0))</f>
        <v/>
      </c>
      <c r="P326" s="77">
        <f>IF($A326="","",SUMIFS($H$5:$H$800,$A$5:$A$800,"&gt;="&amp;DATE(YEAR($A326),MONTH($A326),1),$A$5:$A$800,"&lt;="&amp;$A326)+IF(AND(YEAR($A326)=YEAR(Settings!$B$3),MONTH($A326)=MONTH(Settings!$B$3)),Settings!$B$12,0))</f>
        <v/>
      </c>
      <c r="Q326" s="78">
        <f>IF($A326="","",SUMIFS($I$5:$I$800,$A$5:$A$800,"&gt;="&amp;DATE(YEAR($A326),MONTH($A326),1),$A$5:$A$800,"&lt;="&amp;$A326)+IF(AND(YEAR($A326)=YEAR(Settings!$B$3),MONTH($A326)=MONTH(Settings!$B$3)),Settings!$B$13,0))</f>
        <v/>
      </c>
      <c r="R326" s="77">
        <f>IF($A326="","",N326+P326)</f>
        <v/>
      </c>
      <c r="S326" s="78">
        <f>IF($A326="","",O326+Q326)</f>
        <v/>
      </c>
    </row>
    <row r="327">
      <c r="A327" s="67" t="n"/>
      <c r="B327" s="75" t="n"/>
      <c r="C327" s="76" t="n"/>
      <c r="D327" s="75" t="n"/>
      <c r="E327" s="76" t="n"/>
      <c r="F327" s="75" t="n"/>
      <c r="G327" s="76" t="n"/>
      <c r="H327" s="75" t="n"/>
      <c r="I327" s="76" t="n"/>
      <c r="J327" s="77">
        <f>IF($A327="","",B327+D327+F327)</f>
        <v/>
      </c>
      <c r="K327" s="78">
        <f>IF($A327="","",C327+E327+G327)</f>
        <v/>
      </c>
      <c r="L327" s="79">
        <f>IF($A327="","",J327+H327)</f>
        <v/>
      </c>
      <c r="M327" s="80">
        <f>IF($A327="","",K327+I327)</f>
        <v/>
      </c>
      <c r="N327" s="77">
        <f>IF($A327="","",SUMIFS($J$5:$J$800,$A$5:$A$800,"&gt;="&amp;DATE(YEAR($A327),MONTH($A327),1),$A$5:$A$800,"&lt;="&amp;$A327)+IF(AND(YEAR($A327)=YEAR(Settings!$B$3),MONTH($A327)=MONTH(Settings!$B$3)),Settings!$B$10,0))</f>
        <v/>
      </c>
      <c r="O327" s="78">
        <f>IF($A327="","",SUMIFS($K$5:$K$800,$A$5:$A$800,"&gt;="&amp;DATE(YEAR($A327),MONTH($A327),1),$A$5:$A$800,"&lt;="&amp;$A327)+IF(AND(YEAR($A327)=YEAR(Settings!$B$3),MONTH($A327)=MONTH(Settings!$B$3)),Settings!$B$11,0))</f>
        <v/>
      </c>
      <c r="P327" s="77">
        <f>IF($A327="","",SUMIFS($H$5:$H$800,$A$5:$A$800,"&gt;="&amp;DATE(YEAR($A327),MONTH($A327),1),$A$5:$A$800,"&lt;="&amp;$A327)+IF(AND(YEAR($A327)=YEAR(Settings!$B$3),MONTH($A327)=MONTH(Settings!$B$3)),Settings!$B$12,0))</f>
        <v/>
      </c>
      <c r="Q327" s="78">
        <f>IF($A327="","",SUMIFS($I$5:$I$800,$A$5:$A$800,"&gt;="&amp;DATE(YEAR($A327),MONTH($A327),1),$A$5:$A$800,"&lt;="&amp;$A327)+IF(AND(YEAR($A327)=YEAR(Settings!$B$3),MONTH($A327)=MONTH(Settings!$B$3)),Settings!$B$13,0))</f>
        <v/>
      </c>
      <c r="R327" s="77">
        <f>IF($A327="","",N327+P327)</f>
        <v/>
      </c>
      <c r="S327" s="78">
        <f>IF($A327="","",O327+Q327)</f>
        <v/>
      </c>
    </row>
    <row r="328">
      <c r="A328" s="67" t="n"/>
      <c r="B328" s="75" t="n"/>
      <c r="C328" s="76" t="n"/>
      <c r="D328" s="75" t="n"/>
      <c r="E328" s="76" t="n"/>
      <c r="F328" s="75" t="n"/>
      <c r="G328" s="76" t="n"/>
      <c r="H328" s="75" t="n"/>
      <c r="I328" s="76" t="n"/>
      <c r="J328" s="77">
        <f>IF($A328="","",B328+D328+F328)</f>
        <v/>
      </c>
      <c r="K328" s="78">
        <f>IF($A328="","",C328+E328+G328)</f>
        <v/>
      </c>
      <c r="L328" s="79">
        <f>IF($A328="","",J328+H328)</f>
        <v/>
      </c>
      <c r="M328" s="80">
        <f>IF($A328="","",K328+I328)</f>
        <v/>
      </c>
      <c r="N328" s="77">
        <f>IF($A328="","",SUMIFS($J$5:$J$800,$A$5:$A$800,"&gt;="&amp;DATE(YEAR($A328),MONTH($A328),1),$A$5:$A$800,"&lt;="&amp;$A328)+IF(AND(YEAR($A328)=YEAR(Settings!$B$3),MONTH($A328)=MONTH(Settings!$B$3)),Settings!$B$10,0))</f>
        <v/>
      </c>
      <c r="O328" s="78">
        <f>IF($A328="","",SUMIFS($K$5:$K$800,$A$5:$A$800,"&gt;="&amp;DATE(YEAR($A328),MONTH($A328),1),$A$5:$A$800,"&lt;="&amp;$A328)+IF(AND(YEAR($A328)=YEAR(Settings!$B$3),MONTH($A328)=MONTH(Settings!$B$3)),Settings!$B$11,0))</f>
        <v/>
      </c>
      <c r="P328" s="77">
        <f>IF($A328="","",SUMIFS($H$5:$H$800,$A$5:$A$800,"&gt;="&amp;DATE(YEAR($A328),MONTH($A328),1),$A$5:$A$800,"&lt;="&amp;$A328)+IF(AND(YEAR($A328)=YEAR(Settings!$B$3),MONTH($A328)=MONTH(Settings!$B$3)),Settings!$B$12,0))</f>
        <v/>
      </c>
      <c r="Q328" s="78">
        <f>IF($A328="","",SUMIFS($I$5:$I$800,$A$5:$A$800,"&gt;="&amp;DATE(YEAR($A328),MONTH($A328),1),$A$5:$A$800,"&lt;="&amp;$A328)+IF(AND(YEAR($A328)=YEAR(Settings!$B$3),MONTH($A328)=MONTH(Settings!$B$3)),Settings!$B$13,0))</f>
        <v/>
      </c>
      <c r="R328" s="77">
        <f>IF($A328="","",N328+P328)</f>
        <v/>
      </c>
      <c r="S328" s="78">
        <f>IF($A328="","",O328+Q328)</f>
        <v/>
      </c>
    </row>
    <row r="329">
      <c r="A329" s="67" t="n"/>
      <c r="B329" s="75" t="n"/>
      <c r="C329" s="76" t="n"/>
      <c r="D329" s="75" t="n"/>
      <c r="E329" s="76" t="n"/>
      <c r="F329" s="75" t="n"/>
      <c r="G329" s="76" t="n"/>
      <c r="H329" s="75" t="n"/>
      <c r="I329" s="76" t="n"/>
      <c r="J329" s="77">
        <f>IF($A329="","",B329+D329+F329)</f>
        <v/>
      </c>
      <c r="K329" s="78">
        <f>IF($A329="","",C329+E329+G329)</f>
        <v/>
      </c>
      <c r="L329" s="79">
        <f>IF($A329="","",J329+H329)</f>
        <v/>
      </c>
      <c r="M329" s="80">
        <f>IF($A329="","",K329+I329)</f>
        <v/>
      </c>
      <c r="N329" s="77">
        <f>IF($A329="","",SUMIFS($J$5:$J$800,$A$5:$A$800,"&gt;="&amp;DATE(YEAR($A329),MONTH($A329),1),$A$5:$A$800,"&lt;="&amp;$A329)+IF(AND(YEAR($A329)=YEAR(Settings!$B$3),MONTH($A329)=MONTH(Settings!$B$3)),Settings!$B$10,0))</f>
        <v/>
      </c>
      <c r="O329" s="78">
        <f>IF($A329="","",SUMIFS($K$5:$K$800,$A$5:$A$800,"&gt;="&amp;DATE(YEAR($A329),MONTH($A329),1),$A$5:$A$800,"&lt;="&amp;$A329)+IF(AND(YEAR($A329)=YEAR(Settings!$B$3),MONTH($A329)=MONTH(Settings!$B$3)),Settings!$B$11,0))</f>
        <v/>
      </c>
      <c r="P329" s="77">
        <f>IF($A329="","",SUMIFS($H$5:$H$800,$A$5:$A$800,"&gt;="&amp;DATE(YEAR($A329),MONTH($A329),1),$A$5:$A$800,"&lt;="&amp;$A329)+IF(AND(YEAR($A329)=YEAR(Settings!$B$3),MONTH($A329)=MONTH(Settings!$B$3)),Settings!$B$12,0))</f>
        <v/>
      </c>
      <c r="Q329" s="78">
        <f>IF($A329="","",SUMIFS($I$5:$I$800,$A$5:$A$800,"&gt;="&amp;DATE(YEAR($A329),MONTH($A329),1),$A$5:$A$800,"&lt;="&amp;$A329)+IF(AND(YEAR($A329)=YEAR(Settings!$B$3),MONTH($A329)=MONTH(Settings!$B$3)),Settings!$B$13,0))</f>
        <v/>
      </c>
      <c r="R329" s="77">
        <f>IF($A329="","",N329+P329)</f>
        <v/>
      </c>
      <c r="S329" s="78">
        <f>IF($A329="","",O329+Q329)</f>
        <v/>
      </c>
    </row>
    <row r="330">
      <c r="A330" s="67" t="n"/>
      <c r="B330" s="75" t="n"/>
      <c r="C330" s="76" t="n"/>
      <c r="D330" s="75" t="n"/>
      <c r="E330" s="76" t="n"/>
      <c r="F330" s="75" t="n"/>
      <c r="G330" s="76" t="n"/>
      <c r="H330" s="75" t="n"/>
      <c r="I330" s="76" t="n"/>
      <c r="J330" s="77">
        <f>IF($A330="","",B330+D330+F330)</f>
        <v/>
      </c>
      <c r="K330" s="78">
        <f>IF($A330="","",C330+E330+G330)</f>
        <v/>
      </c>
      <c r="L330" s="79">
        <f>IF($A330="","",J330+H330)</f>
        <v/>
      </c>
      <c r="M330" s="80">
        <f>IF($A330="","",K330+I330)</f>
        <v/>
      </c>
      <c r="N330" s="77">
        <f>IF($A330="","",SUMIFS($J$5:$J$800,$A$5:$A$800,"&gt;="&amp;DATE(YEAR($A330),MONTH($A330),1),$A$5:$A$800,"&lt;="&amp;$A330)+IF(AND(YEAR($A330)=YEAR(Settings!$B$3),MONTH($A330)=MONTH(Settings!$B$3)),Settings!$B$10,0))</f>
        <v/>
      </c>
      <c r="O330" s="78">
        <f>IF($A330="","",SUMIFS($K$5:$K$800,$A$5:$A$800,"&gt;="&amp;DATE(YEAR($A330),MONTH($A330),1),$A$5:$A$800,"&lt;="&amp;$A330)+IF(AND(YEAR($A330)=YEAR(Settings!$B$3),MONTH($A330)=MONTH(Settings!$B$3)),Settings!$B$11,0))</f>
        <v/>
      </c>
      <c r="P330" s="77">
        <f>IF($A330="","",SUMIFS($H$5:$H$800,$A$5:$A$800,"&gt;="&amp;DATE(YEAR($A330),MONTH($A330),1),$A$5:$A$800,"&lt;="&amp;$A330)+IF(AND(YEAR($A330)=YEAR(Settings!$B$3),MONTH($A330)=MONTH(Settings!$B$3)),Settings!$B$12,0))</f>
        <v/>
      </c>
      <c r="Q330" s="78">
        <f>IF($A330="","",SUMIFS($I$5:$I$800,$A$5:$A$800,"&gt;="&amp;DATE(YEAR($A330),MONTH($A330),1),$A$5:$A$800,"&lt;="&amp;$A330)+IF(AND(YEAR($A330)=YEAR(Settings!$B$3),MONTH($A330)=MONTH(Settings!$B$3)),Settings!$B$13,0))</f>
        <v/>
      </c>
      <c r="R330" s="77">
        <f>IF($A330="","",N330+P330)</f>
        <v/>
      </c>
      <c r="S330" s="78">
        <f>IF($A330="","",O330+Q330)</f>
        <v/>
      </c>
    </row>
    <row r="331">
      <c r="A331" s="67" t="n"/>
      <c r="B331" s="75" t="n"/>
      <c r="C331" s="76" t="n"/>
      <c r="D331" s="75" t="n"/>
      <c r="E331" s="76" t="n"/>
      <c r="F331" s="75" t="n"/>
      <c r="G331" s="76" t="n"/>
      <c r="H331" s="75" t="n"/>
      <c r="I331" s="76" t="n"/>
      <c r="J331" s="77">
        <f>IF($A331="","",B331+D331+F331)</f>
        <v/>
      </c>
      <c r="K331" s="78">
        <f>IF($A331="","",C331+E331+G331)</f>
        <v/>
      </c>
      <c r="L331" s="79">
        <f>IF($A331="","",J331+H331)</f>
        <v/>
      </c>
      <c r="M331" s="80">
        <f>IF($A331="","",K331+I331)</f>
        <v/>
      </c>
      <c r="N331" s="77">
        <f>IF($A331="","",SUMIFS($J$5:$J$800,$A$5:$A$800,"&gt;="&amp;DATE(YEAR($A331),MONTH($A331),1),$A$5:$A$800,"&lt;="&amp;$A331)+IF(AND(YEAR($A331)=YEAR(Settings!$B$3),MONTH($A331)=MONTH(Settings!$B$3)),Settings!$B$10,0))</f>
        <v/>
      </c>
      <c r="O331" s="78">
        <f>IF($A331="","",SUMIFS($K$5:$K$800,$A$5:$A$800,"&gt;="&amp;DATE(YEAR($A331),MONTH($A331),1),$A$5:$A$800,"&lt;="&amp;$A331)+IF(AND(YEAR($A331)=YEAR(Settings!$B$3),MONTH($A331)=MONTH(Settings!$B$3)),Settings!$B$11,0))</f>
        <v/>
      </c>
      <c r="P331" s="77">
        <f>IF($A331="","",SUMIFS($H$5:$H$800,$A$5:$A$800,"&gt;="&amp;DATE(YEAR($A331),MONTH($A331),1),$A$5:$A$800,"&lt;="&amp;$A331)+IF(AND(YEAR($A331)=YEAR(Settings!$B$3),MONTH($A331)=MONTH(Settings!$B$3)),Settings!$B$12,0))</f>
        <v/>
      </c>
      <c r="Q331" s="78">
        <f>IF($A331="","",SUMIFS($I$5:$I$800,$A$5:$A$800,"&gt;="&amp;DATE(YEAR($A331),MONTH($A331),1),$A$5:$A$800,"&lt;="&amp;$A331)+IF(AND(YEAR($A331)=YEAR(Settings!$B$3),MONTH($A331)=MONTH(Settings!$B$3)),Settings!$B$13,0))</f>
        <v/>
      </c>
      <c r="R331" s="77">
        <f>IF($A331="","",N331+P331)</f>
        <v/>
      </c>
      <c r="S331" s="78">
        <f>IF($A331="","",O331+Q331)</f>
        <v/>
      </c>
    </row>
    <row r="332">
      <c r="A332" s="67" t="n"/>
      <c r="B332" s="75" t="n"/>
      <c r="C332" s="76" t="n"/>
      <c r="D332" s="75" t="n"/>
      <c r="E332" s="76" t="n"/>
      <c r="F332" s="75" t="n"/>
      <c r="G332" s="76" t="n"/>
      <c r="H332" s="75" t="n"/>
      <c r="I332" s="76" t="n"/>
      <c r="J332" s="77">
        <f>IF($A332="","",B332+D332+F332)</f>
        <v/>
      </c>
      <c r="K332" s="78">
        <f>IF($A332="","",C332+E332+G332)</f>
        <v/>
      </c>
      <c r="L332" s="79">
        <f>IF($A332="","",J332+H332)</f>
        <v/>
      </c>
      <c r="M332" s="80">
        <f>IF($A332="","",K332+I332)</f>
        <v/>
      </c>
      <c r="N332" s="77">
        <f>IF($A332="","",SUMIFS($J$5:$J$800,$A$5:$A$800,"&gt;="&amp;DATE(YEAR($A332),MONTH($A332),1),$A$5:$A$800,"&lt;="&amp;$A332)+IF(AND(YEAR($A332)=YEAR(Settings!$B$3),MONTH($A332)=MONTH(Settings!$B$3)),Settings!$B$10,0))</f>
        <v/>
      </c>
      <c r="O332" s="78">
        <f>IF($A332="","",SUMIFS($K$5:$K$800,$A$5:$A$800,"&gt;="&amp;DATE(YEAR($A332),MONTH($A332),1),$A$5:$A$800,"&lt;="&amp;$A332)+IF(AND(YEAR($A332)=YEAR(Settings!$B$3),MONTH($A332)=MONTH(Settings!$B$3)),Settings!$B$11,0))</f>
        <v/>
      </c>
      <c r="P332" s="77">
        <f>IF($A332="","",SUMIFS($H$5:$H$800,$A$5:$A$800,"&gt;="&amp;DATE(YEAR($A332),MONTH($A332),1),$A$5:$A$800,"&lt;="&amp;$A332)+IF(AND(YEAR($A332)=YEAR(Settings!$B$3),MONTH($A332)=MONTH(Settings!$B$3)),Settings!$B$12,0))</f>
        <v/>
      </c>
      <c r="Q332" s="78">
        <f>IF($A332="","",SUMIFS($I$5:$I$800,$A$5:$A$800,"&gt;="&amp;DATE(YEAR($A332),MONTH($A332),1),$A$5:$A$800,"&lt;="&amp;$A332)+IF(AND(YEAR($A332)=YEAR(Settings!$B$3),MONTH($A332)=MONTH(Settings!$B$3)),Settings!$B$13,0))</f>
        <v/>
      </c>
      <c r="R332" s="77">
        <f>IF($A332="","",N332+P332)</f>
        <v/>
      </c>
      <c r="S332" s="78">
        <f>IF($A332="","",O332+Q332)</f>
        <v/>
      </c>
    </row>
    <row r="333">
      <c r="A333" s="67" t="n"/>
      <c r="B333" s="75" t="n"/>
      <c r="C333" s="76" t="n"/>
      <c r="D333" s="75" t="n"/>
      <c r="E333" s="76" t="n"/>
      <c r="F333" s="75" t="n"/>
      <c r="G333" s="76" t="n"/>
      <c r="H333" s="75" t="n"/>
      <c r="I333" s="76" t="n"/>
      <c r="J333" s="77">
        <f>IF($A333="","",B333+D333+F333)</f>
        <v/>
      </c>
      <c r="K333" s="78">
        <f>IF($A333="","",C333+E333+G333)</f>
        <v/>
      </c>
      <c r="L333" s="79">
        <f>IF($A333="","",J333+H333)</f>
        <v/>
      </c>
      <c r="M333" s="80">
        <f>IF($A333="","",K333+I333)</f>
        <v/>
      </c>
      <c r="N333" s="77">
        <f>IF($A333="","",SUMIFS($J$5:$J$800,$A$5:$A$800,"&gt;="&amp;DATE(YEAR($A333),MONTH($A333),1),$A$5:$A$800,"&lt;="&amp;$A333)+IF(AND(YEAR($A333)=YEAR(Settings!$B$3),MONTH($A333)=MONTH(Settings!$B$3)),Settings!$B$10,0))</f>
        <v/>
      </c>
      <c r="O333" s="78">
        <f>IF($A333="","",SUMIFS($K$5:$K$800,$A$5:$A$800,"&gt;="&amp;DATE(YEAR($A333),MONTH($A333),1),$A$5:$A$800,"&lt;="&amp;$A333)+IF(AND(YEAR($A333)=YEAR(Settings!$B$3),MONTH($A333)=MONTH(Settings!$B$3)),Settings!$B$11,0))</f>
        <v/>
      </c>
      <c r="P333" s="77">
        <f>IF($A333="","",SUMIFS($H$5:$H$800,$A$5:$A$800,"&gt;="&amp;DATE(YEAR($A333),MONTH($A333),1),$A$5:$A$800,"&lt;="&amp;$A333)+IF(AND(YEAR($A333)=YEAR(Settings!$B$3),MONTH($A333)=MONTH(Settings!$B$3)),Settings!$B$12,0))</f>
        <v/>
      </c>
      <c r="Q333" s="78">
        <f>IF($A333="","",SUMIFS($I$5:$I$800,$A$5:$A$800,"&gt;="&amp;DATE(YEAR($A333),MONTH($A333),1),$A$5:$A$800,"&lt;="&amp;$A333)+IF(AND(YEAR($A333)=YEAR(Settings!$B$3),MONTH($A333)=MONTH(Settings!$B$3)),Settings!$B$13,0))</f>
        <v/>
      </c>
      <c r="R333" s="77">
        <f>IF($A333="","",N333+P333)</f>
        <v/>
      </c>
      <c r="S333" s="78">
        <f>IF($A333="","",O333+Q333)</f>
        <v/>
      </c>
    </row>
    <row r="334">
      <c r="A334" s="67" t="n"/>
      <c r="B334" s="75" t="n"/>
      <c r="C334" s="76" t="n"/>
      <c r="D334" s="75" t="n"/>
      <c r="E334" s="76" t="n"/>
      <c r="F334" s="75" t="n"/>
      <c r="G334" s="76" t="n"/>
      <c r="H334" s="75" t="n"/>
      <c r="I334" s="76" t="n"/>
      <c r="J334" s="77">
        <f>IF($A334="","",B334+D334+F334)</f>
        <v/>
      </c>
      <c r="K334" s="78">
        <f>IF($A334="","",C334+E334+G334)</f>
        <v/>
      </c>
      <c r="L334" s="79">
        <f>IF($A334="","",J334+H334)</f>
        <v/>
      </c>
      <c r="M334" s="80">
        <f>IF($A334="","",K334+I334)</f>
        <v/>
      </c>
      <c r="N334" s="77">
        <f>IF($A334="","",SUMIFS($J$5:$J$800,$A$5:$A$800,"&gt;="&amp;DATE(YEAR($A334),MONTH($A334),1),$A$5:$A$800,"&lt;="&amp;$A334)+IF(AND(YEAR($A334)=YEAR(Settings!$B$3),MONTH($A334)=MONTH(Settings!$B$3)),Settings!$B$10,0))</f>
        <v/>
      </c>
      <c r="O334" s="78">
        <f>IF($A334="","",SUMIFS($K$5:$K$800,$A$5:$A$800,"&gt;="&amp;DATE(YEAR($A334),MONTH($A334),1),$A$5:$A$800,"&lt;="&amp;$A334)+IF(AND(YEAR($A334)=YEAR(Settings!$B$3),MONTH($A334)=MONTH(Settings!$B$3)),Settings!$B$11,0))</f>
        <v/>
      </c>
      <c r="P334" s="77">
        <f>IF($A334="","",SUMIFS($H$5:$H$800,$A$5:$A$800,"&gt;="&amp;DATE(YEAR($A334),MONTH($A334),1),$A$5:$A$800,"&lt;="&amp;$A334)+IF(AND(YEAR($A334)=YEAR(Settings!$B$3),MONTH($A334)=MONTH(Settings!$B$3)),Settings!$B$12,0))</f>
        <v/>
      </c>
      <c r="Q334" s="78">
        <f>IF($A334="","",SUMIFS($I$5:$I$800,$A$5:$A$800,"&gt;="&amp;DATE(YEAR($A334),MONTH($A334),1),$A$5:$A$800,"&lt;="&amp;$A334)+IF(AND(YEAR($A334)=YEAR(Settings!$B$3),MONTH($A334)=MONTH(Settings!$B$3)),Settings!$B$13,0))</f>
        <v/>
      </c>
      <c r="R334" s="77">
        <f>IF($A334="","",N334+P334)</f>
        <v/>
      </c>
      <c r="S334" s="78">
        <f>IF($A334="","",O334+Q334)</f>
        <v/>
      </c>
    </row>
    <row r="335">
      <c r="A335" s="67" t="n"/>
      <c r="B335" s="75" t="n"/>
      <c r="C335" s="76" t="n"/>
      <c r="D335" s="75" t="n"/>
      <c r="E335" s="76" t="n"/>
      <c r="F335" s="75" t="n"/>
      <c r="G335" s="76" t="n"/>
      <c r="H335" s="75" t="n"/>
      <c r="I335" s="76" t="n"/>
      <c r="J335" s="77">
        <f>IF($A335="","",B335+D335+F335)</f>
        <v/>
      </c>
      <c r="K335" s="78">
        <f>IF($A335="","",C335+E335+G335)</f>
        <v/>
      </c>
      <c r="L335" s="79">
        <f>IF($A335="","",J335+H335)</f>
        <v/>
      </c>
      <c r="M335" s="80">
        <f>IF($A335="","",K335+I335)</f>
        <v/>
      </c>
      <c r="N335" s="77">
        <f>IF($A335="","",SUMIFS($J$5:$J$800,$A$5:$A$800,"&gt;="&amp;DATE(YEAR($A335),MONTH($A335),1),$A$5:$A$800,"&lt;="&amp;$A335)+IF(AND(YEAR($A335)=YEAR(Settings!$B$3),MONTH($A335)=MONTH(Settings!$B$3)),Settings!$B$10,0))</f>
        <v/>
      </c>
      <c r="O335" s="78">
        <f>IF($A335="","",SUMIFS($K$5:$K$800,$A$5:$A$800,"&gt;="&amp;DATE(YEAR($A335),MONTH($A335),1),$A$5:$A$800,"&lt;="&amp;$A335)+IF(AND(YEAR($A335)=YEAR(Settings!$B$3),MONTH($A335)=MONTH(Settings!$B$3)),Settings!$B$11,0))</f>
        <v/>
      </c>
      <c r="P335" s="77">
        <f>IF($A335="","",SUMIFS($H$5:$H$800,$A$5:$A$800,"&gt;="&amp;DATE(YEAR($A335),MONTH($A335),1),$A$5:$A$800,"&lt;="&amp;$A335)+IF(AND(YEAR($A335)=YEAR(Settings!$B$3),MONTH($A335)=MONTH(Settings!$B$3)),Settings!$B$12,0))</f>
        <v/>
      </c>
      <c r="Q335" s="78">
        <f>IF($A335="","",SUMIFS($I$5:$I$800,$A$5:$A$800,"&gt;="&amp;DATE(YEAR($A335),MONTH($A335),1),$A$5:$A$800,"&lt;="&amp;$A335)+IF(AND(YEAR($A335)=YEAR(Settings!$B$3),MONTH($A335)=MONTH(Settings!$B$3)),Settings!$B$13,0))</f>
        <v/>
      </c>
      <c r="R335" s="77">
        <f>IF($A335="","",N335+P335)</f>
        <v/>
      </c>
      <c r="S335" s="78">
        <f>IF($A335="","",O335+Q335)</f>
        <v/>
      </c>
    </row>
    <row r="336">
      <c r="A336" s="67" t="n"/>
      <c r="B336" s="75" t="n"/>
      <c r="C336" s="76" t="n"/>
      <c r="D336" s="75" t="n"/>
      <c r="E336" s="76" t="n"/>
      <c r="F336" s="75" t="n"/>
      <c r="G336" s="76" t="n"/>
      <c r="H336" s="75" t="n"/>
      <c r="I336" s="76" t="n"/>
      <c r="J336" s="77">
        <f>IF($A336="","",B336+D336+F336)</f>
        <v/>
      </c>
      <c r="K336" s="78">
        <f>IF($A336="","",C336+E336+G336)</f>
        <v/>
      </c>
      <c r="L336" s="79">
        <f>IF($A336="","",J336+H336)</f>
        <v/>
      </c>
      <c r="M336" s="80">
        <f>IF($A336="","",K336+I336)</f>
        <v/>
      </c>
      <c r="N336" s="77">
        <f>IF($A336="","",SUMIFS($J$5:$J$800,$A$5:$A$800,"&gt;="&amp;DATE(YEAR($A336),MONTH($A336),1),$A$5:$A$800,"&lt;="&amp;$A336)+IF(AND(YEAR($A336)=YEAR(Settings!$B$3),MONTH($A336)=MONTH(Settings!$B$3)),Settings!$B$10,0))</f>
        <v/>
      </c>
      <c r="O336" s="78">
        <f>IF($A336="","",SUMIFS($K$5:$K$800,$A$5:$A$800,"&gt;="&amp;DATE(YEAR($A336),MONTH($A336),1),$A$5:$A$800,"&lt;="&amp;$A336)+IF(AND(YEAR($A336)=YEAR(Settings!$B$3),MONTH($A336)=MONTH(Settings!$B$3)),Settings!$B$11,0))</f>
        <v/>
      </c>
      <c r="P336" s="77">
        <f>IF($A336="","",SUMIFS($H$5:$H$800,$A$5:$A$800,"&gt;="&amp;DATE(YEAR($A336),MONTH($A336),1),$A$5:$A$800,"&lt;="&amp;$A336)+IF(AND(YEAR($A336)=YEAR(Settings!$B$3),MONTH($A336)=MONTH(Settings!$B$3)),Settings!$B$12,0))</f>
        <v/>
      </c>
      <c r="Q336" s="78">
        <f>IF($A336="","",SUMIFS($I$5:$I$800,$A$5:$A$800,"&gt;="&amp;DATE(YEAR($A336),MONTH($A336),1),$A$5:$A$800,"&lt;="&amp;$A336)+IF(AND(YEAR($A336)=YEAR(Settings!$B$3),MONTH($A336)=MONTH(Settings!$B$3)),Settings!$B$13,0))</f>
        <v/>
      </c>
      <c r="R336" s="77">
        <f>IF($A336="","",N336+P336)</f>
        <v/>
      </c>
      <c r="S336" s="78">
        <f>IF($A336="","",O336+Q336)</f>
        <v/>
      </c>
    </row>
    <row r="337">
      <c r="A337" s="67" t="n"/>
      <c r="B337" s="75" t="n"/>
      <c r="C337" s="76" t="n"/>
      <c r="D337" s="75" t="n"/>
      <c r="E337" s="76" t="n"/>
      <c r="F337" s="75" t="n"/>
      <c r="G337" s="76" t="n"/>
      <c r="H337" s="75" t="n"/>
      <c r="I337" s="76" t="n"/>
      <c r="J337" s="77">
        <f>IF($A337="","",B337+D337+F337)</f>
        <v/>
      </c>
      <c r="K337" s="78">
        <f>IF($A337="","",C337+E337+G337)</f>
        <v/>
      </c>
      <c r="L337" s="79">
        <f>IF($A337="","",J337+H337)</f>
        <v/>
      </c>
      <c r="M337" s="80">
        <f>IF($A337="","",K337+I337)</f>
        <v/>
      </c>
      <c r="N337" s="77">
        <f>IF($A337="","",SUMIFS($J$5:$J$800,$A$5:$A$800,"&gt;="&amp;DATE(YEAR($A337),MONTH($A337),1),$A$5:$A$800,"&lt;="&amp;$A337)+IF(AND(YEAR($A337)=YEAR(Settings!$B$3),MONTH($A337)=MONTH(Settings!$B$3)),Settings!$B$10,0))</f>
        <v/>
      </c>
      <c r="O337" s="78">
        <f>IF($A337="","",SUMIFS($K$5:$K$800,$A$5:$A$800,"&gt;="&amp;DATE(YEAR($A337),MONTH($A337),1),$A$5:$A$800,"&lt;="&amp;$A337)+IF(AND(YEAR($A337)=YEAR(Settings!$B$3),MONTH($A337)=MONTH(Settings!$B$3)),Settings!$B$11,0))</f>
        <v/>
      </c>
      <c r="P337" s="77">
        <f>IF($A337="","",SUMIFS($H$5:$H$800,$A$5:$A$800,"&gt;="&amp;DATE(YEAR($A337),MONTH($A337),1),$A$5:$A$800,"&lt;="&amp;$A337)+IF(AND(YEAR($A337)=YEAR(Settings!$B$3),MONTH($A337)=MONTH(Settings!$B$3)),Settings!$B$12,0))</f>
        <v/>
      </c>
      <c r="Q337" s="78">
        <f>IF($A337="","",SUMIFS($I$5:$I$800,$A$5:$A$800,"&gt;="&amp;DATE(YEAR($A337),MONTH($A337),1),$A$5:$A$800,"&lt;="&amp;$A337)+IF(AND(YEAR($A337)=YEAR(Settings!$B$3),MONTH($A337)=MONTH(Settings!$B$3)),Settings!$B$13,0))</f>
        <v/>
      </c>
      <c r="R337" s="77">
        <f>IF($A337="","",N337+P337)</f>
        <v/>
      </c>
      <c r="S337" s="78">
        <f>IF($A337="","",O337+Q337)</f>
        <v/>
      </c>
    </row>
    <row r="338">
      <c r="A338" s="67" t="n"/>
      <c r="B338" s="75" t="n"/>
      <c r="C338" s="76" t="n"/>
      <c r="D338" s="75" t="n"/>
      <c r="E338" s="76" t="n"/>
      <c r="F338" s="75" t="n"/>
      <c r="G338" s="76" t="n"/>
      <c r="H338" s="75" t="n"/>
      <c r="I338" s="76" t="n"/>
      <c r="J338" s="77">
        <f>IF($A338="","",B338+D338+F338)</f>
        <v/>
      </c>
      <c r="K338" s="78">
        <f>IF($A338="","",C338+E338+G338)</f>
        <v/>
      </c>
      <c r="L338" s="79">
        <f>IF($A338="","",J338+H338)</f>
        <v/>
      </c>
      <c r="M338" s="80">
        <f>IF($A338="","",K338+I338)</f>
        <v/>
      </c>
      <c r="N338" s="77">
        <f>IF($A338="","",SUMIFS($J$5:$J$800,$A$5:$A$800,"&gt;="&amp;DATE(YEAR($A338),MONTH($A338),1),$A$5:$A$800,"&lt;="&amp;$A338)+IF(AND(YEAR($A338)=YEAR(Settings!$B$3),MONTH($A338)=MONTH(Settings!$B$3)),Settings!$B$10,0))</f>
        <v/>
      </c>
      <c r="O338" s="78">
        <f>IF($A338="","",SUMIFS($K$5:$K$800,$A$5:$A$800,"&gt;="&amp;DATE(YEAR($A338),MONTH($A338),1),$A$5:$A$800,"&lt;="&amp;$A338)+IF(AND(YEAR($A338)=YEAR(Settings!$B$3),MONTH($A338)=MONTH(Settings!$B$3)),Settings!$B$11,0))</f>
        <v/>
      </c>
      <c r="P338" s="77">
        <f>IF($A338="","",SUMIFS($H$5:$H$800,$A$5:$A$800,"&gt;="&amp;DATE(YEAR($A338),MONTH($A338),1),$A$5:$A$800,"&lt;="&amp;$A338)+IF(AND(YEAR($A338)=YEAR(Settings!$B$3),MONTH($A338)=MONTH(Settings!$B$3)),Settings!$B$12,0))</f>
        <v/>
      </c>
      <c r="Q338" s="78">
        <f>IF($A338="","",SUMIFS($I$5:$I$800,$A$5:$A$800,"&gt;="&amp;DATE(YEAR($A338),MONTH($A338),1),$A$5:$A$800,"&lt;="&amp;$A338)+IF(AND(YEAR($A338)=YEAR(Settings!$B$3),MONTH($A338)=MONTH(Settings!$B$3)),Settings!$B$13,0))</f>
        <v/>
      </c>
      <c r="R338" s="77">
        <f>IF($A338="","",N338+P338)</f>
        <v/>
      </c>
      <c r="S338" s="78">
        <f>IF($A338="","",O338+Q338)</f>
        <v/>
      </c>
    </row>
    <row r="339">
      <c r="A339" s="67" t="n"/>
      <c r="B339" s="75" t="n"/>
      <c r="C339" s="76" t="n"/>
      <c r="D339" s="75" t="n"/>
      <c r="E339" s="76" t="n"/>
      <c r="F339" s="75" t="n"/>
      <c r="G339" s="76" t="n"/>
      <c r="H339" s="75" t="n"/>
      <c r="I339" s="76" t="n"/>
      <c r="J339" s="77">
        <f>IF($A339="","",B339+D339+F339)</f>
        <v/>
      </c>
      <c r="K339" s="78">
        <f>IF($A339="","",C339+E339+G339)</f>
        <v/>
      </c>
      <c r="L339" s="79">
        <f>IF($A339="","",J339+H339)</f>
        <v/>
      </c>
      <c r="M339" s="80">
        <f>IF($A339="","",K339+I339)</f>
        <v/>
      </c>
      <c r="N339" s="77">
        <f>IF($A339="","",SUMIFS($J$5:$J$800,$A$5:$A$800,"&gt;="&amp;DATE(YEAR($A339),MONTH($A339),1),$A$5:$A$800,"&lt;="&amp;$A339)+IF(AND(YEAR($A339)=YEAR(Settings!$B$3),MONTH($A339)=MONTH(Settings!$B$3)),Settings!$B$10,0))</f>
        <v/>
      </c>
      <c r="O339" s="78">
        <f>IF($A339="","",SUMIFS($K$5:$K$800,$A$5:$A$800,"&gt;="&amp;DATE(YEAR($A339),MONTH($A339),1),$A$5:$A$800,"&lt;="&amp;$A339)+IF(AND(YEAR($A339)=YEAR(Settings!$B$3),MONTH($A339)=MONTH(Settings!$B$3)),Settings!$B$11,0))</f>
        <v/>
      </c>
      <c r="P339" s="77">
        <f>IF($A339="","",SUMIFS($H$5:$H$800,$A$5:$A$800,"&gt;="&amp;DATE(YEAR($A339),MONTH($A339),1),$A$5:$A$800,"&lt;="&amp;$A339)+IF(AND(YEAR($A339)=YEAR(Settings!$B$3),MONTH($A339)=MONTH(Settings!$B$3)),Settings!$B$12,0))</f>
        <v/>
      </c>
      <c r="Q339" s="78">
        <f>IF($A339="","",SUMIFS($I$5:$I$800,$A$5:$A$800,"&gt;="&amp;DATE(YEAR($A339),MONTH($A339),1),$A$5:$A$800,"&lt;="&amp;$A339)+IF(AND(YEAR($A339)=YEAR(Settings!$B$3),MONTH($A339)=MONTH(Settings!$B$3)),Settings!$B$13,0))</f>
        <v/>
      </c>
      <c r="R339" s="77">
        <f>IF($A339="","",N339+P339)</f>
        <v/>
      </c>
      <c r="S339" s="78">
        <f>IF($A339="","",O339+Q339)</f>
        <v/>
      </c>
    </row>
    <row r="340">
      <c r="A340" s="67" t="n"/>
      <c r="B340" s="75" t="n"/>
      <c r="C340" s="76" t="n"/>
      <c r="D340" s="75" t="n"/>
      <c r="E340" s="76" t="n"/>
      <c r="F340" s="75" t="n"/>
      <c r="G340" s="76" t="n"/>
      <c r="H340" s="75" t="n"/>
      <c r="I340" s="76" t="n"/>
      <c r="J340" s="77">
        <f>IF($A340="","",B340+D340+F340)</f>
        <v/>
      </c>
      <c r="K340" s="78">
        <f>IF($A340="","",C340+E340+G340)</f>
        <v/>
      </c>
      <c r="L340" s="79">
        <f>IF($A340="","",J340+H340)</f>
        <v/>
      </c>
      <c r="M340" s="80">
        <f>IF($A340="","",K340+I340)</f>
        <v/>
      </c>
      <c r="N340" s="77">
        <f>IF($A340="","",SUMIFS($J$5:$J$800,$A$5:$A$800,"&gt;="&amp;DATE(YEAR($A340),MONTH($A340),1),$A$5:$A$800,"&lt;="&amp;$A340)+IF(AND(YEAR($A340)=YEAR(Settings!$B$3),MONTH($A340)=MONTH(Settings!$B$3)),Settings!$B$10,0))</f>
        <v/>
      </c>
      <c r="O340" s="78">
        <f>IF($A340="","",SUMIFS($K$5:$K$800,$A$5:$A$800,"&gt;="&amp;DATE(YEAR($A340),MONTH($A340),1),$A$5:$A$800,"&lt;="&amp;$A340)+IF(AND(YEAR($A340)=YEAR(Settings!$B$3),MONTH($A340)=MONTH(Settings!$B$3)),Settings!$B$11,0))</f>
        <v/>
      </c>
      <c r="P340" s="77">
        <f>IF($A340="","",SUMIFS($H$5:$H$800,$A$5:$A$800,"&gt;="&amp;DATE(YEAR($A340),MONTH($A340),1),$A$5:$A$800,"&lt;="&amp;$A340)+IF(AND(YEAR($A340)=YEAR(Settings!$B$3),MONTH($A340)=MONTH(Settings!$B$3)),Settings!$B$12,0))</f>
        <v/>
      </c>
      <c r="Q340" s="78">
        <f>IF($A340="","",SUMIFS($I$5:$I$800,$A$5:$A$800,"&gt;="&amp;DATE(YEAR($A340),MONTH($A340),1),$A$5:$A$800,"&lt;="&amp;$A340)+IF(AND(YEAR($A340)=YEAR(Settings!$B$3),MONTH($A340)=MONTH(Settings!$B$3)),Settings!$B$13,0))</f>
        <v/>
      </c>
      <c r="R340" s="77">
        <f>IF($A340="","",N340+P340)</f>
        <v/>
      </c>
      <c r="S340" s="78">
        <f>IF($A340="","",O340+Q340)</f>
        <v/>
      </c>
    </row>
    <row r="341">
      <c r="A341" s="67" t="n"/>
      <c r="B341" s="75" t="n"/>
      <c r="C341" s="76" t="n"/>
      <c r="D341" s="75" t="n"/>
      <c r="E341" s="76" t="n"/>
      <c r="F341" s="75" t="n"/>
      <c r="G341" s="76" t="n"/>
      <c r="H341" s="75" t="n"/>
      <c r="I341" s="76" t="n"/>
      <c r="J341" s="77">
        <f>IF($A341="","",B341+D341+F341)</f>
        <v/>
      </c>
      <c r="K341" s="78">
        <f>IF($A341="","",C341+E341+G341)</f>
        <v/>
      </c>
      <c r="L341" s="79">
        <f>IF($A341="","",J341+H341)</f>
        <v/>
      </c>
      <c r="M341" s="80">
        <f>IF($A341="","",K341+I341)</f>
        <v/>
      </c>
      <c r="N341" s="77">
        <f>IF($A341="","",SUMIFS($J$5:$J$800,$A$5:$A$800,"&gt;="&amp;DATE(YEAR($A341),MONTH($A341),1),$A$5:$A$800,"&lt;="&amp;$A341)+IF(AND(YEAR($A341)=YEAR(Settings!$B$3),MONTH($A341)=MONTH(Settings!$B$3)),Settings!$B$10,0))</f>
        <v/>
      </c>
      <c r="O341" s="78">
        <f>IF($A341="","",SUMIFS($K$5:$K$800,$A$5:$A$800,"&gt;="&amp;DATE(YEAR($A341),MONTH($A341),1),$A$5:$A$800,"&lt;="&amp;$A341)+IF(AND(YEAR($A341)=YEAR(Settings!$B$3),MONTH($A341)=MONTH(Settings!$B$3)),Settings!$B$11,0))</f>
        <v/>
      </c>
      <c r="P341" s="77">
        <f>IF($A341="","",SUMIFS($H$5:$H$800,$A$5:$A$800,"&gt;="&amp;DATE(YEAR($A341),MONTH($A341),1),$A$5:$A$800,"&lt;="&amp;$A341)+IF(AND(YEAR($A341)=YEAR(Settings!$B$3),MONTH($A341)=MONTH(Settings!$B$3)),Settings!$B$12,0))</f>
        <v/>
      </c>
      <c r="Q341" s="78">
        <f>IF($A341="","",SUMIFS($I$5:$I$800,$A$5:$A$800,"&gt;="&amp;DATE(YEAR($A341),MONTH($A341),1),$A$5:$A$800,"&lt;="&amp;$A341)+IF(AND(YEAR($A341)=YEAR(Settings!$B$3),MONTH($A341)=MONTH(Settings!$B$3)),Settings!$B$13,0))</f>
        <v/>
      </c>
      <c r="R341" s="77">
        <f>IF($A341="","",N341+P341)</f>
        <v/>
      </c>
      <c r="S341" s="78">
        <f>IF($A341="","",O341+Q341)</f>
        <v/>
      </c>
    </row>
    <row r="342">
      <c r="A342" s="67" t="n"/>
      <c r="B342" s="75" t="n"/>
      <c r="C342" s="76" t="n"/>
      <c r="D342" s="75" t="n"/>
      <c r="E342" s="76" t="n"/>
      <c r="F342" s="75" t="n"/>
      <c r="G342" s="76" t="n"/>
      <c r="H342" s="75" t="n"/>
      <c r="I342" s="76" t="n"/>
      <c r="J342" s="77">
        <f>IF($A342="","",B342+D342+F342)</f>
        <v/>
      </c>
      <c r="K342" s="78">
        <f>IF($A342="","",C342+E342+G342)</f>
        <v/>
      </c>
      <c r="L342" s="79">
        <f>IF($A342="","",J342+H342)</f>
        <v/>
      </c>
      <c r="M342" s="80">
        <f>IF($A342="","",K342+I342)</f>
        <v/>
      </c>
      <c r="N342" s="77">
        <f>IF($A342="","",SUMIFS($J$5:$J$800,$A$5:$A$800,"&gt;="&amp;DATE(YEAR($A342),MONTH($A342),1),$A$5:$A$800,"&lt;="&amp;$A342)+IF(AND(YEAR($A342)=YEAR(Settings!$B$3),MONTH($A342)=MONTH(Settings!$B$3)),Settings!$B$10,0))</f>
        <v/>
      </c>
      <c r="O342" s="78">
        <f>IF($A342="","",SUMIFS($K$5:$K$800,$A$5:$A$800,"&gt;="&amp;DATE(YEAR($A342),MONTH($A342),1),$A$5:$A$800,"&lt;="&amp;$A342)+IF(AND(YEAR($A342)=YEAR(Settings!$B$3),MONTH($A342)=MONTH(Settings!$B$3)),Settings!$B$11,0))</f>
        <v/>
      </c>
      <c r="P342" s="77">
        <f>IF($A342="","",SUMIFS($H$5:$H$800,$A$5:$A$800,"&gt;="&amp;DATE(YEAR($A342),MONTH($A342),1),$A$5:$A$800,"&lt;="&amp;$A342)+IF(AND(YEAR($A342)=YEAR(Settings!$B$3),MONTH($A342)=MONTH(Settings!$B$3)),Settings!$B$12,0))</f>
        <v/>
      </c>
      <c r="Q342" s="78">
        <f>IF($A342="","",SUMIFS($I$5:$I$800,$A$5:$A$800,"&gt;="&amp;DATE(YEAR($A342),MONTH($A342),1),$A$5:$A$800,"&lt;="&amp;$A342)+IF(AND(YEAR($A342)=YEAR(Settings!$B$3),MONTH($A342)=MONTH(Settings!$B$3)),Settings!$B$13,0))</f>
        <v/>
      </c>
      <c r="R342" s="77">
        <f>IF($A342="","",N342+P342)</f>
        <v/>
      </c>
      <c r="S342" s="78">
        <f>IF($A342="","",O342+Q342)</f>
        <v/>
      </c>
    </row>
    <row r="343">
      <c r="A343" s="67" t="n"/>
      <c r="B343" s="75" t="n"/>
      <c r="C343" s="76" t="n"/>
      <c r="D343" s="75" t="n"/>
      <c r="E343" s="76" t="n"/>
      <c r="F343" s="75" t="n"/>
      <c r="G343" s="76" t="n"/>
      <c r="H343" s="75" t="n"/>
      <c r="I343" s="76" t="n"/>
      <c r="J343" s="77">
        <f>IF($A343="","",B343+D343+F343)</f>
        <v/>
      </c>
      <c r="K343" s="78">
        <f>IF($A343="","",C343+E343+G343)</f>
        <v/>
      </c>
      <c r="L343" s="79">
        <f>IF($A343="","",J343+H343)</f>
        <v/>
      </c>
      <c r="M343" s="80">
        <f>IF($A343="","",K343+I343)</f>
        <v/>
      </c>
      <c r="N343" s="77">
        <f>IF($A343="","",SUMIFS($J$5:$J$800,$A$5:$A$800,"&gt;="&amp;DATE(YEAR($A343),MONTH($A343),1),$A$5:$A$800,"&lt;="&amp;$A343)+IF(AND(YEAR($A343)=YEAR(Settings!$B$3),MONTH($A343)=MONTH(Settings!$B$3)),Settings!$B$10,0))</f>
        <v/>
      </c>
      <c r="O343" s="78">
        <f>IF($A343="","",SUMIFS($K$5:$K$800,$A$5:$A$800,"&gt;="&amp;DATE(YEAR($A343),MONTH($A343),1),$A$5:$A$800,"&lt;="&amp;$A343)+IF(AND(YEAR($A343)=YEAR(Settings!$B$3),MONTH($A343)=MONTH(Settings!$B$3)),Settings!$B$11,0))</f>
        <v/>
      </c>
      <c r="P343" s="77">
        <f>IF($A343="","",SUMIFS($H$5:$H$800,$A$5:$A$800,"&gt;="&amp;DATE(YEAR($A343),MONTH($A343),1),$A$5:$A$800,"&lt;="&amp;$A343)+IF(AND(YEAR($A343)=YEAR(Settings!$B$3),MONTH($A343)=MONTH(Settings!$B$3)),Settings!$B$12,0))</f>
        <v/>
      </c>
      <c r="Q343" s="78">
        <f>IF($A343="","",SUMIFS($I$5:$I$800,$A$5:$A$800,"&gt;="&amp;DATE(YEAR($A343),MONTH($A343),1),$A$5:$A$800,"&lt;="&amp;$A343)+IF(AND(YEAR($A343)=YEAR(Settings!$B$3),MONTH($A343)=MONTH(Settings!$B$3)),Settings!$B$13,0))</f>
        <v/>
      </c>
      <c r="R343" s="77">
        <f>IF($A343="","",N343+P343)</f>
        <v/>
      </c>
      <c r="S343" s="78">
        <f>IF($A343="","",O343+Q343)</f>
        <v/>
      </c>
    </row>
    <row r="344">
      <c r="A344" s="67" t="n"/>
      <c r="B344" s="75" t="n"/>
      <c r="C344" s="76" t="n"/>
      <c r="D344" s="75" t="n"/>
      <c r="E344" s="76" t="n"/>
      <c r="F344" s="75" t="n"/>
      <c r="G344" s="76" t="n"/>
      <c r="H344" s="75" t="n"/>
      <c r="I344" s="76" t="n"/>
      <c r="J344" s="77">
        <f>IF($A344="","",B344+D344+F344)</f>
        <v/>
      </c>
      <c r="K344" s="78">
        <f>IF($A344="","",C344+E344+G344)</f>
        <v/>
      </c>
      <c r="L344" s="79">
        <f>IF($A344="","",J344+H344)</f>
        <v/>
      </c>
      <c r="M344" s="80">
        <f>IF($A344="","",K344+I344)</f>
        <v/>
      </c>
      <c r="N344" s="77">
        <f>IF($A344="","",SUMIFS($J$5:$J$800,$A$5:$A$800,"&gt;="&amp;DATE(YEAR($A344),MONTH($A344),1),$A$5:$A$800,"&lt;="&amp;$A344)+IF(AND(YEAR($A344)=YEAR(Settings!$B$3),MONTH($A344)=MONTH(Settings!$B$3)),Settings!$B$10,0))</f>
        <v/>
      </c>
      <c r="O344" s="78">
        <f>IF($A344="","",SUMIFS($K$5:$K$800,$A$5:$A$800,"&gt;="&amp;DATE(YEAR($A344),MONTH($A344),1),$A$5:$A$800,"&lt;="&amp;$A344)+IF(AND(YEAR($A344)=YEAR(Settings!$B$3),MONTH($A344)=MONTH(Settings!$B$3)),Settings!$B$11,0))</f>
        <v/>
      </c>
      <c r="P344" s="77">
        <f>IF($A344="","",SUMIFS($H$5:$H$800,$A$5:$A$800,"&gt;="&amp;DATE(YEAR($A344),MONTH($A344),1),$A$5:$A$800,"&lt;="&amp;$A344)+IF(AND(YEAR($A344)=YEAR(Settings!$B$3),MONTH($A344)=MONTH(Settings!$B$3)),Settings!$B$12,0))</f>
        <v/>
      </c>
      <c r="Q344" s="78">
        <f>IF($A344="","",SUMIFS($I$5:$I$800,$A$5:$A$800,"&gt;="&amp;DATE(YEAR($A344),MONTH($A344),1),$A$5:$A$800,"&lt;="&amp;$A344)+IF(AND(YEAR($A344)=YEAR(Settings!$B$3),MONTH($A344)=MONTH(Settings!$B$3)),Settings!$B$13,0))</f>
        <v/>
      </c>
      <c r="R344" s="77">
        <f>IF($A344="","",N344+P344)</f>
        <v/>
      </c>
      <c r="S344" s="78">
        <f>IF($A344="","",O344+Q344)</f>
        <v/>
      </c>
    </row>
    <row r="345">
      <c r="A345" s="67" t="n"/>
      <c r="B345" s="75" t="n"/>
      <c r="C345" s="76" t="n"/>
      <c r="D345" s="75" t="n"/>
      <c r="E345" s="76" t="n"/>
      <c r="F345" s="75" t="n"/>
      <c r="G345" s="76" t="n"/>
      <c r="H345" s="75" t="n"/>
      <c r="I345" s="76" t="n"/>
      <c r="J345" s="77">
        <f>IF($A345="","",B345+D345+F345)</f>
        <v/>
      </c>
      <c r="K345" s="78">
        <f>IF($A345="","",C345+E345+G345)</f>
        <v/>
      </c>
      <c r="L345" s="79">
        <f>IF($A345="","",J345+H345)</f>
        <v/>
      </c>
      <c r="M345" s="80">
        <f>IF($A345="","",K345+I345)</f>
        <v/>
      </c>
      <c r="N345" s="77">
        <f>IF($A345="","",SUMIFS($J$5:$J$800,$A$5:$A$800,"&gt;="&amp;DATE(YEAR($A345),MONTH($A345),1),$A$5:$A$800,"&lt;="&amp;$A345)+IF(AND(YEAR($A345)=YEAR(Settings!$B$3),MONTH($A345)=MONTH(Settings!$B$3)),Settings!$B$10,0))</f>
        <v/>
      </c>
      <c r="O345" s="78">
        <f>IF($A345="","",SUMIFS($K$5:$K$800,$A$5:$A$800,"&gt;="&amp;DATE(YEAR($A345),MONTH($A345),1),$A$5:$A$800,"&lt;="&amp;$A345)+IF(AND(YEAR($A345)=YEAR(Settings!$B$3),MONTH($A345)=MONTH(Settings!$B$3)),Settings!$B$11,0))</f>
        <v/>
      </c>
      <c r="P345" s="77">
        <f>IF($A345="","",SUMIFS($H$5:$H$800,$A$5:$A$800,"&gt;="&amp;DATE(YEAR($A345),MONTH($A345),1),$A$5:$A$800,"&lt;="&amp;$A345)+IF(AND(YEAR($A345)=YEAR(Settings!$B$3),MONTH($A345)=MONTH(Settings!$B$3)),Settings!$B$12,0))</f>
        <v/>
      </c>
      <c r="Q345" s="78">
        <f>IF($A345="","",SUMIFS($I$5:$I$800,$A$5:$A$800,"&gt;="&amp;DATE(YEAR($A345),MONTH($A345),1),$A$5:$A$800,"&lt;="&amp;$A345)+IF(AND(YEAR($A345)=YEAR(Settings!$B$3),MONTH($A345)=MONTH(Settings!$B$3)),Settings!$B$13,0))</f>
        <v/>
      </c>
      <c r="R345" s="77">
        <f>IF($A345="","",N345+P345)</f>
        <v/>
      </c>
      <c r="S345" s="78">
        <f>IF($A345="","",O345+Q345)</f>
        <v/>
      </c>
    </row>
    <row r="346">
      <c r="A346" s="67" t="n"/>
      <c r="B346" s="75" t="n"/>
      <c r="C346" s="76" t="n"/>
      <c r="D346" s="75" t="n"/>
      <c r="E346" s="76" t="n"/>
      <c r="F346" s="75" t="n"/>
      <c r="G346" s="76" t="n"/>
      <c r="H346" s="75" t="n"/>
      <c r="I346" s="76" t="n"/>
      <c r="J346" s="77">
        <f>IF($A346="","",B346+D346+F346)</f>
        <v/>
      </c>
      <c r="K346" s="78">
        <f>IF($A346="","",C346+E346+G346)</f>
        <v/>
      </c>
      <c r="L346" s="79">
        <f>IF($A346="","",J346+H346)</f>
        <v/>
      </c>
      <c r="M346" s="80">
        <f>IF($A346="","",K346+I346)</f>
        <v/>
      </c>
      <c r="N346" s="77">
        <f>IF($A346="","",SUMIFS($J$5:$J$800,$A$5:$A$800,"&gt;="&amp;DATE(YEAR($A346),MONTH($A346),1),$A$5:$A$800,"&lt;="&amp;$A346)+IF(AND(YEAR($A346)=YEAR(Settings!$B$3),MONTH($A346)=MONTH(Settings!$B$3)),Settings!$B$10,0))</f>
        <v/>
      </c>
      <c r="O346" s="78">
        <f>IF($A346="","",SUMIFS($K$5:$K$800,$A$5:$A$800,"&gt;="&amp;DATE(YEAR($A346),MONTH($A346),1),$A$5:$A$800,"&lt;="&amp;$A346)+IF(AND(YEAR($A346)=YEAR(Settings!$B$3),MONTH($A346)=MONTH(Settings!$B$3)),Settings!$B$11,0))</f>
        <v/>
      </c>
      <c r="P346" s="77">
        <f>IF($A346="","",SUMIFS($H$5:$H$800,$A$5:$A$800,"&gt;="&amp;DATE(YEAR($A346),MONTH($A346),1),$A$5:$A$800,"&lt;="&amp;$A346)+IF(AND(YEAR($A346)=YEAR(Settings!$B$3),MONTH($A346)=MONTH(Settings!$B$3)),Settings!$B$12,0))</f>
        <v/>
      </c>
      <c r="Q346" s="78">
        <f>IF($A346="","",SUMIFS($I$5:$I$800,$A$5:$A$800,"&gt;="&amp;DATE(YEAR($A346),MONTH($A346),1),$A$5:$A$800,"&lt;="&amp;$A346)+IF(AND(YEAR($A346)=YEAR(Settings!$B$3),MONTH($A346)=MONTH(Settings!$B$3)),Settings!$B$13,0))</f>
        <v/>
      </c>
      <c r="R346" s="77">
        <f>IF($A346="","",N346+P346)</f>
        <v/>
      </c>
      <c r="S346" s="78">
        <f>IF($A346="","",O346+Q346)</f>
        <v/>
      </c>
    </row>
    <row r="347">
      <c r="A347" s="67" t="n"/>
      <c r="B347" s="75" t="n"/>
      <c r="C347" s="76" t="n"/>
      <c r="D347" s="75" t="n"/>
      <c r="E347" s="76" t="n"/>
      <c r="F347" s="75" t="n"/>
      <c r="G347" s="76" t="n"/>
      <c r="H347" s="75" t="n"/>
      <c r="I347" s="76" t="n"/>
      <c r="J347" s="77">
        <f>IF($A347="","",B347+D347+F347)</f>
        <v/>
      </c>
      <c r="K347" s="78">
        <f>IF($A347="","",C347+E347+G347)</f>
        <v/>
      </c>
      <c r="L347" s="79">
        <f>IF($A347="","",J347+H347)</f>
        <v/>
      </c>
      <c r="M347" s="80">
        <f>IF($A347="","",K347+I347)</f>
        <v/>
      </c>
      <c r="N347" s="77">
        <f>IF($A347="","",SUMIFS($J$5:$J$800,$A$5:$A$800,"&gt;="&amp;DATE(YEAR($A347),MONTH($A347),1),$A$5:$A$800,"&lt;="&amp;$A347)+IF(AND(YEAR($A347)=YEAR(Settings!$B$3),MONTH($A347)=MONTH(Settings!$B$3)),Settings!$B$10,0))</f>
        <v/>
      </c>
      <c r="O347" s="78">
        <f>IF($A347="","",SUMIFS($K$5:$K$800,$A$5:$A$800,"&gt;="&amp;DATE(YEAR($A347),MONTH($A347),1),$A$5:$A$800,"&lt;="&amp;$A347)+IF(AND(YEAR($A347)=YEAR(Settings!$B$3),MONTH($A347)=MONTH(Settings!$B$3)),Settings!$B$11,0))</f>
        <v/>
      </c>
      <c r="P347" s="77">
        <f>IF($A347="","",SUMIFS($H$5:$H$800,$A$5:$A$800,"&gt;="&amp;DATE(YEAR($A347),MONTH($A347),1),$A$5:$A$800,"&lt;="&amp;$A347)+IF(AND(YEAR($A347)=YEAR(Settings!$B$3),MONTH($A347)=MONTH(Settings!$B$3)),Settings!$B$12,0))</f>
        <v/>
      </c>
      <c r="Q347" s="78">
        <f>IF($A347="","",SUMIFS($I$5:$I$800,$A$5:$A$800,"&gt;="&amp;DATE(YEAR($A347),MONTH($A347),1),$A$5:$A$800,"&lt;="&amp;$A347)+IF(AND(YEAR($A347)=YEAR(Settings!$B$3),MONTH($A347)=MONTH(Settings!$B$3)),Settings!$B$13,0))</f>
        <v/>
      </c>
      <c r="R347" s="77">
        <f>IF($A347="","",N347+P347)</f>
        <v/>
      </c>
      <c r="S347" s="78">
        <f>IF($A347="","",O347+Q347)</f>
        <v/>
      </c>
    </row>
    <row r="348">
      <c r="A348" s="67" t="n"/>
      <c r="B348" s="75" t="n"/>
      <c r="C348" s="76" t="n"/>
      <c r="D348" s="75" t="n"/>
      <c r="E348" s="76" t="n"/>
      <c r="F348" s="75" t="n"/>
      <c r="G348" s="76" t="n"/>
      <c r="H348" s="75" t="n"/>
      <c r="I348" s="76" t="n"/>
      <c r="J348" s="77">
        <f>IF($A348="","",B348+D348+F348)</f>
        <v/>
      </c>
      <c r="K348" s="78">
        <f>IF($A348="","",C348+E348+G348)</f>
        <v/>
      </c>
      <c r="L348" s="79">
        <f>IF($A348="","",J348+H348)</f>
        <v/>
      </c>
      <c r="M348" s="80">
        <f>IF($A348="","",K348+I348)</f>
        <v/>
      </c>
      <c r="N348" s="77">
        <f>IF($A348="","",SUMIFS($J$5:$J$800,$A$5:$A$800,"&gt;="&amp;DATE(YEAR($A348),MONTH($A348),1),$A$5:$A$800,"&lt;="&amp;$A348)+IF(AND(YEAR($A348)=YEAR(Settings!$B$3),MONTH($A348)=MONTH(Settings!$B$3)),Settings!$B$10,0))</f>
        <v/>
      </c>
      <c r="O348" s="78">
        <f>IF($A348="","",SUMIFS($K$5:$K$800,$A$5:$A$800,"&gt;="&amp;DATE(YEAR($A348),MONTH($A348),1),$A$5:$A$800,"&lt;="&amp;$A348)+IF(AND(YEAR($A348)=YEAR(Settings!$B$3),MONTH($A348)=MONTH(Settings!$B$3)),Settings!$B$11,0))</f>
        <v/>
      </c>
      <c r="P348" s="77">
        <f>IF($A348="","",SUMIFS($H$5:$H$800,$A$5:$A$800,"&gt;="&amp;DATE(YEAR($A348),MONTH($A348),1),$A$5:$A$800,"&lt;="&amp;$A348)+IF(AND(YEAR($A348)=YEAR(Settings!$B$3),MONTH($A348)=MONTH(Settings!$B$3)),Settings!$B$12,0))</f>
        <v/>
      </c>
      <c r="Q348" s="78">
        <f>IF($A348="","",SUMIFS($I$5:$I$800,$A$5:$A$800,"&gt;="&amp;DATE(YEAR($A348),MONTH($A348),1),$A$5:$A$800,"&lt;="&amp;$A348)+IF(AND(YEAR($A348)=YEAR(Settings!$B$3),MONTH($A348)=MONTH(Settings!$B$3)),Settings!$B$13,0))</f>
        <v/>
      </c>
      <c r="R348" s="77">
        <f>IF($A348="","",N348+P348)</f>
        <v/>
      </c>
      <c r="S348" s="78">
        <f>IF($A348="","",O348+Q348)</f>
        <v/>
      </c>
    </row>
    <row r="349">
      <c r="A349" s="67" t="n"/>
      <c r="B349" s="75" t="n"/>
      <c r="C349" s="76" t="n"/>
      <c r="D349" s="75" t="n"/>
      <c r="E349" s="76" t="n"/>
      <c r="F349" s="75" t="n"/>
      <c r="G349" s="76" t="n"/>
      <c r="H349" s="75" t="n"/>
      <c r="I349" s="76" t="n"/>
      <c r="J349" s="77">
        <f>IF($A349="","",B349+D349+F349)</f>
        <v/>
      </c>
      <c r="K349" s="78">
        <f>IF($A349="","",C349+E349+G349)</f>
        <v/>
      </c>
      <c r="L349" s="79">
        <f>IF($A349="","",J349+H349)</f>
        <v/>
      </c>
      <c r="M349" s="80">
        <f>IF($A349="","",K349+I349)</f>
        <v/>
      </c>
      <c r="N349" s="77">
        <f>IF($A349="","",SUMIFS($J$5:$J$800,$A$5:$A$800,"&gt;="&amp;DATE(YEAR($A349),MONTH($A349),1),$A$5:$A$800,"&lt;="&amp;$A349)+IF(AND(YEAR($A349)=YEAR(Settings!$B$3),MONTH($A349)=MONTH(Settings!$B$3)),Settings!$B$10,0))</f>
        <v/>
      </c>
      <c r="O349" s="78">
        <f>IF($A349="","",SUMIFS($K$5:$K$800,$A$5:$A$800,"&gt;="&amp;DATE(YEAR($A349),MONTH($A349),1),$A$5:$A$800,"&lt;="&amp;$A349)+IF(AND(YEAR($A349)=YEAR(Settings!$B$3),MONTH($A349)=MONTH(Settings!$B$3)),Settings!$B$11,0))</f>
        <v/>
      </c>
      <c r="P349" s="77">
        <f>IF($A349="","",SUMIFS($H$5:$H$800,$A$5:$A$800,"&gt;="&amp;DATE(YEAR($A349),MONTH($A349),1),$A$5:$A$800,"&lt;="&amp;$A349)+IF(AND(YEAR($A349)=YEAR(Settings!$B$3),MONTH($A349)=MONTH(Settings!$B$3)),Settings!$B$12,0))</f>
        <v/>
      </c>
      <c r="Q349" s="78">
        <f>IF($A349="","",SUMIFS($I$5:$I$800,$A$5:$A$800,"&gt;="&amp;DATE(YEAR($A349),MONTH($A349),1),$A$5:$A$800,"&lt;="&amp;$A349)+IF(AND(YEAR($A349)=YEAR(Settings!$B$3),MONTH($A349)=MONTH(Settings!$B$3)),Settings!$B$13,0))</f>
        <v/>
      </c>
      <c r="R349" s="77">
        <f>IF($A349="","",N349+P349)</f>
        <v/>
      </c>
      <c r="S349" s="78">
        <f>IF($A349="","",O349+Q349)</f>
        <v/>
      </c>
    </row>
    <row r="350">
      <c r="A350" s="67" t="n"/>
      <c r="B350" s="75" t="n"/>
      <c r="C350" s="76" t="n"/>
      <c r="D350" s="75" t="n"/>
      <c r="E350" s="76" t="n"/>
      <c r="F350" s="75" t="n"/>
      <c r="G350" s="76" t="n"/>
      <c r="H350" s="75" t="n"/>
      <c r="I350" s="76" t="n"/>
      <c r="J350" s="77">
        <f>IF($A350="","",B350+D350+F350)</f>
        <v/>
      </c>
      <c r="K350" s="78">
        <f>IF($A350="","",C350+E350+G350)</f>
        <v/>
      </c>
      <c r="L350" s="79">
        <f>IF($A350="","",J350+H350)</f>
        <v/>
      </c>
      <c r="M350" s="80">
        <f>IF($A350="","",K350+I350)</f>
        <v/>
      </c>
      <c r="N350" s="77">
        <f>IF($A350="","",SUMIFS($J$5:$J$800,$A$5:$A$800,"&gt;="&amp;DATE(YEAR($A350),MONTH($A350),1),$A$5:$A$800,"&lt;="&amp;$A350)+IF(AND(YEAR($A350)=YEAR(Settings!$B$3),MONTH($A350)=MONTH(Settings!$B$3)),Settings!$B$10,0))</f>
        <v/>
      </c>
      <c r="O350" s="78">
        <f>IF($A350="","",SUMIFS($K$5:$K$800,$A$5:$A$800,"&gt;="&amp;DATE(YEAR($A350),MONTH($A350),1),$A$5:$A$800,"&lt;="&amp;$A350)+IF(AND(YEAR($A350)=YEAR(Settings!$B$3),MONTH($A350)=MONTH(Settings!$B$3)),Settings!$B$11,0))</f>
        <v/>
      </c>
      <c r="P350" s="77">
        <f>IF($A350="","",SUMIFS($H$5:$H$800,$A$5:$A$800,"&gt;="&amp;DATE(YEAR($A350),MONTH($A350),1),$A$5:$A$800,"&lt;="&amp;$A350)+IF(AND(YEAR($A350)=YEAR(Settings!$B$3),MONTH($A350)=MONTH(Settings!$B$3)),Settings!$B$12,0))</f>
        <v/>
      </c>
      <c r="Q350" s="78">
        <f>IF($A350="","",SUMIFS($I$5:$I$800,$A$5:$A$800,"&gt;="&amp;DATE(YEAR($A350),MONTH($A350),1),$A$5:$A$800,"&lt;="&amp;$A350)+IF(AND(YEAR($A350)=YEAR(Settings!$B$3),MONTH($A350)=MONTH(Settings!$B$3)),Settings!$B$13,0))</f>
        <v/>
      </c>
      <c r="R350" s="77">
        <f>IF($A350="","",N350+P350)</f>
        <v/>
      </c>
      <c r="S350" s="78">
        <f>IF($A350="","",O350+Q350)</f>
        <v/>
      </c>
    </row>
    <row r="351">
      <c r="A351" s="67" t="n"/>
      <c r="B351" s="75" t="n"/>
      <c r="C351" s="76" t="n"/>
      <c r="D351" s="75" t="n"/>
      <c r="E351" s="76" t="n"/>
      <c r="F351" s="75" t="n"/>
      <c r="G351" s="76" t="n"/>
      <c r="H351" s="75" t="n"/>
      <c r="I351" s="76" t="n"/>
      <c r="J351" s="77">
        <f>IF($A351="","",B351+D351+F351)</f>
        <v/>
      </c>
      <c r="K351" s="78">
        <f>IF($A351="","",C351+E351+G351)</f>
        <v/>
      </c>
      <c r="L351" s="79">
        <f>IF($A351="","",J351+H351)</f>
        <v/>
      </c>
      <c r="M351" s="80">
        <f>IF($A351="","",K351+I351)</f>
        <v/>
      </c>
      <c r="N351" s="77">
        <f>IF($A351="","",SUMIFS($J$5:$J$800,$A$5:$A$800,"&gt;="&amp;DATE(YEAR($A351),MONTH($A351),1),$A$5:$A$800,"&lt;="&amp;$A351)+IF(AND(YEAR($A351)=YEAR(Settings!$B$3),MONTH($A351)=MONTH(Settings!$B$3)),Settings!$B$10,0))</f>
        <v/>
      </c>
      <c r="O351" s="78">
        <f>IF($A351="","",SUMIFS($K$5:$K$800,$A$5:$A$800,"&gt;="&amp;DATE(YEAR($A351),MONTH($A351),1),$A$5:$A$800,"&lt;="&amp;$A351)+IF(AND(YEAR($A351)=YEAR(Settings!$B$3),MONTH($A351)=MONTH(Settings!$B$3)),Settings!$B$11,0))</f>
        <v/>
      </c>
      <c r="P351" s="77">
        <f>IF($A351="","",SUMIFS($H$5:$H$800,$A$5:$A$800,"&gt;="&amp;DATE(YEAR($A351),MONTH($A351),1),$A$5:$A$800,"&lt;="&amp;$A351)+IF(AND(YEAR($A351)=YEAR(Settings!$B$3),MONTH($A351)=MONTH(Settings!$B$3)),Settings!$B$12,0))</f>
        <v/>
      </c>
      <c r="Q351" s="78">
        <f>IF($A351="","",SUMIFS($I$5:$I$800,$A$5:$A$800,"&gt;="&amp;DATE(YEAR($A351),MONTH($A351),1),$A$5:$A$800,"&lt;="&amp;$A351)+IF(AND(YEAR($A351)=YEAR(Settings!$B$3),MONTH($A351)=MONTH(Settings!$B$3)),Settings!$B$13,0))</f>
        <v/>
      </c>
      <c r="R351" s="77">
        <f>IF($A351="","",N351+P351)</f>
        <v/>
      </c>
      <c r="S351" s="78">
        <f>IF($A351="","",O351+Q351)</f>
        <v/>
      </c>
    </row>
    <row r="352">
      <c r="A352" s="67" t="n"/>
      <c r="B352" s="75" t="n"/>
      <c r="C352" s="76" t="n"/>
      <c r="D352" s="75" t="n"/>
      <c r="E352" s="76" t="n"/>
      <c r="F352" s="75" t="n"/>
      <c r="G352" s="76" t="n"/>
      <c r="H352" s="75" t="n"/>
      <c r="I352" s="76" t="n"/>
      <c r="J352" s="77">
        <f>IF($A352="","",B352+D352+F352)</f>
        <v/>
      </c>
      <c r="K352" s="78">
        <f>IF($A352="","",C352+E352+G352)</f>
        <v/>
      </c>
      <c r="L352" s="79">
        <f>IF($A352="","",J352+H352)</f>
        <v/>
      </c>
      <c r="M352" s="80">
        <f>IF($A352="","",K352+I352)</f>
        <v/>
      </c>
      <c r="N352" s="77">
        <f>IF($A352="","",SUMIFS($J$5:$J$800,$A$5:$A$800,"&gt;="&amp;DATE(YEAR($A352),MONTH($A352),1),$A$5:$A$800,"&lt;="&amp;$A352)+IF(AND(YEAR($A352)=YEAR(Settings!$B$3),MONTH($A352)=MONTH(Settings!$B$3)),Settings!$B$10,0))</f>
        <v/>
      </c>
      <c r="O352" s="78">
        <f>IF($A352="","",SUMIFS($K$5:$K$800,$A$5:$A$800,"&gt;="&amp;DATE(YEAR($A352),MONTH($A352),1),$A$5:$A$800,"&lt;="&amp;$A352)+IF(AND(YEAR($A352)=YEAR(Settings!$B$3),MONTH($A352)=MONTH(Settings!$B$3)),Settings!$B$11,0))</f>
        <v/>
      </c>
      <c r="P352" s="77">
        <f>IF($A352="","",SUMIFS($H$5:$H$800,$A$5:$A$800,"&gt;="&amp;DATE(YEAR($A352),MONTH($A352),1),$A$5:$A$800,"&lt;="&amp;$A352)+IF(AND(YEAR($A352)=YEAR(Settings!$B$3),MONTH($A352)=MONTH(Settings!$B$3)),Settings!$B$12,0))</f>
        <v/>
      </c>
      <c r="Q352" s="78">
        <f>IF($A352="","",SUMIFS($I$5:$I$800,$A$5:$A$800,"&gt;="&amp;DATE(YEAR($A352),MONTH($A352),1),$A$5:$A$800,"&lt;="&amp;$A352)+IF(AND(YEAR($A352)=YEAR(Settings!$B$3),MONTH($A352)=MONTH(Settings!$B$3)),Settings!$B$13,0))</f>
        <v/>
      </c>
      <c r="R352" s="77">
        <f>IF($A352="","",N352+P352)</f>
        <v/>
      </c>
      <c r="S352" s="78">
        <f>IF($A352="","",O352+Q352)</f>
        <v/>
      </c>
    </row>
    <row r="353">
      <c r="A353" s="67" t="n"/>
      <c r="B353" s="75" t="n"/>
      <c r="C353" s="76" t="n"/>
      <c r="D353" s="75" t="n"/>
      <c r="E353" s="76" t="n"/>
      <c r="F353" s="75" t="n"/>
      <c r="G353" s="76" t="n"/>
      <c r="H353" s="75" t="n"/>
      <c r="I353" s="76" t="n"/>
      <c r="J353" s="77">
        <f>IF($A353="","",B353+D353+F353)</f>
        <v/>
      </c>
      <c r="K353" s="78">
        <f>IF($A353="","",C353+E353+G353)</f>
        <v/>
      </c>
      <c r="L353" s="79">
        <f>IF($A353="","",J353+H353)</f>
        <v/>
      </c>
      <c r="M353" s="80">
        <f>IF($A353="","",K353+I353)</f>
        <v/>
      </c>
      <c r="N353" s="77">
        <f>IF($A353="","",SUMIFS($J$5:$J$800,$A$5:$A$800,"&gt;="&amp;DATE(YEAR($A353),MONTH($A353),1),$A$5:$A$800,"&lt;="&amp;$A353)+IF(AND(YEAR($A353)=YEAR(Settings!$B$3),MONTH($A353)=MONTH(Settings!$B$3)),Settings!$B$10,0))</f>
        <v/>
      </c>
      <c r="O353" s="78">
        <f>IF($A353="","",SUMIFS($K$5:$K$800,$A$5:$A$800,"&gt;="&amp;DATE(YEAR($A353),MONTH($A353),1),$A$5:$A$800,"&lt;="&amp;$A353)+IF(AND(YEAR($A353)=YEAR(Settings!$B$3),MONTH($A353)=MONTH(Settings!$B$3)),Settings!$B$11,0))</f>
        <v/>
      </c>
      <c r="P353" s="77">
        <f>IF($A353="","",SUMIFS($H$5:$H$800,$A$5:$A$800,"&gt;="&amp;DATE(YEAR($A353),MONTH($A353),1),$A$5:$A$800,"&lt;="&amp;$A353)+IF(AND(YEAR($A353)=YEAR(Settings!$B$3),MONTH($A353)=MONTH(Settings!$B$3)),Settings!$B$12,0))</f>
        <v/>
      </c>
      <c r="Q353" s="78">
        <f>IF($A353="","",SUMIFS($I$5:$I$800,$A$5:$A$800,"&gt;="&amp;DATE(YEAR($A353),MONTH($A353),1),$A$5:$A$800,"&lt;="&amp;$A353)+IF(AND(YEAR($A353)=YEAR(Settings!$B$3),MONTH($A353)=MONTH(Settings!$B$3)),Settings!$B$13,0))</f>
        <v/>
      </c>
      <c r="R353" s="77">
        <f>IF($A353="","",N353+P353)</f>
        <v/>
      </c>
      <c r="S353" s="78">
        <f>IF($A353="","",O353+Q353)</f>
        <v/>
      </c>
    </row>
    <row r="354">
      <c r="A354" s="67" t="n"/>
      <c r="B354" s="75" t="n"/>
      <c r="C354" s="76" t="n"/>
      <c r="D354" s="75" t="n"/>
      <c r="E354" s="76" t="n"/>
      <c r="F354" s="75" t="n"/>
      <c r="G354" s="76" t="n"/>
      <c r="H354" s="75" t="n"/>
      <c r="I354" s="76" t="n"/>
      <c r="J354" s="77">
        <f>IF($A354="","",B354+D354+F354)</f>
        <v/>
      </c>
      <c r="K354" s="78">
        <f>IF($A354="","",C354+E354+G354)</f>
        <v/>
      </c>
      <c r="L354" s="79">
        <f>IF($A354="","",J354+H354)</f>
        <v/>
      </c>
      <c r="M354" s="80">
        <f>IF($A354="","",K354+I354)</f>
        <v/>
      </c>
      <c r="N354" s="77">
        <f>IF($A354="","",SUMIFS($J$5:$J$800,$A$5:$A$800,"&gt;="&amp;DATE(YEAR($A354),MONTH($A354),1),$A$5:$A$800,"&lt;="&amp;$A354)+IF(AND(YEAR($A354)=YEAR(Settings!$B$3),MONTH($A354)=MONTH(Settings!$B$3)),Settings!$B$10,0))</f>
        <v/>
      </c>
      <c r="O354" s="78">
        <f>IF($A354="","",SUMIFS($K$5:$K$800,$A$5:$A$800,"&gt;="&amp;DATE(YEAR($A354),MONTH($A354),1),$A$5:$A$800,"&lt;="&amp;$A354)+IF(AND(YEAR($A354)=YEAR(Settings!$B$3),MONTH($A354)=MONTH(Settings!$B$3)),Settings!$B$11,0))</f>
        <v/>
      </c>
      <c r="P354" s="77">
        <f>IF($A354="","",SUMIFS($H$5:$H$800,$A$5:$A$800,"&gt;="&amp;DATE(YEAR($A354),MONTH($A354),1),$A$5:$A$800,"&lt;="&amp;$A354)+IF(AND(YEAR($A354)=YEAR(Settings!$B$3),MONTH($A354)=MONTH(Settings!$B$3)),Settings!$B$12,0))</f>
        <v/>
      </c>
      <c r="Q354" s="78">
        <f>IF($A354="","",SUMIFS($I$5:$I$800,$A$5:$A$800,"&gt;="&amp;DATE(YEAR($A354),MONTH($A354),1),$A$5:$A$800,"&lt;="&amp;$A354)+IF(AND(YEAR($A354)=YEAR(Settings!$B$3),MONTH($A354)=MONTH(Settings!$B$3)),Settings!$B$13,0))</f>
        <v/>
      </c>
      <c r="R354" s="77">
        <f>IF($A354="","",N354+P354)</f>
        <v/>
      </c>
      <c r="S354" s="78">
        <f>IF($A354="","",O354+Q354)</f>
        <v/>
      </c>
    </row>
    <row r="355">
      <c r="A355" s="67" t="n"/>
      <c r="B355" s="75" t="n"/>
      <c r="C355" s="76" t="n"/>
      <c r="D355" s="75" t="n"/>
      <c r="E355" s="76" t="n"/>
      <c r="F355" s="75" t="n"/>
      <c r="G355" s="76" t="n"/>
      <c r="H355" s="75" t="n"/>
      <c r="I355" s="76" t="n"/>
      <c r="J355" s="77">
        <f>IF($A355="","",B355+D355+F355)</f>
        <v/>
      </c>
      <c r="K355" s="78">
        <f>IF($A355="","",C355+E355+G355)</f>
        <v/>
      </c>
      <c r="L355" s="79">
        <f>IF($A355="","",J355+H355)</f>
        <v/>
      </c>
      <c r="M355" s="80">
        <f>IF($A355="","",K355+I355)</f>
        <v/>
      </c>
      <c r="N355" s="77">
        <f>IF($A355="","",SUMIFS($J$5:$J$800,$A$5:$A$800,"&gt;="&amp;DATE(YEAR($A355),MONTH($A355),1),$A$5:$A$800,"&lt;="&amp;$A355)+IF(AND(YEAR($A355)=YEAR(Settings!$B$3),MONTH($A355)=MONTH(Settings!$B$3)),Settings!$B$10,0))</f>
        <v/>
      </c>
      <c r="O355" s="78">
        <f>IF($A355="","",SUMIFS($K$5:$K$800,$A$5:$A$800,"&gt;="&amp;DATE(YEAR($A355),MONTH($A355),1),$A$5:$A$800,"&lt;="&amp;$A355)+IF(AND(YEAR($A355)=YEAR(Settings!$B$3),MONTH($A355)=MONTH(Settings!$B$3)),Settings!$B$11,0))</f>
        <v/>
      </c>
      <c r="P355" s="77">
        <f>IF($A355="","",SUMIFS($H$5:$H$800,$A$5:$A$800,"&gt;="&amp;DATE(YEAR($A355),MONTH($A355),1),$A$5:$A$800,"&lt;="&amp;$A355)+IF(AND(YEAR($A355)=YEAR(Settings!$B$3),MONTH($A355)=MONTH(Settings!$B$3)),Settings!$B$12,0))</f>
        <v/>
      </c>
      <c r="Q355" s="78">
        <f>IF($A355="","",SUMIFS($I$5:$I$800,$A$5:$A$800,"&gt;="&amp;DATE(YEAR($A355),MONTH($A355),1),$A$5:$A$800,"&lt;="&amp;$A355)+IF(AND(YEAR($A355)=YEAR(Settings!$B$3),MONTH($A355)=MONTH(Settings!$B$3)),Settings!$B$13,0))</f>
        <v/>
      </c>
      <c r="R355" s="77">
        <f>IF($A355="","",N355+P355)</f>
        <v/>
      </c>
      <c r="S355" s="78">
        <f>IF($A355="","",O355+Q355)</f>
        <v/>
      </c>
    </row>
    <row r="356">
      <c r="A356" s="67" t="n"/>
      <c r="B356" s="75" t="n"/>
      <c r="C356" s="76" t="n"/>
      <c r="D356" s="75" t="n"/>
      <c r="E356" s="76" t="n"/>
      <c r="F356" s="75" t="n"/>
      <c r="G356" s="76" t="n"/>
      <c r="H356" s="75" t="n"/>
      <c r="I356" s="76" t="n"/>
      <c r="J356" s="77">
        <f>IF($A356="","",B356+D356+F356)</f>
        <v/>
      </c>
      <c r="K356" s="78">
        <f>IF($A356="","",C356+E356+G356)</f>
        <v/>
      </c>
      <c r="L356" s="79">
        <f>IF($A356="","",J356+H356)</f>
        <v/>
      </c>
      <c r="M356" s="80">
        <f>IF($A356="","",K356+I356)</f>
        <v/>
      </c>
      <c r="N356" s="77">
        <f>IF($A356="","",SUMIFS($J$5:$J$800,$A$5:$A$800,"&gt;="&amp;DATE(YEAR($A356),MONTH($A356),1),$A$5:$A$800,"&lt;="&amp;$A356)+IF(AND(YEAR($A356)=YEAR(Settings!$B$3),MONTH($A356)=MONTH(Settings!$B$3)),Settings!$B$10,0))</f>
        <v/>
      </c>
      <c r="O356" s="78">
        <f>IF($A356="","",SUMIFS($K$5:$K$800,$A$5:$A$800,"&gt;="&amp;DATE(YEAR($A356),MONTH($A356),1),$A$5:$A$800,"&lt;="&amp;$A356)+IF(AND(YEAR($A356)=YEAR(Settings!$B$3),MONTH($A356)=MONTH(Settings!$B$3)),Settings!$B$11,0))</f>
        <v/>
      </c>
      <c r="P356" s="77">
        <f>IF($A356="","",SUMIFS($H$5:$H$800,$A$5:$A$800,"&gt;="&amp;DATE(YEAR($A356),MONTH($A356),1),$A$5:$A$800,"&lt;="&amp;$A356)+IF(AND(YEAR($A356)=YEAR(Settings!$B$3),MONTH($A356)=MONTH(Settings!$B$3)),Settings!$B$12,0))</f>
        <v/>
      </c>
      <c r="Q356" s="78">
        <f>IF($A356="","",SUMIFS($I$5:$I$800,$A$5:$A$800,"&gt;="&amp;DATE(YEAR($A356),MONTH($A356),1),$A$5:$A$800,"&lt;="&amp;$A356)+IF(AND(YEAR($A356)=YEAR(Settings!$B$3),MONTH($A356)=MONTH(Settings!$B$3)),Settings!$B$13,0))</f>
        <v/>
      </c>
      <c r="R356" s="77">
        <f>IF($A356="","",N356+P356)</f>
        <v/>
      </c>
      <c r="S356" s="78">
        <f>IF($A356="","",O356+Q356)</f>
        <v/>
      </c>
    </row>
    <row r="357">
      <c r="A357" s="67" t="n"/>
      <c r="B357" s="75" t="n"/>
      <c r="C357" s="76" t="n"/>
      <c r="D357" s="75" t="n"/>
      <c r="E357" s="76" t="n"/>
      <c r="F357" s="75" t="n"/>
      <c r="G357" s="76" t="n"/>
      <c r="H357" s="75" t="n"/>
      <c r="I357" s="76" t="n"/>
      <c r="J357" s="77">
        <f>IF($A357="","",B357+D357+F357)</f>
        <v/>
      </c>
      <c r="K357" s="78">
        <f>IF($A357="","",C357+E357+G357)</f>
        <v/>
      </c>
      <c r="L357" s="79">
        <f>IF($A357="","",J357+H357)</f>
        <v/>
      </c>
      <c r="M357" s="80">
        <f>IF($A357="","",K357+I357)</f>
        <v/>
      </c>
      <c r="N357" s="77">
        <f>IF($A357="","",SUMIFS($J$5:$J$800,$A$5:$A$800,"&gt;="&amp;DATE(YEAR($A357),MONTH($A357),1),$A$5:$A$800,"&lt;="&amp;$A357)+IF(AND(YEAR($A357)=YEAR(Settings!$B$3),MONTH($A357)=MONTH(Settings!$B$3)),Settings!$B$10,0))</f>
        <v/>
      </c>
      <c r="O357" s="78">
        <f>IF($A357="","",SUMIFS($K$5:$K$800,$A$5:$A$800,"&gt;="&amp;DATE(YEAR($A357),MONTH($A357),1),$A$5:$A$800,"&lt;="&amp;$A357)+IF(AND(YEAR($A357)=YEAR(Settings!$B$3),MONTH($A357)=MONTH(Settings!$B$3)),Settings!$B$11,0))</f>
        <v/>
      </c>
      <c r="P357" s="77">
        <f>IF($A357="","",SUMIFS($H$5:$H$800,$A$5:$A$800,"&gt;="&amp;DATE(YEAR($A357),MONTH($A357),1),$A$5:$A$800,"&lt;="&amp;$A357)+IF(AND(YEAR($A357)=YEAR(Settings!$B$3),MONTH($A357)=MONTH(Settings!$B$3)),Settings!$B$12,0))</f>
        <v/>
      </c>
      <c r="Q357" s="78">
        <f>IF($A357="","",SUMIFS($I$5:$I$800,$A$5:$A$800,"&gt;="&amp;DATE(YEAR($A357),MONTH($A357),1),$A$5:$A$800,"&lt;="&amp;$A357)+IF(AND(YEAR($A357)=YEAR(Settings!$B$3),MONTH($A357)=MONTH(Settings!$B$3)),Settings!$B$13,0))</f>
        <v/>
      </c>
      <c r="R357" s="77">
        <f>IF($A357="","",N357+P357)</f>
        <v/>
      </c>
      <c r="S357" s="78">
        <f>IF($A357="","",O357+Q357)</f>
        <v/>
      </c>
    </row>
    <row r="358">
      <c r="A358" s="67" t="n"/>
      <c r="B358" s="75" t="n"/>
      <c r="C358" s="76" t="n"/>
      <c r="D358" s="75" t="n"/>
      <c r="E358" s="76" t="n"/>
      <c r="F358" s="75" t="n"/>
      <c r="G358" s="76" t="n"/>
      <c r="H358" s="75" t="n"/>
      <c r="I358" s="76" t="n"/>
      <c r="J358" s="77">
        <f>IF($A358="","",B358+D358+F358)</f>
        <v/>
      </c>
      <c r="K358" s="78">
        <f>IF($A358="","",C358+E358+G358)</f>
        <v/>
      </c>
      <c r="L358" s="79">
        <f>IF($A358="","",J358+H358)</f>
        <v/>
      </c>
      <c r="M358" s="80">
        <f>IF($A358="","",K358+I358)</f>
        <v/>
      </c>
      <c r="N358" s="77">
        <f>IF($A358="","",SUMIFS($J$5:$J$800,$A$5:$A$800,"&gt;="&amp;DATE(YEAR($A358),MONTH($A358),1),$A$5:$A$800,"&lt;="&amp;$A358)+IF(AND(YEAR($A358)=YEAR(Settings!$B$3),MONTH($A358)=MONTH(Settings!$B$3)),Settings!$B$10,0))</f>
        <v/>
      </c>
      <c r="O358" s="78">
        <f>IF($A358="","",SUMIFS($K$5:$K$800,$A$5:$A$800,"&gt;="&amp;DATE(YEAR($A358),MONTH($A358),1),$A$5:$A$800,"&lt;="&amp;$A358)+IF(AND(YEAR($A358)=YEAR(Settings!$B$3),MONTH($A358)=MONTH(Settings!$B$3)),Settings!$B$11,0))</f>
        <v/>
      </c>
      <c r="P358" s="77">
        <f>IF($A358="","",SUMIFS($H$5:$H$800,$A$5:$A$800,"&gt;="&amp;DATE(YEAR($A358),MONTH($A358),1),$A$5:$A$800,"&lt;="&amp;$A358)+IF(AND(YEAR($A358)=YEAR(Settings!$B$3),MONTH($A358)=MONTH(Settings!$B$3)),Settings!$B$12,0))</f>
        <v/>
      </c>
      <c r="Q358" s="78">
        <f>IF($A358="","",SUMIFS($I$5:$I$800,$A$5:$A$800,"&gt;="&amp;DATE(YEAR($A358),MONTH($A358),1),$A$5:$A$800,"&lt;="&amp;$A358)+IF(AND(YEAR($A358)=YEAR(Settings!$B$3),MONTH($A358)=MONTH(Settings!$B$3)),Settings!$B$13,0))</f>
        <v/>
      </c>
      <c r="R358" s="77">
        <f>IF($A358="","",N358+P358)</f>
        <v/>
      </c>
      <c r="S358" s="78">
        <f>IF($A358="","",O358+Q358)</f>
        <v/>
      </c>
    </row>
    <row r="359">
      <c r="A359" s="67" t="n"/>
      <c r="B359" s="75" t="n"/>
      <c r="C359" s="76" t="n"/>
      <c r="D359" s="75" t="n"/>
      <c r="E359" s="76" t="n"/>
      <c r="F359" s="75" t="n"/>
      <c r="G359" s="76" t="n"/>
      <c r="H359" s="75" t="n"/>
      <c r="I359" s="76" t="n"/>
      <c r="J359" s="77">
        <f>IF($A359="","",B359+D359+F359)</f>
        <v/>
      </c>
      <c r="K359" s="78">
        <f>IF($A359="","",C359+E359+G359)</f>
        <v/>
      </c>
      <c r="L359" s="79">
        <f>IF($A359="","",J359+H359)</f>
        <v/>
      </c>
      <c r="M359" s="80">
        <f>IF($A359="","",K359+I359)</f>
        <v/>
      </c>
      <c r="N359" s="77">
        <f>IF($A359="","",SUMIFS($J$5:$J$800,$A$5:$A$800,"&gt;="&amp;DATE(YEAR($A359),MONTH($A359),1),$A$5:$A$800,"&lt;="&amp;$A359)+IF(AND(YEAR($A359)=YEAR(Settings!$B$3),MONTH($A359)=MONTH(Settings!$B$3)),Settings!$B$10,0))</f>
        <v/>
      </c>
      <c r="O359" s="78">
        <f>IF($A359="","",SUMIFS($K$5:$K$800,$A$5:$A$800,"&gt;="&amp;DATE(YEAR($A359),MONTH($A359),1),$A$5:$A$800,"&lt;="&amp;$A359)+IF(AND(YEAR($A359)=YEAR(Settings!$B$3),MONTH($A359)=MONTH(Settings!$B$3)),Settings!$B$11,0))</f>
        <v/>
      </c>
      <c r="P359" s="77">
        <f>IF($A359="","",SUMIFS($H$5:$H$800,$A$5:$A$800,"&gt;="&amp;DATE(YEAR($A359),MONTH($A359),1),$A$5:$A$800,"&lt;="&amp;$A359)+IF(AND(YEAR($A359)=YEAR(Settings!$B$3),MONTH($A359)=MONTH(Settings!$B$3)),Settings!$B$12,0))</f>
        <v/>
      </c>
      <c r="Q359" s="78">
        <f>IF($A359="","",SUMIFS($I$5:$I$800,$A$5:$A$800,"&gt;="&amp;DATE(YEAR($A359),MONTH($A359),1),$A$5:$A$800,"&lt;="&amp;$A359)+IF(AND(YEAR($A359)=YEAR(Settings!$B$3),MONTH($A359)=MONTH(Settings!$B$3)),Settings!$B$13,0))</f>
        <v/>
      </c>
      <c r="R359" s="77">
        <f>IF($A359="","",N359+P359)</f>
        <v/>
      </c>
      <c r="S359" s="78">
        <f>IF($A359="","",O359+Q359)</f>
        <v/>
      </c>
    </row>
    <row r="360">
      <c r="A360" s="67" t="n"/>
      <c r="B360" s="75" t="n"/>
      <c r="C360" s="76" t="n"/>
      <c r="D360" s="75" t="n"/>
      <c r="E360" s="76" t="n"/>
      <c r="F360" s="75" t="n"/>
      <c r="G360" s="76" t="n"/>
      <c r="H360" s="75" t="n"/>
      <c r="I360" s="76" t="n"/>
      <c r="J360" s="77">
        <f>IF($A360="","",B360+D360+F360)</f>
        <v/>
      </c>
      <c r="K360" s="78">
        <f>IF($A360="","",C360+E360+G360)</f>
        <v/>
      </c>
      <c r="L360" s="79">
        <f>IF($A360="","",J360+H360)</f>
        <v/>
      </c>
      <c r="M360" s="80">
        <f>IF($A360="","",K360+I360)</f>
        <v/>
      </c>
      <c r="N360" s="77">
        <f>IF($A360="","",SUMIFS($J$5:$J$800,$A$5:$A$800,"&gt;="&amp;DATE(YEAR($A360),MONTH($A360),1),$A$5:$A$800,"&lt;="&amp;$A360)+IF(AND(YEAR($A360)=YEAR(Settings!$B$3),MONTH($A360)=MONTH(Settings!$B$3)),Settings!$B$10,0))</f>
        <v/>
      </c>
      <c r="O360" s="78">
        <f>IF($A360="","",SUMIFS($K$5:$K$800,$A$5:$A$800,"&gt;="&amp;DATE(YEAR($A360),MONTH($A360),1),$A$5:$A$800,"&lt;="&amp;$A360)+IF(AND(YEAR($A360)=YEAR(Settings!$B$3),MONTH($A360)=MONTH(Settings!$B$3)),Settings!$B$11,0))</f>
        <v/>
      </c>
      <c r="P360" s="77">
        <f>IF($A360="","",SUMIFS($H$5:$H$800,$A$5:$A$800,"&gt;="&amp;DATE(YEAR($A360),MONTH($A360),1),$A$5:$A$800,"&lt;="&amp;$A360)+IF(AND(YEAR($A360)=YEAR(Settings!$B$3),MONTH($A360)=MONTH(Settings!$B$3)),Settings!$B$12,0))</f>
        <v/>
      </c>
      <c r="Q360" s="78">
        <f>IF($A360="","",SUMIFS($I$5:$I$800,$A$5:$A$800,"&gt;="&amp;DATE(YEAR($A360),MONTH($A360),1),$A$5:$A$800,"&lt;="&amp;$A360)+IF(AND(YEAR($A360)=YEAR(Settings!$B$3),MONTH($A360)=MONTH(Settings!$B$3)),Settings!$B$13,0))</f>
        <v/>
      </c>
      <c r="R360" s="77">
        <f>IF($A360="","",N360+P360)</f>
        <v/>
      </c>
      <c r="S360" s="78">
        <f>IF($A360="","",O360+Q360)</f>
        <v/>
      </c>
    </row>
    <row r="361">
      <c r="A361" s="67" t="n"/>
      <c r="B361" s="75" t="n"/>
      <c r="C361" s="76" t="n"/>
      <c r="D361" s="75" t="n"/>
      <c r="E361" s="76" t="n"/>
      <c r="F361" s="75" t="n"/>
      <c r="G361" s="76" t="n"/>
      <c r="H361" s="75" t="n"/>
      <c r="I361" s="76" t="n"/>
      <c r="J361" s="77">
        <f>IF($A361="","",B361+D361+F361)</f>
        <v/>
      </c>
      <c r="K361" s="78">
        <f>IF($A361="","",C361+E361+G361)</f>
        <v/>
      </c>
      <c r="L361" s="79">
        <f>IF($A361="","",J361+H361)</f>
        <v/>
      </c>
      <c r="M361" s="80">
        <f>IF($A361="","",K361+I361)</f>
        <v/>
      </c>
      <c r="N361" s="77">
        <f>IF($A361="","",SUMIFS($J$5:$J$800,$A$5:$A$800,"&gt;="&amp;DATE(YEAR($A361),MONTH($A361),1),$A$5:$A$800,"&lt;="&amp;$A361)+IF(AND(YEAR($A361)=YEAR(Settings!$B$3),MONTH($A361)=MONTH(Settings!$B$3)),Settings!$B$10,0))</f>
        <v/>
      </c>
      <c r="O361" s="78">
        <f>IF($A361="","",SUMIFS($K$5:$K$800,$A$5:$A$800,"&gt;="&amp;DATE(YEAR($A361),MONTH($A361),1),$A$5:$A$800,"&lt;="&amp;$A361)+IF(AND(YEAR($A361)=YEAR(Settings!$B$3),MONTH($A361)=MONTH(Settings!$B$3)),Settings!$B$11,0))</f>
        <v/>
      </c>
      <c r="P361" s="77">
        <f>IF($A361="","",SUMIFS($H$5:$H$800,$A$5:$A$800,"&gt;="&amp;DATE(YEAR($A361),MONTH($A361),1),$A$5:$A$800,"&lt;="&amp;$A361)+IF(AND(YEAR($A361)=YEAR(Settings!$B$3),MONTH($A361)=MONTH(Settings!$B$3)),Settings!$B$12,0))</f>
        <v/>
      </c>
      <c r="Q361" s="78">
        <f>IF($A361="","",SUMIFS($I$5:$I$800,$A$5:$A$800,"&gt;="&amp;DATE(YEAR($A361),MONTH($A361),1),$A$5:$A$800,"&lt;="&amp;$A361)+IF(AND(YEAR($A361)=YEAR(Settings!$B$3),MONTH($A361)=MONTH(Settings!$B$3)),Settings!$B$13,0))</f>
        <v/>
      </c>
      <c r="R361" s="77">
        <f>IF($A361="","",N361+P361)</f>
        <v/>
      </c>
      <c r="S361" s="78">
        <f>IF($A361="","",O361+Q361)</f>
        <v/>
      </c>
    </row>
    <row r="362">
      <c r="A362" s="67" t="n"/>
      <c r="B362" s="75" t="n"/>
      <c r="C362" s="76" t="n"/>
      <c r="D362" s="75" t="n"/>
      <c r="E362" s="76" t="n"/>
      <c r="F362" s="75" t="n"/>
      <c r="G362" s="76" t="n"/>
      <c r="H362" s="75" t="n"/>
      <c r="I362" s="76" t="n"/>
      <c r="J362" s="77">
        <f>IF($A362="","",B362+D362+F362)</f>
        <v/>
      </c>
      <c r="K362" s="78">
        <f>IF($A362="","",C362+E362+G362)</f>
        <v/>
      </c>
      <c r="L362" s="79">
        <f>IF($A362="","",J362+H362)</f>
        <v/>
      </c>
      <c r="M362" s="80">
        <f>IF($A362="","",K362+I362)</f>
        <v/>
      </c>
      <c r="N362" s="77">
        <f>IF($A362="","",SUMIFS($J$5:$J$800,$A$5:$A$800,"&gt;="&amp;DATE(YEAR($A362),MONTH($A362),1),$A$5:$A$800,"&lt;="&amp;$A362)+IF(AND(YEAR($A362)=YEAR(Settings!$B$3),MONTH($A362)=MONTH(Settings!$B$3)),Settings!$B$10,0))</f>
        <v/>
      </c>
      <c r="O362" s="78">
        <f>IF($A362="","",SUMIFS($K$5:$K$800,$A$5:$A$800,"&gt;="&amp;DATE(YEAR($A362),MONTH($A362),1),$A$5:$A$800,"&lt;="&amp;$A362)+IF(AND(YEAR($A362)=YEAR(Settings!$B$3),MONTH($A362)=MONTH(Settings!$B$3)),Settings!$B$11,0))</f>
        <v/>
      </c>
      <c r="P362" s="77">
        <f>IF($A362="","",SUMIFS($H$5:$H$800,$A$5:$A$800,"&gt;="&amp;DATE(YEAR($A362),MONTH($A362),1),$A$5:$A$800,"&lt;="&amp;$A362)+IF(AND(YEAR($A362)=YEAR(Settings!$B$3),MONTH($A362)=MONTH(Settings!$B$3)),Settings!$B$12,0))</f>
        <v/>
      </c>
      <c r="Q362" s="78">
        <f>IF($A362="","",SUMIFS($I$5:$I$800,$A$5:$A$800,"&gt;="&amp;DATE(YEAR($A362),MONTH($A362),1),$A$5:$A$800,"&lt;="&amp;$A362)+IF(AND(YEAR($A362)=YEAR(Settings!$B$3),MONTH($A362)=MONTH(Settings!$B$3)),Settings!$B$13,0))</f>
        <v/>
      </c>
      <c r="R362" s="77">
        <f>IF($A362="","",N362+P362)</f>
        <v/>
      </c>
      <c r="S362" s="78">
        <f>IF($A362="","",O362+Q362)</f>
        <v/>
      </c>
    </row>
    <row r="363">
      <c r="A363" s="67" t="n"/>
      <c r="B363" s="75" t="n"/>
      <c r="C363" s="76" t="n"/>
      <c r="D363" s="75" t="n"/>
      <c r="E363" s="76" t="n"/>
      <c r="F363" s="75" t="n"/>
      <c r="G363" s="76" t="n"/>
      <c r="H363" s="75" t="n"/>
      <c r="I363" s="76" t="n"/>
      <c r="J363" s="77">
        <f>IF($A363="","",B363+D363+F363)</f>
        <v/>
      </c>
      <c r="K363" s="78">
        <f>IF($A363="","",C363+E363+G363)</f>
        <v/>
      </c>
      <c r="L363" s="79">
        <f>IF($A363="","",J363+H363)</f>
        <v/>
      </c>
      <c r="M363" s="80">
        <f>IF($A363="","",K363+I363)</f>
        <v/>
      </c>
      <c r="N363" s="77">
        <f>IF($A363="","",SUMIFS($J$5:$J$800,$A$5:$A$800,"&gt;="&amp;DATE(YEAR($A363),MONTH($A363),1),$A$5:$A$800,"&lt;="&amp;$A363)+IF(AND(YEAR($A363)=YEAR(Settings!$B$3),MONTH($A363)=MONTH(Settings!$B$3)),Settings!$B$10,0))</f>
        <v/>
      </c>
      <c r="O363" s="78">
        <f>IF($A363="","",SUMIFS($K$5:$K$800,$A$5:$A$800,"&gt;="&amp;DATE(YEAR($A363),MONTH($A363),1),$A$5:$A$800,"&lt;="&amp;$A363)+IF(AND(YEAR($A363)=YEAR(Settings!$B$3),MONTH($A363)=MONTH(Settings!$B$3)),Settings!$B$11,0))</f>
        <v/>
      </c>
      <c r="P363" s="77">
        <f>IF($A363="","",SUMIFS($H$5:$H$800,$A$5:$A$800,"&gt;="&amp;DATE(YEAR($A363),MONTH($A363),1),$A$5:$A$800,"&lt;="&amp;$A363)+IF(AND(YEAR($A363)=YEAR(Settings!$B$3),MONTH($A363)=MONTH(Settings!$B$3)),Settings!$B$12,0))</f>
        <v/>
      </c>
      <c r="Q363" s="78">
        <f>IF($A363="","",SUMIFS($I$5:$I$800,$A$5:$A$800,"&gt;="&amp;DATE(YEAR($A363),MONTH($A363),1),$A$5:$A$800,"&lt;="&amp;$A363)+IF(AND(YEAR($A363)=YEAR(Settings!$B$3),MONTH($A363)=MONTH(Settings!$B$3)),Settings!$B$13,0))</f>
        <v/>
      </c>
      <c r="R363" s="77">
        <f>IF($A363="","",N363+P363)</f>
        <v/>
      </c>
      <c r="S363" s="78">
        <f>IF($A363="","",O363+Q363)</f>
        <v/>
      </c>
    </row>
    <row r="364">
      <c r="A364" s="67" t="n"/>
      <c r="B364" s="75" t="n"/>
      <c r="C364" s="76" t="n"/>
      <c r="D364" s="75" t="n"/>
      <c r="E364" s="76" t="n"/>
      <c r="F364" s="75" t="n"/>
      <c r="G364" s="76" t="n"/>
      <c r="H364" s="75" t="n"/>
      <c r="I364" s="76" t="n"/>
      <c r="J364" s="77">
        <f>IF($A364="","",B364+D364+F364)</f>
        <v/>
      </c>
      <c r="K364" s="78">
        <f>IF($A364="","",C364+E364+G364)</f>
        <v/>
      </c>
      <c r="L364" s="79">
        <f>IF($A364="","",J364+H364)</f>
        <v/>
      </c>
      <c r="M364" s="80">
        <f>IF($A364="","",K364+I364)</f>
        <v/>
      </c>
      <c r="N364" s="77">
        <f>IF($A364="","",SUMIFS($J$5:$J$800,$A$5:$A$800,"&gt;="&amp;DATE(YEAR($A364),MONTH($A364),1),$A$5:$A$800,"&lt;="&amp;$A364)+IF(AND(YEAR($A364)=YEAR(Settings!$B$3),MONTH($A364)=MONTH(Settings!$B$3)),Settings!$B$10,0))</f>
        <v/>
      </c>
      <c r="O364" s="78">
        <f>IF($A364="","",SUMIFS($K$5:$K$800,$A$5:$A$800,"&gt;="&amp;DATE(YEAR($A364),MONTH($A364),1),$A$5:$A$800,"&lt;="&amp;$A364)+IF(AND(YEAR($A364)=YEAR(Settings!$B$3),MONTH($A364)=MONTH(Settings!$B$3)),Settings!$B$11,0))</f>
        <v/>
      </c>
      <c r="P364" s="77">
        <f>IF($A364="","",SUMIFS($H$5:$H$800,$A$5:$A$800,"&gt;="&amp;DATE(YEAR($A364),MONTH($A364),1),$A$5:$A$800,"&lt;="&amp;$A364)+IF(AND(YEAR($A364)=YEAR(Settings!$B$3),MONTH($A364)=MONTH(Settings!$B$3)),Settings!$B$12,0))</f>
        <v/>
      </c>
      <c r="Q364" s="78">
        <f>IF($A364="","",SUMIFS($I$5:$I$800,$A$5:$A$800,"&gt;="&amp;DATE(YEAR($A364),MONTH($A364),1),$A$5:$A$800,"&lt;="&amp;$A364)+IF(AND(YEAR($A364)=YEAR(Settings!$B$3),MONTH($A364)=MONTH(Settings!$B$3)),Settings!$B$13,0))</f>
        <v/>
      </c>
      <c r="R364" s="77">
        <f>IF($A364="","",N364+P364)</f>
        <v/>
      </c>
      <c r="S364" s="78">
        <f>IF($A364="","",O364+Q364)</f>
        <v/>
      </c>
    </row>
    <row r="365">
      <c r="A365" s="67" t="n"/>
      <c r="B365" s="75" t="n"/>
      <c r="C365" s="76" t="n"/>
      <c r="D365" s="75" t="n"/>
      <c r="E365" s="76" t="n"/>
      <c r="F365" s="75" t="n"/>
      <c r="G365" s="76" t="n"/>
      <c r="H365" s="75" t="n"/>
      <c r="I365" s="76" t="n"/>
      <c r="J365" s="77">
        <f>IF($A365="","",B365+D365+F365)</f>
        <v/>
      </c>
      <c r="K365" s="78">
        <f>IF($A365="","",C365+E365+G365)</f>
        <v/>
      </c>
      <c r="L365" s="79">
        <f>IF($A365="","",J365+H365)</f>
        <v/>
      </c>
      <c r="M365" s="80">
        <f>IF($A365="","",K365+I365)</f>
        <v/>
      </c>
      <c r="N365" s="77">
        <f>IF($A365="","",SUMIFS($J$5:$J$800,$A$5:$A$800,"&gt;="&amp;DATE(YEAR($A365),MONTH($A365),1),$A$5:$A$800,"&lt;="&amp;$A365)+IF(AND(YEAR($A365)=YEAR(Settings!$B$3),MONTH($A365)=MONTH(Settings!$B$3)),Settings!$B$10,0))</f>
        <v/>
      </c>
      <c r="O365" s="78">
        <f>IF($A365="","",SUMIFS($K$5:$K$800,$A$5:$A$800,"&gt;="&amp;DATE(YEAR($A365),MONTH($A365),1),$A$5:$A$800,"&lt;="&amp;$A365)+IF(AND(YEAR($A365)=YEAR(Settings!$B$3),MONTH($A365)=MONTH(Settings!$B$3)),Settings!$B$11,0))</f>
        <v/>
      </c>
      <c r="P365" s="77">
        <f>IF($A365="","",SUMIFS($H$5:$H$800,$A$5:$A$800,"&gt;="&amp;DATE(YEAR($A365),MONTH($A365),1),$A$5:$A$800,"&lt;="&amp;$A365)+IF(AND(YEAR($A365)=YEAR(Settings!$B$3),MONTH($A365)=MONTH(Settings!$B$3)),Settings!$B$12,0))</f>
        <v/>
      </c>
      <c r="Q365" s="78">
        <f>IF($A365="","",SUMIFS($I$5:$I$800,$A$5:$A$800,"&gt;="&amp;DATE(YEAR($A365),MONTH($A365),1),$A$5:$A$800,"&lt;="&amp;$A365)+IF(AND(YEAR($A365)=YEAR(Settings!$B$3),MONTH($A365)=MONTH(Settings!$B$3)),Settings!$B$13,0))</f>
        <v/>
      </c>
      <c r="R365" s="77">
        <f>IF($A365="","",N365+P365)</f>
        <v/>
      </c>
      <c r="S365" s="78">
        <f>IF($A365="","",O365+Q365)</f>
        <v/>
      </c>
    </row>
    <row r="366">
      <c r="A366" s="67" t="n"/>
      <c r="B366" s="75" t="n"/>
      <c r="C366" s="76" t="n"/>
      <c r="D366" s="75" t="n"/>
      <c r="E366" s="76" t="n"/>
      <c r="F366" s="75" t="n"/>
      <c r="G366" s="76" t="n"/>
      <c r="H366" s="75" t="n"/>
      <c r="I366" s="76" t="n"/>
      <c r="J366" s="77">
        <f>IF($A366="","",B366+D366+F366)</f>
        <v/>
      </c>
      <c r="K366" s="78">
        <f>IF($A366="","",C366+E366+G366)</f>
        <v/>
      </c>
      <c r="L366" s="79">
        <f>IF($A366="","",J366+H366)</f>
        <v/>
      </c>
      <c r="M366" s="80">
        <f>IF($A366="","",K366+I366)</f>
        <v/>
      </c>
      <c r="N366" s="77">
        <f>IF($A366="","",SUMIFS($J$5:$J$800,$A$5:$A$800,"&gt;="&amp;DATE(YEAR($A366),MONTH($A366),1),$A$5:$A$800,"&lt;="&amp;$A366)+IF(AND(YEAR($A366)=YEAR(Settings!$B$3),MONTH($A366)=MONTH(Settings!$B$3)),Settings!$B$10,0))</f>
        <v/>
      </c>
      <c r="O366" s="78">
        <f>IF($A366="","",SUMIFS($K$5:$K$800,$A$5:$A$800,"&gt;="&amp;DATE(YEAR($A366),MONTH($A366),1),$A$5:$A$800,"&lt;="&amp;$A366)+IF(AND(YEAR($A366)=YEAR(Settings!$B$3),MONTH($A366)=MONTH(Settings!$B$3)),Settings!$B$11,0))</f>
        <v/>
      </c>
      <c r="P366" s="77">
        <f>IF($A366="","",SUMIFS($H$5:$H$800,$A$5:$A$800,"&gt;="&amp;DATE(YEAR($A366),MONTH($A366),1),$A$5:$A$800,"&lt;="&amp;$A366)+IF(AND(YEAR($A366)=YEAR(Settings!$B$3),MONTH($A366)=MONTH(Settings!$B$3)),Settings!$B$12,0))</f>
        <v/>
      </c>
      <c r="Q366" s="78">
        <f>IF($A366="","",SUMIFS($I$5:$I$800,$A$5:$A$800,"&gt;="&amp;DATE(YEAR($A366),MONTH($A366),1),$A$5:$A$800,"&lt;="&amp;$A366)+IF(AND(YEAR($A366)=YEAR(Settings!$B$3),MONTH($A366)=MONTH(Settings!$B$3)),Settings!$B$13,0))</f>
        <v/>
      </c>
      <c r="R366" s="77">
        <f>IF($A366="","",N366+P366)</f>
        <v/>
      </c>
      <c r="S366" s="78">
        <f>IF($A366="","",O366+Q366)</f>
        <v/>
      </c>
    </row>
    <row r="367">
      <c r="A367" s="67" t="n"/>
      <c r="B367" s="75" t="n"/>
      <c r="C367" s="76" t="n"/>
      <c r="D367" s="75" t="n"/>
      <c r="E367" s="76" t="n"/>
      <c r="F367" s="75" t="n"/>
      <c r="G367" s="76" t="n"/>
      <c r="H367" s="75" t="n"/>
      <c r="I367" s="76" t="n"/>
      <c r="J367" s="77">
        <f>IF($A367="","",B367+D367+F367)</f>
        <v/>
      </c>
      <c r="K367" s="78">
        <f>IF($A367="","",C367+E367+G367)</f>
        <v/>
      </c>
      <c r="L367" s="79">
        <f>IF($A367="","",J367+H367)</f>
        <v/>
      </c>
      <c r="M367" s="80">
        <f>IF($A367="","",K367+I367)</f>
        <v/>
      </c>
      <c r="N367" s="77">
        <f>IF($A367="","",SUMIFS($J$5:$J$800,$A$5:$A$800,"&gt;="&amp;DATE(YEAR($A367),MONTH($A367),1),$A$5:$A$800,"&lt;="&amp;$A367)+IF(AND(YEAR($A367)=YEAR(Settings!$B$3),MONTH($A367)=MONTH(Settings!$B$3)),Settings!$B$10,0))</f>
        <v/>
      </c>
      <c r="O367" s="78">
        <f>IF($A367="","",SUMIFS($K$5:$K$800,$A$5:$A$800,"&gt;="&amp;DATE(YEAR($A367),MONTH($A367),1),$A$5:$A$800,"&lt;="&amp;$A367)+IF(AND(YEAR($A367)=YEAR(Settings!$B$3),MONTH($A367)=MONTH(Settings!$B$3)),Settings!$B$11,0))</f>
        <v/>
      </c>
      <c r="P367" s="77">
        <f>IF($A367="","",SUMIFS($H$5:$H$800,$A$5:$A$800,"&gt;="&amp;DATE(YEAR($A367),MONTH($A367),1),$A$5:$A$800,"&lt;="&amp;$A367)+IF(AND(YEAR($A367)=YEAR(Settings!$B$3),MONTH($A367)=MONTH(Settings!$B$3)),Settings!$B$12,0))</f>
        <v/>
      </c>
      <c r="Q367" s="78">
        <f>IF($A367="","",SUMIFS($I$5:$I$800,$A$5:$A$800,"&gt;="&amp;DATE(YEAR($A367),MONTH($A367),1),$A$5:$A$800,"&lt;="&amp;$A367)+IF(AND(YEAR($A367)=YEAR(Settings!$B$3),MONTH($A367)=MONTH(Settings!$B$3)),Settings!$B$13,0))</f>
        <v/>
      </c>
      <c r="R367" s="77">
        <f>IF($A367="","",N367+P367)</f>
        <v/>
      </c>
      <c r="S367" s="78">
        <f>IF($A367="","",O367+Q367)</f>
        <v/>
      </c>
    </row>
    <row r="368">
      <c r="A368" s="67" t="n"/>
      <c r="B368" s="75" t="n"/>
      <c r="C368" s="76" t="n"/>
      <c r="D368" s="75" t="n"/>
      <c r="E368" s="76" t="n"/>
      <c r="F368" s="75" t="n"/>
      <c r="G368" s="76" t="n"/>
      <c r="H368" s="75" t="n"/>
      <c r="I368" s="76" t="n"/>
      <c r="J368" s="77">
        <f>IF($A368="","",B368+D368+F368)</f>
        <v/>
      </c>
      <c r="K368" s="78">
        <f>IF($A368="","",C368+E368+G368)</f>
        <v/>
      </c>
      <c r="L368" s="79">
        <f>IF($A368="","",J368+H368)</f>
        <v/>
      </c>
      <c r="M368" s="80">
        <f>IF($A368="","",K368+I368)</f>
        <v/>
      </c>
      <c r="N368" s="77">
        <f>IF($A368="","",SUMIFS($J$5:$J$800,$A$5:$A$800,"&gt;="&amp;DATE(YEAR($A368),MONTH($A368),1),$A$5:$A$800,"&lt;="&amp;$A368)+IF(AND(YEAR($A368)=YEAR(Settings!$B$3),MONTH($A368)=MONTH(Settings!$B$3)),Settings!$B$10,0))</f>
        <v/>
      </c>
      <c r="O368" s="78">
        <f>IF($A368="","",SUMIFS($K$5:$K$800,$A$5:$A$800,"&gt;="&amp;DATE(YEAR($A368),MONTH($A368),1),$A$5:$A$800,"&lt;="&amp;$A368)+IF(AND(YEAR($A368)=YEAR(Settings!$B$3),MONTH($A368)=MONTH(Settings!$B$3)),Settings!$B$11,0))</f>
        <v/>
      </c>
      <c r="P368" s="77">
        <f>IF($A368="","",SUMIFS($H$5:$H$800,$A$5:$A$800,"&gt;="&amp;DATE(YEAR($A368),MONTH($A368),1),$A$5:$A$800,"&lt;="&amp;$A368)+IF(AND(YEAR($A368)=YEAR(Settings!$B$3),MONTH($A368)=MONTH(Settings!$B$3)),Settings!$B$12,0))</f>
        <v/>
      </c>
      <c r="Q368" s="78">
        <f>IF($A368="","",SUMIFS($I$5:$I$800,$A$5:$A$800,"&gt;="&amp;DATE(YEAR($A368),MONTH($A368),1),$A$5:$A$800,"&lt;="&amp;$A368)+IF(AND(YEAR($A368)=YEAR(Settings!$B$3),MONTH($A368)=MONTH(Settings!$B$3)),Settings!$B$13,0))</f>
        <v/>
      </c>
      <c r="R368" s="77">
        <f>IF($A368="","",N368+P368)</f>
        <v/>
      </c>
      <c r="S368" s="78">
        <f>IF($A368="","",O368+Q368)</f>
        <v/>
      </c>
    </row>
    <row r="369">
      <c r="A369" s="67" t="n"/>
      <c r="B369" s="75" t="n"/>
      <c r="C369" s="76" t="n"/>
      <c r="D369" s="75" t="n"/>
      <c r="E369" s="76" t="n"/>
      <c r="F369" s="75" t="n"/>
      <c r="G369" s="76" t="n"/>
      <c r="H369" s="75" t="n"/>
      <c r="I369" s="76" t="n"/>
      <c r="J369" s="77">
        <f>IF($A369="","",B369+D369+F369)</f>
        <v/>
      </c>
      <c r="K369" s="78">
        <f>IF($A369="","",C369+E369+G369)</f>
        <v/>
      </c>
      <c r="L369" s="79">
        <f>IF($A369="","",J369+H369)</f>
        <v/>
      </c>
      <c r="M369" s="80">
        <f>IF($A369="","",K369+I369)</f>
        <v/>
      </c>
      <c r="N369" s="77">
        <f>IF($A369="","",SUMIFS($J$5:$J$800,$A$5:$A$800,"&gt;="&amp;DATE(YEAR($A369),MONTH($A369),1),$A$5:$A$800,"&lt;="&amp;$A369)+IF(AND(YEAR($A369)=YEAR(Settings!$B$3),MONTH($A369)=MONTH(Settings!$B$3)),Settings!$B$10,0))</f>
        <v/>
      </c>
      <c r="O369" s="78">
        <f>IF($A369="","",SUMIFS($K$5:$K$800,$A$5:$A$800,"&gt;="&amp;DATE(YEAR($A369),MONTH($A369),1),$A$5:$A$800,"&lt;="&amp;$A369)+IF(AND(YEAR($A369)=YEAR(Settings!$B$3),MONTH($A369)=MONTH(Settings!$B$3)),Settings!$B$11,0))</f>
        <v/>
      </c>
      <c r="P369" s="77">
        <f>IF($A369="","",SUMIFS($H$5:$H$800,$A$5:$A$800,"&gt;="&amp;DATE(YEAR($A369),MONTH($A369),1),$A$5:$A$800,"&lt;="&amp;$A369)+IF(AND(YEAR($A369)=YEAR(Settings!$B$3),MONTH($A369)=MONTH(Settings!$B$3)),Settings!$B$12,0))</f>
        <v/>
      </c>
      <c r="Q369" s="78">
        <f>IF($A369="","",SUMIFS($I$5:$I$800,$A$5:$A$800,"&gt;="&amp;DATE(YEAR($A369),MONTH($A369),1),$A$5:$A$800,"&lt;="&amp;$A369)+IF(AND(YEAR($A369)=YEAR(Settings!$B$3),MONTH($A369)=MONTH(Settings!$B$3)),Settings!$B$13,0))</f>
        <v/>
      </c>
      <c r="R369" s="77">
        <f>IF($A369="","",N369+P369)</f>
        <v/>
      </c>
      <c r="S369" s="78">
        <f>IF($A369="","",O369+Q369)</f>
        <v/>
      </c>
    </row>
    <row r="370">
      <c r="A370" s="67" t="n"/>
      <c r="B370" s="75" t="n"/>
      <c r="C370" s="76" t="n"/>
      <c r="D370" s="75" t="n"/>
      <c r="E370" s="76" t="n"/>
      <c r="F370" s="75" t="n"/>
      <c r="G370" s="76" t="n"/>
      <c r="H370" s="75" t="n"/>
      <c r="I370" s="76" t="n"/>
      <c r="J370" s="77">
        <f>IF($A370="","",B370+D370+F370)</f>
        <v/>
      </c>
      <c r="K370" s="78">
        <f>IF($A370="","",C370+E370+G370)</f>
        <v/>
      </c>
      <c r="L370" s="79">
        <f>IF($A370="","",J370+H370)</f>
        <v/>
      </c>
      <c r="M370" s="80">
        <f>IF($A370="","",K370+I370)</f>
        <v/>
      </c>
      <c r="N370" s="77">
        <f>IF($A370="","",SUMIFS($J$5:$J$800,$A$5:$A$800,"&gt;="&amp;DATE(YEAR($A370),MONTH($A370),1),$A$5:$A$800,"&lt;="&amp;$A370)+IF(AND(YEAR($A370)=YEAR(Settings!$B$3),MONTH($A370)=MONTH(Settings!$B$3)),Settings!$B$10,0))</f>
        <v/>
      </c>
      <c r="O370" s="78">
        <f>IF($A370="","",SUMIFS($K$5:$K$800,$A$5:$A$800,"&gt;="&amp;DATE(YEAR($A370),MONTH($A370),1),$A$5:$A$800,"&lt;="&amp;$A370)+IF(AND(YEAR($A370)=YEAR(Settings!$B$3),MONTH($A370)=MONTH(Settings!$B$3)),Settings!$B$11,0))</f>
        <v/>
      </c>
      <c r="P370" s="77">
        <f>IF($A370="","",SUMIFS($H$5:$H$800,$A$5:$A$800,"&gt;="&amp;DATE(YEAR($A370),MONTH($A370),1),$A$5:$A$800,"&lt;="&amp;$A370)+IF(AND(YEAR($A370)=YEAR(Settings!$B$3),MONTH($A370)=MONTH(Settings!$B$3)),Settings!$B$12,0))</f>
        <v/>
      </c>
      <c r="Q370" s="78">
        <f>IF($A370="","",SUMIFS($I$5:$I$800,$A$5:$A$800,"&gt;="&amp;DATE(YEAR($A370),MONTH($A370),1),$A$5:$A$800,"&lt;="&amp;$A370)+IF(AND(YEAR($A370)=YEAR(Settings!$B$3),MONTH($A370)=MONTH(Settings!$B$3)),Settings!$B$13,0))</f>
        <v/>
      </c>
      <c r="R370" s="77">
        <f>IF($A370="","",N370+P370)</f>
        <v/>
      </c>
      <c r="S370" s="78">
        <f>IF($A370="","",O370+Q370)</f>
        <v/>
      </c>
    </row>
    <row r="371">
      <c r="A371" s="67" t="n"/>
      <c r="B371" s="75" t="n"/>
      <c r="C371" s="76" t="n"/>
      <c r="D371" s="75" t="n"/>
      <c r="E371" s="76" t="n"/>
      <c r="F371" s="75" t="n"/>
      <c r="G371" s="76" t="n"/>
      <c r="H371" s="75" t="n"/>
      <c r="I371" s="76" t="n"/>
      <c r="J371" s="77">
        <f>IF($A371="","",B371+D371+F371)</f>
        <v/>
      </c>
      <c r="K371" s="78">
        <f>IF($A371="","",C371+E371+G371)</f>
        <v/>
      </c>
      <c r="L371" s="79">
        <f>IF($A371="","",J371+H371)</f>
        <v/>
      </c>
      <c r="M371" s="80">
        <f>IF($A371="","",K371+I371)</f>
        <v/>
      </c>
      <c r="N371" s="77">
        <f>IF($A371="","",SUMIFS($J$5:$J$800,$A$5:$A$800,"&gt;="&amp;DATE(YEAR($A371),MONTH($A371),1),$A$5:$A$800,"&lt;="&amp;$A371)+IF(AND(YEAR($A371)=YEAR(Settings!$B$3),MONTH($A371)=MONTH(Settings!$B$3)),Settings!$B$10,0))</f>
        <v/>
      </c>
      <c r="O371" s="78">
        <f>IF($A371="","",SUMIFS($K$5:$K$800,$A$5:$A$800,"&gt;="&amp;DATE(YEAR($A371),MONTH($A371),1),$A$5:$A$800,"&lt;="&amp;$A371)+IF(AND(YEAR($A371)=YEAR(Settings!$B$3),MONTH($A371)=MONTH(Settings!$B$3)),Settings!$B$11,0))</f>
        <v/>
      </c>
      <c r="P371" s="77">
        <f>IF($A371="","",SUMIFS($H$5:$H$800,$A$5:$A$800,"&gt;="&amp;DATE(YEAR($A371),MONTH($A371),1),$A$5:$A$800,"&lt;="&amp;$A371)+IF(AND(YEAR($A371)=YEAR(Settings!$B$3),MONTH($A371)=MONTH(Settings!$B$3)),Settings!$B$12,0))</f>
        <v/>
      </c>
      <c r="Q371" s="78">
        <f>IF($A371="","",SUMIFS($I$5:$I$800,$A$5:$A$800,"&gt;="&amp;DATE(YEAR($A371),MONTH($A371),1),$A$5:$A$800,"&lt;="&amp;$A371)+IF(AND(YEAR($A371)=YEAR(Settings!$B$3),MONTH($A371)=MONTH(Settings!$B$3)),Settings!$B$13,0))</f>
        <v/>
      </c>
      <c r="R371" s="77">
        <f>IF($A371="","",N371+P371)</f>
        <v/>
      </c>
      <c r="S371" s="78">
        <f>IF($A371="","",O371+Q371)</f>
        <v/>
      </c>
    </row>
    <row r="372">
      <c r="A372" s="67" t="n"/>
      <c r="B372" s="75" t="n"/>
      <c r="C372" s="76" t="n"/>
      <c r="D372" s="75" t="n"/>
      <c r="E372" s="76" t="n"/>
      <c r="F372" s="75" t="n"/>
      <c r="G372" s="76" t="n"/>
      <c r="H372" s="75" t="n"/>
      <c r="I372" s="76" t="n"/>
      <c r="J372" s="77">
        <f>IF($A372="","",B372+D372+F372)</f>
        <v/>
      </c>
      <c r="K372" s="78">
        <f>IF($A372="","",C372+E372+G372)</f>
        <v/>
      </c>
      <c r="L372" s="79">
        <f>IF($A372="","",J372+H372)</f>
        <v/>
      </c>
      <c r="M372" s="80">
        <f>IF($A372="","",K372+I372)</f>
        <v/>
      </c>
      <c r="N372" s="77">
        <f>IF($A372="","",SUMIFS($J$5:$J$800,$A$5:$A$800,"&gt;="&amp;DATE(YEAR($A372),MONTH($A372),1),$A$5:$A$800,"&lt;="&amp;$A372)+IF(AND(YEAR($A372)=YEAR(Settings!$B$3),MONTH($A372)=MONTH(Settings!$B$3)),Settings!$B$10,0))</f>
        <v/>
      </c>
      <c r="O372" s="78">
        <f>IF($A372="","",SUMIFS($K$5:$K$800,$A$5:$A$800,"&gt;="&amp;DATE(YEAR($A372),MONTH($A372),1),$A$5:$A$800,"&lt;="&amp;$A372)+IF(AND(YEAR($A372)=YEAR(Settings!$B$3),MONTH($A372)=MONTH(Settings!$B$3)),Settings!$B$11,0))</f>
        <v/>
      </c>
      <c r="P372" s="77">
        <f>IF($A372="","",SUMIFS($H$5:$H$800,$A$5:$A$800,"&gt;="&amp;DATE(YEAR($A372),MONTH($A372),1),$A$5:$A$800,"&lt;="&amp;$A372)+IF(AND(YEAR($A372)=YEAR(Settings!$B$3),MONTH($A372)=MONTH(Settings!$B$3)),Settings!$B$12,0))</f>
        <v/>
      </c>
      <c r="Q372" s="78">
        <f>IF($A372="","",SUMIFS($I$5:$I$800,$A$5:$A$800,"&gt;="&amp;DATE(YEAR($A372),MONTH($A372),1),$A$5:$A$800,"&lt;="&amp;$A372)+IF(AND(YEAR($A372)=YEAR(Settings!$B$3),MONTH($A372)=MONTH(Settings!$B$3)),Settings!$B$13,0))</f>
        <v/>
      </c>
      <c r="R372" s="77">
        <f>IF($A372="","",N372+P372)</f>
        <v/>
      </c>
      <c r="S372" s="78">
        <f>IF($A372="","",O372+Q372)</f>
        <v/>
      </c>
    </row>
    <row r="373">
      <c r="A373" s="67" t="n"/>
      <c r="B373" s="75" t="n"/>
      <c r="C373" s="76" t="n"/>
      <c r="D373" s="75" t="n"/>
      <c r="E373" s="76" t="n"/>
      <c r="F373" s="75" t="n"/>
      <c r="G373" s="76" t="n"/>
      <c r="H373" s="75" t="n"/>
      <c r="I373" s="76" t="n"/>
      <c r="J373" s="77">
        <f>IF($A373="","",B373+D373+F373)</f>
        <v/>
      </c>
      <c r="K373" s="78">
        <f>IF($A373="","",C373+E373+G373)</f>
        <v/>
      </c>
      <c r="L373" s="79">
        <f>IF($A373="","",J373+H373)</f>
        <v/>
      </c>
      <c r="M373" s="80">
        <f>IF($A373="","",K373+I373)</f>
        <v/>
      </c>
      <c r="N373" s="77">
        <f>IF($A373="","",SUMIFS($J$5:$J$800,$A$5:$A$800,"&gt;="&amp;DATE(YEAR($A373),MONTH($A373),1),$A$5:$A$800,"&lt;="&amp;$A373)+IF(AND(YEAR($A373)=YEAR(Settings!$B$3),MONTH($A373)=MONTH(Settings!$B$3)),Settings!$B$10,0))</f>
        <v/>
      </c>
      <c r="O373" s="78">
        <f>IF($A373="","",SUMIFS($K$5:$K$800,$A$5:$A$800,"&gt;="&amp;DATE(YEAR($A373),MONTH($A373),1),$A$5:$A$800,"&lt;="&amp;$A373)+IF(AND(YEAR($A373)=YEAR(Settings!$B$3),MONTH($A373)=MONTH(Settings!$B$3)),Settings!$B$11,0))</f>
        <v/>
      </c>
      <c r="P373" s="77">
        <f>IF($A373="","",SUMIFS($H$5:$H$800,$A$5:$A$800,"&gt;="&amp;DATE(YEAR($A373),MONTH($A373),1),$A$5:$A$800,"&lt;="&amp;$A373)+IF(AND(YEAR($A373)=YEAR(Settings!$B$3),MONTH($A373)=MONTH(Settings!$B$3)),Settings!$B$12,0))</f>
        <v/>
      </c>
      <c r="Q373" s="78">
        <f>IF($A373="","",SUMIFS($I$5:$I$800,$A$5:$A$800,"&gt;="&amp;DATE(YEAR($A373),MONTH($A373),1),$A$5:$A$800,"&lt;="&amp;$A373)+IF(AND(YEAR($A373)=YEAR(Settings!$B$3),MONTH($A373)=MONTH(Settings!$B$3)),Settings!$B$13,0))</f>
        <v/>
      </c>
      <c r="R373" s="77">
        <f>IF($A373="","",N373+P373)</f>
        <v/>
      </c>
      <c r="S373" s="78">
        <f>IF($A373="","",O373+Q373)</f>
        <v/>
      </c>
    </row>
    <row r="374">
      <c r="A374" s="67" t="n"/>
      <c r="B374" s="75" t="n"/>
      <c r="C374" s="76" t="n"/>
      <c r="D374" s="75" t="n"/>
      <c r="E374" s="76" t="n"/>
      <c r="F374" s="75" t="n"/>
      <c r="G374" s="76" t="n"/>
      <c r="H374" s="75" t="n"/>
      <c r="I374" s="76" t="n"/>
      <c r="J374" s="77">
        <f>IF($A374="","",B374+D374+F374)</f>
        <v/>
      </c>
      <c r="K374" s="78">
        <f>IF($A374="","",C374+E374+G374)</f>
        <v/>
      </c>
      <c r="L374" s="79">
        <f>IF($A374="","",J374+H374)</f>
        <v/>
      </c>
      <c r="M374" s="80">
        <f>IF($A374="","",K374+I374)</f>
        <v/>
      </c>
      <c r="N374" s="77">
        <f>IF($A374="","",SUMIFS($J$5:$J$800,$A$5:$A$800,"&gt;="&amp;DATE(YEAR($A374),MONTH($A374),1),$A$5:$A$800,"&lt;="&amp;$A374)+IF(AND(YEAR($A374)=YEAR(Settings!$B$3),MONTH($A374)=MONTH(Settings!$B$3)),Settings!$B$10,0))</f>
        <v/>
      </c>
      <c r="O374" s="78">
        <f>IF($A374="","",SUMIFS($K$5:$K$800,$A$5:$A$800,"&gt;="&amp;DATE(YEAR($A374),MONTH($A374),1),$A$5:$A$800,"&lt;="&amp;$A374)+IF(AND(YEAR($A374)=YEAR(Settings!$B$3),MONTH($A374)=MONTH(Settings!$B$3)),Settings!$B$11,0))</f>
        <v/>
      </c>
      <c r="P374" s="77">
        <f>IF($A374="","",SUMIFS($H$5:$H$800,$A$5:$A$800,"&gt;="&amp;DATE(YEAR($A374),MONTH($A374),1),$A$5:$A$800,"&lt;="&amp;$A374)+IF(AND(YEAR($A374)=YEAR(Settings!$B$3),MONTH($A374)=MONTH(Settings!$B$3)),Settings!$B$12,0))</f>
        <v/>
      </c>
      <c r="Q374" s="78">
        <f>IF($A374="","",SUMIFS($I$5:$I$800,$A$5:$A$800,"&gt;="&amp;DATE(YEAR($A374),MONTH($A374),1),$A$5:$A$800,"&lt;="&amp;$A374)+IF(AND(YEAR($A374)=YEAR(Settings!$B$3),MONTH($A374)=MONTH(Settings!$B$3)),Settings!$B$13,0))</f>
        <v/>
      </c>
      <c r="R374" s="77">
        <f>IF($A374="","",N374+P374)</f>
        <v/>
      </c>
      <c r="S374" s="78">
        <f>IF($A374="","",O374+Q374)</f>
        <v/>
      </c>
    </row>
    <row r="375">
      <c r="A375" s="67" t="n"/>
      <c r="B375" s="75" t="n"/>
      <c r="C375" s="76" t="n"/>
      <c r="D375" s="75" t="n"/>
      <c r="E375" s="76" t="n"/>
      <c r="F375" s="75" t="n"/>
      <c r="G375" s="76" t="n"/>
      <c r="H375" s="75" t="n"/>
      <c r="I375" s="76" t="n"/>
      <c r="J375" s="77">
        <f>IF($A375="","",B375+D375+F375)</f>
        <v/>
      </c>
      <c r="K375" s="78">
        <f>IF($A375="","",C375+E375+G375)</f>
        <v/>
      </c>
      <c r="L375" s="79">
        <f>IF($A375="","",J375+H375)</f>
        <v/>
      </c>
      <c r="M375" s="80">
        <f>IF($A375="","",K375+I375)</f>
        <v/>
      </c>
      <c r="N375" s="77">
        <f>IF($A375="","",SUMIFS($J$5:$J$800,$A$5:$A$800,"&gt;="&amp;DATE(YEAR($A375),MONTH($A375),1),$A$5:$A$800,"&lt;="&amp;$A375)+IF(AND(YEAR($A375)=YEAR(Settings!$B$3),MONTH($A375)=MONTH(Settings!$B$3)),Settings!$B$10,0))</f>
        <v/>
      </c>
      <c r="O375" s="78">
        <f>IF($A375="","",SUMIFS($K$5:$K$800,$A$5:$A$800,"&gt;="&amp;DATE(YEAR($A375),MONTH($A375),1),$A$5:$A$800,"&lt;="&amp;$A375)+IF(AND(YEAR($A375)=YEAR(Settings!$B$3),MONTH($A375)=MONTH(Settings!$B$3)),Settings!$B$11,0))</f>
        <v/>
      </c>
      <c r="P375" s="77">
        <f>IF($A375="","",SUMIFS($H$5:$H$800,$A$5:$A$800,"&gt;="&amp;DATE(YEAR($A375),MONTH($A375),1),$A$5:$A$800,"&lt;="&amp;$A375)+IF(AND(YEAR($A375)=YEAR(Settings!$B$3),MONTH($A375)=MONTH(Settings!$B$3)),Settings!$B$12,0))</f>
        <v/>
      </c>
      <c r="Q375" s="78">
        <f>IF($A375="","",SUMIFS($I$5:$I$800,$A$5:$A$800,"&gt;="&amp;DATE(YEAR($A375),MONTH($A375),1),$A$5:$A$800,"&lt;="&amp;$A375)+IF(AND(YEAR($A375)=YEAR(Settings!$B$3),MONTH($A375)=MONTH(Settings!$B$3)),Settings!$B$13,0))</f>
        <v/>
      </c>
      <c r="R375" s="77">
        <f>IF($A375="","",N375+P375)</f>
        <v/>
      </c>
      <c r="S375" s="78">
        <f>IF($A375="","",O375+Q375)</f>
        <v/>
      </c>
    </row>
    <row r="376">
      <c r="A376" s="67" t="n"/>
      <c r="B376" s="75" t="n"/>
      <c r="C376" s="76" t="n"/>
      <c r="D376" s="75" t="n"/>
      <c r="E376" s="76" t="n"/>
      <c r="F376" s="75" t="n"/>
      <c r="G376" s="76" t="n"/>
      <c r="H376" s="75" t="n"/>
      <c r="I376" s="76" t="n"/>
      <c r="J376" s="77">
        <f>IF($A376="","",B376+D376+F376)</f>
        <v/>
      </c>
      <c r="K376" s="78">
        <f>IF($A376="","",C376+E376+G376)</f>
        <v/>
      </c>
      <c r="L376" s="79">
        <f>IF($A376="","",J376+H376)</f>
        <v/>
      </c>
      <c r="M376" s="80">
        <f>IF($A376="","",K376+I376)</f>
        <v/>
      </c>
      <c r="N376" s="77">
        <f>IF($A376="","",SUMIFS($J$5:$J$800,$A$5:$A$800,"&gt;="&amp;DATE(YEAR($A376),MONTH($A376),1),$A$5:$A$800,"&lt;="&amp;$A376)+IF(AND(YEAR($A376)=YEAR(Settings!$B$3),MONTH($A376)=MONTH(Settings!$B$3)),Settings!$B$10,0))</f>
        <v/>
      </c>
      <c r="O376" s="78">
        <f>IF($A376="","",SUMIFS($K$5:$K$800,$A$5:$A$800,"&gt;="&amp;DATE(YEAR($A376),MONTH($A376),1),$A$5:$A$800,"&lt;="&amp;$A376)+IF(AND(YEAR($A376)=YEAR(Settings!$B$3),MONTH($A376)=MONTH(Settings!$B$3)),Settings!$B$11,0))</f>
        <v/>
      </c>
      <c r="P376" s="77">
        <f>IF($A376="","",SUMIFS($H$5:$H$800,$A$5:$A$800,"&gt;="&amp;DATE(YEAR($A376),MONTH($A376),1),$A$5:$A$800,"&lt;="&amp;$A376)+IF(AND(YEAR($A376)=YEAR(Settings!$B$3),MONTH($A376)=MONTH(Settings!$B$3)),Settings!$B$12,0))</f>
        <v/>
      </c>
      <c r="Q376" s="78">
        <f>IF($A376="","",SUMIFS($I$5:$I$800,$A$5:$A$800,"&gt;="&amp;DATE(YEAR($A376),MONTH($A376),1),$A$5:$A$800,"&lt;="&amp;$A376)+IF(AND(YEAR($A376)=YEAR(Settings!$B$3),MONTH($A376)=MONTH(Settings!$B$3)),Settings!$B$13,0))</f>
        <v/>
      </c>
      <c r="R376" s="77">
        <f>IF($A376="","",N376+P376)</f>
        <v/>
      </c>
      <c r="S376" s="78">
        <f>IF($A376="","",O376+Q376)</f>
        <v/>
      </c>
    </row>
    <row r="377">
      <c r="A377" s="67" t="n"/>
      <c r="B377" s="75" t="n"/>
      <c r="C377" s="76" t="n"/>
      <c r="D377" s="75" t="n"/>
      <c r="E377" s="76" t="n"/>
      <c r="F377" s="75" t="n"/>
      <c r="G377" s="76" t="n"/>
      <c r="H377" s="75" t="n"/>
      <c r="I377" s="76" t="n"/>
      <c r="J377" s="77">
        <f>IF($A377="","",B377+D377+F377)</f>
        <v/>
      </c>
      <c r="K377" s="78">
        <f>IF($A377="","",C377+E377+G377)</f>
        <v/>
      </c>
      <c r="L377" s="79">
        <f>IF($A377="","",J377+H377)</f>
        <v/>
      </c>
      <c r="M377" s="80">
        <f>IF($A377="","",K377+I377)</f>
        <v/>
      </c>
      <c r="N377" s="77">
        <f>IF($A377="","",SUMIFS($J$5:$J$800,$A$5:$A$800,"&gt;="&amp;DATE(YEAR($A377),MONTH($A377),1),$A$5:$A$800,"&lt;="&amp;$A377)+IF(AND(YEAR($A377)=YEAR(Settings!$B$3),MONTH($A377)=MONTH(Settings!$B$3)),Settings!$B$10,0))</f>
        <v/>
      </c>
      <c r="O377" s="78">
        <f>IF($A377="","",SUMIFS($K$5:$K$800,$A$5:$A$800,"&gt;="&amp;DATE(YEAR($A377),MONTH($A377),1),$A$5:$A$800,"&lt;="&amp;$A377)+IF(AND(YEAR($A377)=YEAR(Settings!$B$3),MONTH($A377)=MONTH(Settings!$B$3)),Settings!$B$11,0))</f>
        <v/>
      </c>
      <c r="P377" s="77">
        <f>IF($A377="","",SUMIFS($H$5:$H$800,$A$5:$A$800,"&gt;="&amp;DATE(YEAR($A377),MONTH($A377),1),$A$5:$A$800,"&lt;="&amp;$A377)+IF(AND(YEAR($A377)=YEAR(Settings!$B$3),MONTH($A377)=MONTH(Settings!$B$3)),Settings!$B$12,0))</f>
        <v/>
      </c>
      <c r="Q377" s="78">
        <f>IF($A377="","",SUMIFS($I$5:$I$800,$A$5:$A$800,"&gt;="&amp;DATE(YEAR($A377),MONTH($A377),1),$A$5:$A$800,"&lt;="&amp;$A377)+IF(AND(YEAR($A377)=YEAR(Settings!$B$3),MONTH($A377)=MONTH(Settings!$B$3)),Settings!$B$13,0))</f>
        <v/>
      </c>
      <c r="R377" s="77">
        <f>IF($A377="","",N377+P377)</f>
        <v/>
      </c>
      <c r="S377" s="78">
        <f>IF($A377="","",O377+Q377)</f>
        <v/>
      </c>
    </row>
    <row r="378">
      <c r="A378" s="67" t="n"/>
      <c r="B378" s="75" t="n"/>
      <c r="C378" s="76" t="n"/>
      <c r="D378" s="75" t="n"/>
      <c r="E378" s="76" t="n"/>
      <c r="F378" s="75" t="n"/>
      <c r="G378" s="76" t="n"/>
      <c r="H378" s="75" t="n"/>
      <c r="I378" s="76" t="n"/>
      <c r="J378" s="77">
        <f>IF($A378="","",B378+D378+F378)</f>
        <v/>
      </c>
      <c r="K378" s="78">
        <f>IF($A378="","",C378+E378+G378)</f>
        <v/>
      </c>
      <c r="L378" s="79">
        <f>IF($A378="","",J378+H378)</f>
        <v/>
      </c>
      <c r="M378" s="80">
        <f>IF($A378="","",K378+I378)</f>
        <v/>
      </c>
      <c r="N378" s="77">
        <f>IF($A378="","",SUMIFS($J$5:$J$800,$A$5:$A$800,"&gt;="&amp;DATE(YEAR($A378),MONTH($A378),1),$A$5:$A$800,"&lt;="&amp;$A378)+IF(AND(YEAR($A378)=YEAR(Settings!$B$3),MONTH($A378)=MONTH(Settings!$B$3)),Settings!$B$10,0))</f>
        <v/>
      </c>
      <c r="O378" s="78">
        <f>IF($A378="","",SUMIFS($K$5:$K$800,$A$5:$A$800,"&gt;="&amp;DATE(YEAR($A378),MONTH($A378),1),$A$5:$A$800,"&lt;="&amp;$A378)+IF(AND(YEAR($A378)=YEAR(Settings!$B$3),MONTH($A378)=MONTH(Settings!$B$3)),Settings!$B$11,0))</f>
        <v/>
      </c>
      <c r="P378" s="77">
        <f>IF($A378="","",SUMIFS($H$5:$H$800,$A$5:$A$800,"&gt;="&amp;DATE(YEAR($A378),MONTH($A378),1),$A$5:$A$800,"&lt;="&amp;$A378)+IF(AND(YEAR($A378)=YEAR(Settings!$B$3),MONTH($A378)=MONTH(Settings!$B$3)),Settings!$B$12,0))</f>
        <v/>
      </c>
      <c r="Q378" s="78">
        <f>IF($A378="","",SUMIFS($I$5:$I$800,$A$5:$A$800,"&gt;="&amp;DATE(YEAR($A378),MONTH($A378),1),$A$5:$A$800,"&lt;="&amp;$A378)+IF(AND(YEAR($A378)=YEAR(Settings!$B$3),MONTH($A378)=MONTH(Settings!$B$3)),Settings!$B$13,0))</f>
        <v/>
      </c>
      <c r="R378" s="77">
        <f>IF($A378="","",N378+P378)</f>
        <v/>
      </c>
      <c r="S378" s="78">
        <f>IF($A378="","",O378+Q378)</f>
        <v/>
      </c>
    </row>
    <row r="379">
      <c r="A379" s="67" t="n"/>
      <c r="B379" s="75" t="n"/>
      <c r="C379" s="76" t="n"/>
      <c r="D379" s="75" t="n"/>
      <c r="E379" s="76" t="n"/>
      <c r="F379" s="75" t="n"/>
      <c r="G379" s="76" t="n"/>
      <c r="H379" s="75" t="n"/>
      <c r="I379" s="76" t="n"/>
      <c r="J379" s="77">
        <f>IF($A379="","",B379+D379+F379)</f>
        <v/>
      </c>
      <c r="K379" s="78">
        <f>IF($A379="","",C379+E379+G379)</f>
        <v/>
      </c>
      <c r="L379" s="79">
        <f>IF($A379="","",J379+H379)</f>
        <v/>
      </c>
      <c r="M379" s="80">
        <f>IF($A379="","",K379+I379)</f>
        <v/>
      </c>
      <c r="N379" s="77">
        <f>IF($A379="","",SUMIFS($J$5:$J$800,$A$5:$A$800,"&gt;="&amp;DATE(YEAR($A379),MONTH($A379),1),$A$5:$A$800,"&lt;="&amp;$A379)+IF(AND(YEAR($A379)=YEAR(Settings!$B$3),MONTH($A379)=MONTH(Settings!$B$3)),Settings!$B$10,0))</f>
        <v/>
      </c>
      <c r="O379" s="78">
        <f>IF($A379="","",SUMIFS($K$5:$K$800,$A$5:$A$800,"&gt;="&amp;DATE(YEAR($A379),MONTH($A379),1),$A$5:$A$800,"&lt;="&amp;$A379)+IF(AND(YEAR($A379)=YEAR(Settings!$B$3),MONTH($A379)=MONTH(Settings!$B$3)),Settings!$B$11,0))</f>
        <v/>
      </c>
      <c r="P379" s="77">
        <f>IF($A379="","",SUMIFS($H$5:$H$800,$A$5:$A$800,"&gt;="&amp;DATE(YEAR($A379),MONTH($A379),1),$A$5:$A$800,"&lt;="&amp;$A379)+IF(AND(YEAR($A379)=YEAR(Settings!$B$3),MONTH($A379)=MONTH(Settings!$B$3)),Settings!$B$12,0))</f>
        <v/>
      </c>
      <c r="Q379" s="78">
        <f>IF($A379="","",SUMIFS($I$5:$I$800,$A$5:$A$800,"&gt;="&amp;DATE(YEAR($A379),MONTH($A379),1),$A$5:$A$800,"&lt;="&amp;$A379)+IF(AND(YEAR($A379)=YEAR(Settings!$B$3),MONTH($A379)=MONTH(Settings!$B$3)),Settings!$B$13,0))</f>
        <v/>
      </c>
      <c r="R379" s="77">
        <f>IF($A379="","",N379+P379)</f>
        <v/>
      </c>
      <c r="S379" s="78">
        <f>IF($A379="","",O379+Q379)</f>
        <v/>
      </c>
    </row>
    <row r="380">
      <c r="A380" s="67" t="n"/>
      <c r="B380" s="75" t="n"/>
      <c r="C380" s="76" t="n"/>
      <c r="D380" s="75" t="n"/>
      <c r="E380" s="76" t="n"/>
      <c r="F380" s="75" t="n"/>
      <c r="G380" s="76" t="n"/>
      <c r="H380" s="75" t="n"/>
      <c r="I380" s="76" t="n"/>
      <c r="J380" s="77">
        <f>IF($A380="","",B380+D380+F380)</f>
        <v/>
      </c>
      <c r="K380" s="78">
        <f>IF($A380="","",C380+E380+G380)</f>
        <v/>
      </c>
      <c r="L380" s="79">
        <f>IF($A380="","",J380+H380)</f>
        <v/>
      </c>
      <c r="M380" s="80">
        <f>IF($A380="","",K380+I380)</f>
        <v/>
      </c>
      <c r="N380" s="77">
        <f>IF($A380="","",SUMIFS($J$5:$J$800,$A$5:$A$800,"&gt;="&amp;DATE(YEAR($A380),MONTH($A380),1),$A$5:$A$800,"&lt;="&amp;$A380)+IF(AND(YEAR($A380)=YEAR(Settings!$B$3),MONTH($A380)=MONTH(Settings!$B$3)),Settings!$B$10,0))</f>
        <v/>
      </c>
      <c r="O380" s="78">
        <f>IF($A380="","",SUMIFS($K$5:$K$800,$A$5:$A$800,"&gt;="&amp;DATE(YEAR($A380),MONTH($A380),1),$A$5:$A$800,"&lt;="&amp;$A380)+IF(AND(YEAR($A380)=YEAR(Settings!$B$3),MONTH($A380)=MONTH(Settings!$B$3)),Settings!$B$11,0))</f>
        <v/>
      </c>
      <c r="P380" s="77">
        <f>IF($A380="","",SUMIFS($H$5:$H$800,$A$5:$A$800,"&gt;="&amp;DATE(YEAR($A380),MONTH($A380),1),$A$5:$A$800,"&lt;="&amp;$A380)+IF(AND(YEAR($A380)=YEAR(Settings!$B$3),MONTH($A380)=MONTH(Settings!$B$3)),Settings!$B$12,0))</f>
        <v/>
      </c>
      <c r="Q380" s="78">
        <f>IF($A380="","",SUMIFS($I$5:$I$800,$A$5:$A$800,"&gt;="&amp;DATE(YEAR($A380),MONTH($A380),1),$A$5:$A$800,"&lt;="&amp;$A380)+IF(AND(YEAR($A380)=YEAR(Settings!$B$3),MONTH($A380)=MONTH(Settings!$B$3)),Settings!$B$13,0))</f>
        <v/>
      </c>
      <c r="R380" s="77">
        <f>IF($A380="","",N380+P380)</f>
        <v/>
      </c>
      <c r="S380" s="78">
        <f>IF($A380="","",O380+Q380)</f>
        <v/>
      </c>
    </row>
    <row r="381">
      <c r="A381" s="67" t="n"/>
      <c r="B381" s="75" t="n"/>
      <c r="C381" s="76" t="n"/>
      <c r="D381" s="75" t="n"/>
      <c r="E381" s="76" t="n"/>
      <c r="F381" s="75" t="n"/>
      <c r="G381" s="76" t="n"/>
      <c r="H381" s="75" t="n"/>
      <c r="I381" s="76" t="n"/>
      <c r="J381" s="77">
        <f>IF($A381="","",B381+D381+F381)</f>
        <v/>
      </c>
      <c r="K381" s="78">
        <f>IF($A381="","",C381+E381+G381)</f>
        <v/>
      </c>
      <c r="L381" s="79">
        <f>IF($A381="","",J381+H381)</f>
        <v/>
      </c>
      <c r="M381" s="80">
        <f>IF($A381="","",K381+I381)</f>
        <v/>
      </c>
      <c r="N381" s="77">
        <f>IF($A381="","",SUMIFS($J$5:$J$800,$A$5:$A$800,"&gt;="&amp;DATE(YEAR($A381),MONTH($A381),1),$A$5:$A$800,"&lt;="&amp;$A381)+IF(AND(YEAR($A381)=YEAR(Settings!$B$3),MONTH($A381)=MONTH(Settings!$B$3)),Settings!$B$10,0))</f>
        <v/>
      </c>
      <c r="O381" s="78">
        <f>IF($A381="","",SUMIFS($K$5:$K$800,$A$5:$A$800,"&gt;="&amp;DATE(YEAR($A381),MONTH($A381),1),$A$5:$A$800,"&lt;="&amp;$A381)+IF(AND(YEAR($A381)=YEAR(Settings!$B$3),MONTH($A381)=MONTH(Settings!$B$3)),Settings!$B$11,0))</f>
        <v/>
      </c>
      <c r="P381" s="77">
        <f>IF($A381="","",SUMIFS($H$5:$H$800,$A$5:$A$800,"&gt;="&amp;DATE(YEAR($A381),MONTH($A381),1),$A$5:$A$800,"&lt;="&amp;$A381)+IF(AND(YEAR($A381)=YEAR(Settings!$B$3),MONTH($A381)=MONTH(Settings!$B$3)),Settings!$B$12,0))</f>
        <v/>
      </c>
      <c r="Q381" s="78">
        <f>IF($A381="","",SUMIFS($I$5:$I$800,$A$5:$A$800,"&gt;="&amp;DATE(YEAR($A381),MONTH($A381),1),$A$5:$A$800,"&lt;="&amp;$A381)+IF(AND(YEAR($A381)=YEAR(Settings!$B$3),MONTH($A381)=MONTH(Settings!$B$3)),Settings!$B$13,0))</f>
        <v/>
      </c>
      <c r="R381" s="77">
        <f>IF($A381="","",N381+P381)</f>
        <v/>
      </c>
      <c r="S381" s="78">
        <f>IF($A381="","",O381+Q381)</f>
        <v/>
      </c>
    </row>
    <row r="382">
      <c r="A382" s="67" t="n"/>
      <c r="B382" s="75" t="n"/>
      <c r="C382" s="76" t="n"/>
      <c r="D382" s="75" t="n"/>
      <c r="E382" s="76" t="n"/>
      <c r="F382" s="75" t="n"/>
      <c r="G382" s="76" t="n"/>
      <c r="H382" s="75" t="n"/>
      <c r="I382" s="76" t="n"/>
      <c r="J382" s="77">
        <f>IF($A382="","",B382+D382+F382)</f>
        <v/>
      </c>
      <c r="K382" s="78">
        <f>IF($A382="","",C382+E382+G382)</f>
        <v/>
      </c>
      <c r="L382" s="79">
        <f>IF($A382="","",J382+H382)</f>
        <v/>
      </c>
      <c r="M382" s="80">
        <f>IF($A382="","",K382+I382)</f>
        <v/>
      </c>
      <c r="N382" s="77">
        <f>IF($A382="","",SUMIFS($J$5:$J$800,$A$5:$A$800,"&gt;="&amp;DATE(YEAR($A382),MONTH($A382),1),$A$5:$A$800,"&lt;="&amp;$A382)+IF(AND(YEAR($A382)=YEAR(Settings!$B$3),MONTH($A382)=MONTH(Settings!$B$3)),Settings!$B$10,0))</f>
        <v/>
      </c>
      <c r="O382" s="78">
        <f>IF($A382="","",SUMIFS($K$5:$K$800,$A$5:$A$800,"&gt;="&amp;DATE(YEAR($A382),MONTH($A382),1),$A$5:$A$800,"&lt;="&amp;$A382)+IF(AND(YEAR($A382)=YEAR(Settings!$B$3),MONTH($A382)=MONTH(Settings!$B$3)),Settings!$B$11,0))</f>
        <v/>
      </c>
      <c r="P382" s="77">
        <f>IF($A382="","",SUMIFS($H$5:$H$800,$A$5:$A$800,"&gt;="&amp;DATE(YEAR($A382),MONTH($A382),1),$A$5:$A$800,"&lt;="&amp;$A382)+IF(AND(YEAR($A382)=YEAR(Settings!$B$3),MONTH($A382)=MONTH(Settings!$B$3)),Settings!$B$12,0))</f>
        <v/>
      </c>
      <c r="Q382" s="78">
        <f>IF($A382="","",SUMIFS($I$5:$I$800,$A$5:$A$800,"&gt;="&amp;DATE(YEAR($A382),MONTH($A382),1),$A$5:$A$800,"&lt;="&amp;$A382)+IF(AND(YEAR($A382)=YEAR(Settings!$B$3),MONTH($A382)=MONTH(Settings!$B$3)),Settings!$B$13,0))</f>
        <v/>
      </c>
      <c r="R382" s="77">
        <f>IF($A382="","",N382+P382)</f>
        <v/>
      </c>
      <c r="S382" s="78">
        <f>IF($A382="","",O382+Q382)</f>
        <v/>
      </c>
    </row>
    <row r="383">
      <c r="A383" s="67" t="n"/>
      <c r="B383" s="75" t="n"/>
      <c r="C383" s="76" t="n"/>
      <c r="D383" s="75" t="n"/>
      <c r="E383" s="76" t="n"/>
      <c r="F383" s="75" t="n"/>
      <c r="G383" s="76" t="n"/>
      <c r="H383" s="75" t="n"/>
      <c r="I383" s="76" t="n"/>
      <c r="J383" s="77">
        <f>IF($A383="","",B383+D383+F383)</f>
        <v/>
      </c>
      <c r="K383" s="78">
        <f>IF($A383="","",C383+E383+G383)</f>
        <v/>
      </c>
      <c r="L383" s="79">
        <f>IF($A383="","",J383+H383)</f>
        <v/>
      </c>
      <c r="M383" s="80">
        <f>IF($A383="","",K383+I383)</f>
        <v/>
      </c>
      <c r="N383" s="77">
        <f>IF($A383="","",SUMIFS($J$5:$J$800,$A$5:$A$800,"&gt;="&amp;DATE(YEAR($A383),MONTH($A383),1),$A$5:$A$800,"&lt;="&amp;$A383)+IF(AND(YEAR($A383)=YEAR(Settings!$B$3),MONTH($A383)=MONTH(Settings!$B$3)),Settings!$B$10,0))</f>
        <v/>
      </c>
      <c r="O383" s="78">
        <f>IF($A383="","",SUMIFS($K$5:$K$800,$A$5:$A$800,"&gt;="&amp;DATE(YEAR($A383),MONTH($A383),1),$A$5:$A$800,"&lt;="&amp;$A383)+IF(AND(YEAR($A383)=YEAR(Settings!$B$3),MONTH($A383)=MONTH(Settings!$B$3)),Settings!$B$11,0))</f>
        <v/>
      </c>
      <c r="P383" s="77">
        <f>IF($A383="","",SUMIFS($H$5:$H$800,$A$5:$A$800,"&gt;="&amp;DATE(YEAR($A383),MONTH($A383),1),$A$5:$A$800,"&lt;="&amp;$A383)+IF(AND(YEAR($A383)=YEAR(Settings!$B$3),MONTH($A383)=MONTH(Settings!$B$3)),Settings!$B$12,0))</f>
        <v/>
      </c>
      <c r="Q383" s="78">
        <f>IF($A383="","",SUMIFS($I$5:$I$800,$A$5:$A$800,"&gt;="&amp;DATE(YEAR($A383),MONTH($A383),1),$A$5:$A$800,"&lt;="&amp;$A383)+IF(AND(YEAR($A383)=YEAR(Settings!$B$3),MONTH($A383)=MONTH(Settings!$B$3)),Settings!$B$13,0))</f>
        <v/>
      </c>
      <c r="R383" s="77">
        <f>IF($A383="","",N383+P383)</f>
        <v/>
      </c>
      <c r="S383" s="78">
        <f>IF($A383="","",O383+Q383)</f>
        <v/>
      </c>
    </row>
    <row r="384">
      <c r="A384" s="67" t="n"/>
      <c r="B384" s="75" t="n"/>
      <c r="C384" s="76" t="n"/>
      <c r="D384" s="75" t="n"/>
      <c r="E384" s="76" t="n"/>
      <c r="F384" s="75" t="n"/>
      <c r="G384" s="76" t="n"/>
      <c r="H384" s="75" t="n"/>
      <c r="I384" s="76" t="n"/>
      <c r="J384" s="77">
        <f>IF($A384="","",B384+D384+F384)</f>
        <v/>
      </c>
      <c r="K384" s="78">
        <f>IF($A384="","",C384+E384+G384)</f>
        <v/>
      </c>
      <c r="L384" s="79">
        <f>IF($A384="","",J384+H384)</f>
        <v/>
      </c>
      <c r="M384" s="80">
        <f>IF($A384="","",K384+I384)</f>
        <v/>
      </c>
      <c r="N384" s="77">
        <f>IF($A384="","",SUMIFS($J$5:$J$800,$A$5:$A$800,"&gt;="&amp;DATE(YEAR($A384),MONTH($A384),1),$A$5:$A$800,"&lt;="&amp;$A384)+IF(AND(YEAR($A384)=YEAR(Settings!$B$3),MONTH($A384)=MONTH(Settings!$B$3)),Settings!$B$10,0))</f>
        <v/>
      </c>
      <c r="O384" s="78">
        <f>IF($A384="","",SUMIFS($K$5:$K$800,$A$5:$A$800,"&gt;="&amp;DATE(YEAR($A384),MONTH($A384),1),$A$5:$A$800,"&lt;="&amp;$A384)+IF(AND(YEAR($A384)=YEAR(Settings!$B$3),MONTH($A384)=MONTH(Settings!$B$3)),Settings!$B$11,0))</f>
        <v/>
      </c>
      <c r="P384" s="77">
        <f>IF($A384="","",SUMIFS($H$5:$H$800,$A$5:$A$800,"&gt;="&amp;DATE(YEAR($A384),MONTH($A384),1),$A$5:$A$800,"&lt;="&amp;$A384)+IF(AND(YEAR($A384)=YEAR(Settings!$B$3),MONTH($A384)=MONTH(Settings!$B$3)),Settings!$B$12,0))</f>
        <v/>
      </c>
      <c r="Q384" s="78">
        <f>IF($A384="","",SUMIFS($I$5:$I$800,$A$5:$A$800,"&gt;="&amp;DATE(YEAR($A384),MONTH($A384),1),$A$5:$A$800,"&lt;="&amp;$A384)+IF(AND(YEAR($A384)=YEAR(Settings!$B$3),MONTH($A384)=MONTH(Settings!$B$3)),Settings!$B$13,0))</f>
        <v/>
      </c>
      <c r="R384" s="77">
        <f>IF($A384="","",N384+P384)</f>
        <v/>
      </c>
      <c r="S384" s="78">
        <f>IF($A384="","",O384+Q384)</f>
        <v/>
      </c>
    </row>
    <row r="385">
      <c r="A385" s="67" t="n"/>
      <c r="B385" s="75" t="n"/>
      <c r="C385" s="76" t="n"/>
      <c r="D385" s="75" t="n"/>
      <c r="E385" s="76" t="n"/>
      <c r="F385" s="75" t="n"/>
      <c r="G385" s="76" t="n"/>
      <c r="H385" s="75" t="n"/>
      <c r="I385" s="76" t="n"/>
      <c r="J385" s="77">
        <f>IF($A385="","",B385+D385+F385)</f>
        <v/>
      </c>
      <c r="K385" s="78">
        <f>IF($A385="","",C385+E385+G385)</f>
        <v/>
      </c>
      <c r="L385" s="79">
        <f>IF($A385="","",J385+H385)</f>
        <v/>
      </c>
      <c r="M385" s="80">
        <f>IF($A385="","",K385+I385)</f>
        <v/>
      </c>
      <c r="N385" s="77">
        <f>IF($A385="","",SUMIFS($J$5:$J$800,$A$5:$A$800,"&gt;="&amp;DATE(YEAR($A385),MONTH($A385),1),$A$5:$A$800,"&lt;="&amp;$A385)+IF(AND(YEAR($A385)=YEAR(Settings!$B$3),MONTH($A385)=MONTH(Settings!$B$3)),Settings!$B$10,0))</f>
        <v/>
      </c>
      <c r="O385" s="78">
        <f>IF($A385="","",SUMIFS($K$5:$K$800,$A$5:$A$800,"&gt;="&amp;DATE(YEAR($A385),MONTH($A385),1),$A$5:$A$800,"&lt;="&amp;$A385)+IF(AND(YEAR($A385)=YEAR(Settings!$B$3),MONTH($A385)=MONTH(Settings!$B$3)),Settings!$B$11,0))</f>
        <v/>
      </c>
      <c r="P385" s="77">
        <f>IF($A385="","",SUMIFS($H$5:$H$800,$A$5:$A$800,"&gt;="&amp;DATE(YEAR($A385),MONTH($A385),1),$A$5:$A$800,"&lt;="&amp;$A385)+IF(AND(YEAR($A385)=YEAR(Settings!$B$3),MONTH($A385)=MONTH(Settings!$B$3)),Settings!$B$12,0))</f>
        <v/>
      </c>
      <c r="Q385" s="78">
        <f>IF($A385="","",SUMIFS($I$5:$I$800,$A$5:$A$800,"&gt;="&amp;DATE(YEAR($A385),MONTH($A385),1),$A$5:$A$800,"&lt;="&amp;$A385)+IF(AND(YEAR($A385)=YEAR(Settings!$B$3),MONTH($A385)=MONTH(Settings!$B$3)),Settings!$B$13,0))</f>
        <v/>
      </c>
      <c r="R385" s="77">
        <f>IF($A385="","",N385+P385)</f>
        <v/>
      </c>
      <c r="S385" s="78">
        <f>IF($A385="","",O385+Q385)</f>
        <v/>
      </c>
    </row>
    <row r="386">
      <c r="A386" s="67" t="n"/>
      <c r="B386" s="75" t="n"/>
      <c r="C386" s="76" t="n"/>
      <c r="D386" s="75" t="n"/>
      <c r="E386" s="76" t="n"/>
      <c r="F386" s="75" t="n"/>
      <c r="G386" s="76" t="n"/>
      <c r="H386" s="75" t="n"/>
      <c r="I386" s="76" t="n"/>
      <c r="J386" s="77">
        <f>IF($A386="","",B386+D386+F386)</f>
        <v/>
      </c>
      <c r="K386" s="78">
        <f>IF($A386="","",C386+E386+G386)</f>
        <v/>
      </c>
      <c r="L386" s="79">
        <f>IF($A386="","",J386+H386)</f>
        <v/>
      </c>
      <c r="M386" s="80">
        <f>IF($A386="","",K386+I386)</f>
        <v/>
      </c>
      <c r="N386" s="77">
        <f>IF($A386="","",SUMIFS($J$5:$J$800,$A$5:$A$800,"&gt;="&amp;DATE(YEAR($A386),MONTH($A386),1),$A$5:$A$800,"&lt;="&amp;$A386)+IF(AND(YEAR($A386)=YEAR(Settings!$B$3),MONTH($A386)=MONTH(Settings!$B$3)),Settings!$B$10,0))</f>
        <v/>
      </c>
      <c r="O386" s="78">
        <f>IF($A386="","",SUMIFS($K$5:$K$800,$A$5:$A$800,"&gt;="&amp;DATE(YEAR($A386),MONTH($A386),1),$A$5:$A$800,"&lt;="&amp;$A386)+IF(AND(YEAR($A386)=YEAR(Settings!$B$3),MONTH($A386)=MONTH(Settings!$B$3)),Settings!$B$11,0))</f>
        <v/>
      </c>
      <c r="P386" s="77">
        <f>IF($A386="","",SUMIFS($H$5:$H$800,$A$5:$A$800,"&gt;="&amp;DATE(YEAR($A386),MONTH($A386),1),$A$5:$A$800,"&lt;="&amp;$A386)+IF(AND(YEAR($A386)=YEAR(Settings!$B$3),MONTH($A386)=MONTH(Settings!$B$3)),Settings!$B$12,0))</f>
        <v/>
      </c>
      <c r="Q386" s="78">
        <f>IF($A386="","",SUMIFS($I$5:$I$800,$A$5:$A$800,"&gt;="&amp;DATE(YEAR($A386),MONTH($A386),1),$A$5:$A$800,"&lt;="&amp;$A386)+IF(AND(YEAR($A386)=YEAR(Settings!$B$3),MONTH($A386)=MONTH(Settings!$B$3)),Settings!$B$13,0))</f>
        <v/>
      </c>
      <c r="R386" s="77">
        <f>IF($A386="","",N386+P386)</f>
        <v/>
      </c>
      <c r="S386" s="78">
        <f>IF($A386="","",O386+Q386)</f>
        <v/>
      </c>
    </row>
    <row r="387">
      <c r="A387" s="67" t="n"/>
      <c r="B387" s="75" t="n"/>
      <c r="C387" s="76" t="n"/>
      <c r="D387" s="75" t="n"/>
      <c r="E387" s="76" t="n"/>
      <c r="F387" s="75" t="n"/>
      <c r="G387" s="76" t="n"/>
      <c r="H387" s="75" t="n"/>
      <c r="I387" s="76" t="n"/>
      <c r="J387" s="77">
        <f>IF($A387="","",B387+D387+F387)</f>
        <v/>
      </c>
      <c r="K387" s="78">
        <f>IF($A387="","",C387+E387+G387)</f>
        <v/>
      </c>
      <c r="L387" s="79">
        <f>IF($A387="","",J387+H387)</f>
        <v/>
      </c>
      <c r="M387" s="80">
        <f>IF($A387="","",K387+I387)</f>
        <v/>
      </c>
      <c r="N387" s="77">
        <f>IF($A387="","",SUMIFS($J$5:$J$800,$A$5:$A$800,"&gt;="&amp;DATE(YEAR($A387),MONTH($A387),1),$A$5:$A$800,"&lt;="&amp;$A387)+IF(AND(YEAR($A387)=YEAR(Settings!$B$3),MONTH($A387)=MONTH(Settings!$B$3)),Settings!$B$10,0))</f>
        <v/>
      </c>
      <c r="O387" s="78">
        <f>IF($A387="","",SUMIFS($K$5:$K$800,$A$5:$A$800,"&gt;="&amp;DATE(YEAR($A387),MONTH($A387),1),$A$5:$A$800,"&lt;="&amp;$A387)+IF(AND(YEAR($A387)=YEAR(Settings!$B$3),MONTH($A387)=MONTH(Settings!$B$3)),Settings!$B$11,0))</f>
        <v/>
      </c>
      <c r="P387" s="77">
        <f>IF($A387="","",SUMIFS($H$5:$H$800,$A$5:$A$800,"&gt;="&amp;DATE(YEAR($A387),MONTH($A387),1),$A$5:$A$800,"&lt;="&amp;$A387)+IF(AND(YEAR($A387)=YEAR(Settings!$B$3),MONTH($A387)=MONTH(Settings!$B$3)),Settings!$B$12,0))</f>
        <v/>
      </c>
      <c r="Q387" s="78">
        <f>IF($A387="","",SUMIFS($I$5:$I$800,$A$5:$A$800,"&gt;="&amp;DATE(YEAR($A387),MONTH($A387),1),$A$5:$A$800,"&lt;="&amp;$A387)+IF(AND(YEAR($A387)=YEAR(Settings!$B$3),MONTH($A387)=MONTH(Settings!$B$3)),Settings!$B$13,0))</f>
        <v/>
      </c>
      <c r="R387" s="77">
        <f>IF($A387="","",N387+P387)</f>
        <v/>
      </c>
      <c r="S387" s="78">
        <f>IF($A387="","",O387+Q387)</f>
        <v/>
      </c>
    </row>
    <row r="388">
      <c r="A388" s="67" t="n"/>
      <c r="B388" s="75" t="n"/>
      <c r="C388" s="76" t="n"/>
      <c r="D388" s="75" t="n"/>
      <c r="E388" s="76" t="n"/>
      <c r="F388" s="75" t="n"/>
      <c r="G388" s="76" t="n"/>
      <c r="H388" s="75" t="n"/>
      <c r="I388" s="76" t="n"/>
      <c r="J388" s="77">
        <f>IF($A388="","",B388+D388+F388)</f>
        <v/>
      </c>
      <c r="K388" s="78">
        <f>IF($A388="","",C388+E388+G388)</f>
        <v/>
      </c>
      <c r="L388" s="79">
        <f>IF($A388="","",J388+H388)</f>
        <v/>
      </c>
      <c r="M388" s="80">
        <f>IF($A388="","",K388+I388)</f>
        <v/>
      </c>
      <c r="N388" s="77">
        <f>IF($A388="","",SUMIFS($J$5:$J$800,$A$5:$A$800,"&gt;="&amp;DATE(YEAR($A388),MONTH($A388),1),$A$5:$A$800,"&lt;="&amp;$A388)+IF(AND(YEAR($A388)=YEAR(Settings!$B$3),MONTH($A388)=MONTH(Settings!$B$3)),Settings!$B$10,0))</f>
        <v/>
      </c>
      <c r="O388" s="78">
        <f>IF($A388="","",SUMIFS($K$5:$K$800,$A$5:$A$800,"&gt;="&amp;DATE(YEAR($A388),MONTH($A388),1),$A$5:$A$800,"&lt;="&amp;$A388)+IF(AND(YEAR($A388)=YEAR(Settings!$B$3),MONTH($A388)=MONTH(Settings!$B$3)),Settings!$B$11,0))</f>
        <v/>
      </c>
      <c r="P388" s="77">
        <f>IF($A388="","",SUMIFS($H$5:$H$800,$A$5:$A$800,"&gt;="&amp;DATE(YEAR($A388),MONTH($A388),1),$A$5:$A$800,"&lt;="&amp;$A388)+IF(AND(YEAR($A388)=YEAR(Settings!$B$3),MONTH($A388)=MONTH(Settings!$B$3)),Settings!$B$12,0))</f>
        <v/>
      </c>
      <c r="Q388" s="78">
        <f>IF($A388="","",SUMIFS($I$5:$I$800,$A$5:$A$800,"&gt;="&amp;DATE(YEAR($A388),MONTH($A388),1),$A$5:$A$800,"&lt;="&amp;$A388)+IF(AND(YEAR($A388)=YEAR(Settings!$B$3),MONTH($A388)=MONTH(Settings!$B$3)),Settings!$B$13,0))</f>
        <v/>
      </c>
      <c r="R388" s="77">
        <f>IF($A388="","",N388+P388)</f>
        <v/>
      </c>
      <c r="S388" s="78">
        <f>IF($A388="","",O388+Q388)</f>
        <v/>
      </c>
    </row>
    <row r="389">
      <c r="A389" s="67" t="n"/>
      <c r="B389" s="75" t="n"/>
      <c r="C389" s="76" t="n"/>
      <c r="D389" s="75" t="n"/>
      <c r="E389" s="76" t="n"/>
      <c r="F389" s="75" t="n"/>
      <c r="G389" s="76" t="n"/>
      <c r="H389" s="75" t="n"/>
      <c r="I389" s="76" t="n"/>
      <c r="J389" s="77">
        <f>IF($A389="","",B389+D389+F389)</f>
        <v/>
      </c>
      <c r="K389" s="78">
        <f>IF($A389="","",C389+E389+G389)</f>
        <v/>
      </c>
      <c r="L389" s="79">
        <f>IF($A389="","",J389+H389)</f>
        <v/>
      </c>
      <c r="M389" s="80">
        <f>IF($A389="","",K389+I389)</f>
        <v/>
      </c>
      <c r="N389" s="77">
        <f>IF($A389="","",SUMIFS($J$5:$J$800,$A$5:$A$800,"&gt;="&amp;DATE(YEAR($A389),MONTH($A389),1),$A$5:$A$800,"&lt;="&amp;$A389)+IF(AND(YEAR($A389)=YEAR(Settings!$B$3),MONTH($A389)=MONTH(Settings!$B$3)),Settings!$B$10,0))</f>
        <v/>
      </c>
      <c r="O389" s="78">
        <f>IF($A389="","",SUMIFS($K$5:$K$800,$A$5:$A$800,"&gt;="&amp;DATE(YEAR($A389),MONTH($A389),1),$A$5:$A$800,"&lt;="&amp;$A389)+IF(AND(YEAR($A389)=YEAR(Settings!$B$3),MONTH($A389)=MONTH(Settings!$B$3)),Settings!$B$11,0))</f>
        <v/>
      </c>
      <c r="P389" s="77">
        <f>IF($A389="","",SUMIFS($H$5:$H$800,$A$5:$A$800,"&gt;="&amp;DATE(YEAR($A389),MONTH($A389),1),$A$5:$A$800,"&lt;="&amp;$A389)+IF(AND(YEAR($A389)=YEAR(Settings!$B$3),MONTH($A389)=MONTH(Settings!$B$3)),Settings!$B$12,0))</f>
        <v/>
      </c>
      <c r="Q389" s="78">
        <f>IF($A389="","",SUMIFS($I$5:$I$800,$A$5:$A$800,"&gt;="&amp;DATE(YEAR($A389),MONTH($A389),1),$A$5:$A$800,"&lt;="&amp;$A389)+IF(AND(YEAR($A389)=YEAR(Settings!$B$3),MONTH($A389)=MONTH(Settings!$B$3)),Settings!$B$13,0))</f>
        <v/>
      </c>
      <c r="R389" s="77">
        <f>IF($A389="","",N389+P389)</f>
        <v/>
      </c>
      <c r="S389" s="78">
        <f>IF($A389="","",O389+Q389)</f>
        <v/>
      </c>
    </row>
    <row r="390">
      <c r="A390" s="67" t="n"/>
      <c r="B390" s="75" t="n"/>
      <c r="C390" s="76" t="n"/>
      <c r="D390" s="75" t="n"/>
      <c r="E390" s="76" t="n"/>
      <c r="F390" s="75" t="n"/>
      <c r="G390" s="76" t="n"/>
      <c r="H390" s="75" t="n"/>
      <c r="I390" s="76" t="n"/>
      <c r="J390" s="77">
        <f>IF($A390="","",B390+D390+F390)</f>
        <v/>
      </c>
      <c r="K390" s="78">
        <f>IF($A390="","",C390+E390+G390)</f>
        <v/>
      </c>
      <c r="L390" s="79">
        <f>IF($A390="","",J390+H390)</f>
        <v/>
      </c>
      <c r="M390" s="80">
        <f>IF($A390="","",K390+I390)</f>
        <v/>
      </c>
      <c r="N390" s="77">
        <f>IF($A390="","",SUMIFS($J$5:$J$800,$A$5:$A$800,"&gt;="&amp;DATE(YEAR($A390),MONTH($A390),1),$A$5:$A$800,"&lt;="&amp;$A390)+IF(AND(YEAR($A390)=YEAR(Settings!$B$3),MONTH($A390)=MONTH(Settings!$B$3)),Settings!$B$10,0))</f>
        <v/>
      </c>
      <c r="O390" s="78">
        <f>IF($A390="","",SUMIFS($K$5:$K$800,$A$5:$A$800,"&gt;="&amp;DATE(YEAR($A390),MONTH($A390),1),$A$5:$A$800,"&lt;="&amp;$A390)+IF(AND(YEAR($A390)=YEAR(Settings!$B$3),MONTH($A390)=MONTH(Settings!$B$3)),Settings!$B$11,0))</f>
        <v/>
      </c>
      <c r="P390" s="77">
        <f>IF($A390="","",SUMIFS($H$5:$H$800,$A$5:$A$800,"&gt;="&amp;DATE(YEAR($A390),MONTH($A390),1),$A$5:$A$800,"&lt;="&amp;$A390)+IF(AND(YEAR($A390)=YEAR(Settings!$B$3),MONTH($A390)=MONTH(Settings!$B$3)),Settings!$B$12,0))</f>
        <v/>
      </c>
      <c r="Q390" s="78">
        <f>IF($A390="","",SUMIFS($I$5:$I$800,$A$5:$A$800,"&gt;="&amp;DATE(YEAR($A390),MONTH($A390),1),$A$5:$A$800,"&lt;="&amp;$A390)+IF(AND(YEAR($A390)=YEAR(Settings!$B$3),MONTH($A390)=MONTH(Settings!$B$3)),Settings!$B$13,0))</f>
        <v/>
      </c>
      <c r="R390" s="77">
        <f>IF($A390="","",N390+P390)</f>
        <v/>
      </c>
      <c r="S390" s="78">
        <f>IF($A390="","",O390+Q390)</f>
        <v/>
      </c>
    </row>
    <row r="391">
      <c r="A391" s="67" t="n"/>
      <c r="B391" s="75" t="n"/>
      <c r="C391" s="76" t="n"/>
      <c r="D391" s="75" t="n"/>
      <c r="E391" s="76" t="n"/>
      <c r="F391" s="75" t="n"/>
      <c r="G391" s="76" t="n"/>
      <c r="H391" s="75" t="n"/>
      <c r="I391" s="76" t="n"/>
      <c r="J391" s="77">
        <f>IF($A391="","",B391+D391+F391)</f>
        <v/>
      </c>
      <c r="K391" s="78">
        <f>IF($A391="","",C391+E391+G391)</f>
        <v/>
      </c>
      <c r="L391" s="79">
        <f>IF($A391="","",J391+H391)</f>
        <v/>
      </c>
      <c r="M391" s="80">
        <f>IF($A391="","",K391+I391)</f>
        <v/>
      </c>
      <c r="N391" s="77">
        <f>IF($A391="","",SUMIFS($J$5:$J$800,$A$5:$A$800,"&gt;="&amp;DATE(YEAR($A391),MONTH($A391),1),$A$5:$A$800,"&lt;="&amp;$A391)+IF(AND(YEAR($A391)=YEAR(Settings!$B$3),MONTH($A391)=MONTH(Settings!$B$3)),Settings!$B$10,0))</f>
        <v/>
      </c>
      <c r="O391" s="78">
        <f>IF($A391="","",SUMIFS($K$5:$K$800,$A$5:$A$800,"&gt;="&amp;DATE(YEAR($A391),MONTH($A391),1),$A$5:$A$800,"&lt;="&amp;$A391)+IF(AND(YEAR($A391)=YEAR(Settings!$B$3),MONTH($A391)=MONTH(Settings!$B$3)),Settings!$B$11,0))</f>
        <v/>
      </c>
      <c r="P391" s="77">
        <f>IF($A391="","",SUMIFS($H$5:$H$800,$A$5:$A$800,"&gt;="&amp;DATE(YEAR($A391),MONTH($A391),1),$A$5:$A$800,"&lt;="&amp;$A391)+IF(AND(YEAR($A391)=YEAR(Settings!$B$3),MONTH($A391)=MONTH(Settings!$B$3)),Settings!$B$12,0))</f>
        <v/>
      </c>
      <c r="Q391" s="78">
        <f>IF($A391="","",SUMIFS($I$5:$I$800,$A$5:$A$800,"&gt;="&amp;DATE(YEAR($A391),MONTH($A391),1),$A$5:$A$800,"&lt;="&amp;$A391)+IF(AND(YEAR($A391)=YEAR(Settings!$B$3),MONTH($A391)=MONTH(Settings!$B$3)),Settings!$B$13,0))</f>
        <v/>
      </c>
      <c r="R391" s="77">
        <f>IF($A391="","",N391+P391)</f>
        <v/>
      </c>
      <c r="S391" s="78">
        <f>IF($A391="","",O391+Q391)</f>
        <v/>
      </c>
    </row>
    <row r="392">
      <c r="A392" s="67" t="n"/>
      <c r="B392" s="75" t="n"/>
      <c r="C392" s="76" t="n"/>
      <c r="D392" s="75" t="n"/>
      <c r="E392" s="76" t="n"/>
      <c r="F392" s="75" t="n"/>
      <c r="G392" s="76" t="n"/>
      <c r="H392" s="75" t="n"/>
      <c r="I392" s="76" t="n"/>
      <c r="J392" s="77">
        <f>IF($A392="","",B392+D392+F392)</f>
        <v/>
      </c>
      <c r="K392" s="78">
        <f>IF($A392="","",C392+E392+G392)</f>
        <v/>
      </c>
      <c r="L392" s="79">
        <f>IF($A392="","",J392+H392)</f>
        <v/>
      </c>
      <c r="M392" s="80">
        <f>IF($A392="","",K392+I392)</f>
        <v/>
      </c>
      <c r="N392" s="77">
        <f>IF($A392="","",SUMIFS($J$5:$J$800,$A$5:$A$800,"&gt;="&amp;DATE(YEAR($A392),MONTH($A392),1),$A$5:$A$800,"&lt;="&amp;$A392)+IF(AND(YEAR($A392)=YEAR(Settings!$B$3),MONTH($A392)=MONTH(Settings!$B$3)),Settings!$B$10,0))</f>
        <v/>
      </c>
      <c r="O392" s="78">
        <f>IF($A392="","",SUMIFS($K$5:$K$800,$A$5:$A$800,"&gt;="&amp;DATE(YEAR($A392),MONTH($A392),1),$A$5:$A$800,"&lt;="&amp;$A392)+IF(AND(YEAR($A392)=YEAR(Settings!$B$3),MONTH($A392)=MONTH(Settings!$B$3)),Settings!$B$11,0))</f>
        <v/>
      </c>
      <c r="P392" s="77">
        <f>IF($A392="","",SUMIFS($H$5:$H$800,$A$5:$A$800,"&gt;="&amp;DATE(YEAR($A392),MONTH($A392),1),$A$5:$A$800,"&lt;="&amp;$A392)+IF(AND(YEAR($A392)=YEAR(Settings!$B$3),MONTH($A392)=MONTH(Settings!$B$3)),Settings!$B$12,0))</f>
        <v/>
      </c>
      <c r="Q392" s="78">
        <f>IF($A392="","",SUMIFS($I$5:$I$800,$A$5:$A$800,"&gt;="&amp;DATE(YEAR($A392),MONTH($A392),1),$A$5:$A$800,"&lt;="&amp;$A392)+IF(AND(YEAR($A392)=YEAR(Settings!$B$3),MONTH($A392)=MONTH(Settings!$B$3)),Settings!$B$13,0))</f>
        <v/>
      </c>
      <c r="R392" s="77">
        <f>IF($A392="","",N392+P392)</f>
        <v/>
      </c>
      <c r="S392" s="78">
        <f>IF($A392="","",O392+Q392)</f>
        <v/>
      </c>
    </row>
    <row r="393">
      <c r="A393" s="67" t="n"/>
      <c r="B393" s="75" t="n"/>
      <c r="C393" s="76" t="n"/>
      <c r="D393" s="75" t="n"/>
      <c r="E393" s="76" t="n"/>
      <c r="F393" s="75" t="n"/>
      <c r="G393" s="76" t="n"/>
      <c r="H393" s="75" t="n"/>
      <c r="I393" s="76" t="n"/>
      <c r="J393" s="77">
        <f>IF($A393="","",B393+D393+F393)</f>
        <v/>
      </c>
      <c r="K393" s="78">
        <f>IF($A393="","",C393+E393+G393)</f>
        <v/>
      </c>
      <c r="L393" s="79">
        <f>IF($A393="","",J393+H393)</f>
        <v/>
      </c>
      <c r="M393" s="80">
        <f>IF($A393="","",K393+I393)</f>
        <v/>
      </c>
      <c r="N393" s="77">
        <f>IF($A393="","",SUMIFS($J$5:$J$800,$A$5:$A$800,"&gt;="&amp;DATE(YEAR($A393),MONTH($A393),1),$A$5:$A$800,"&lt;="&amp;$A393)+IF(AND(YEAR($A393)=YEAR(Settings!$B$3),MONTH($A393)=MONTH(Settings!$B$3)),Settings!$B$10,0))</f>
        <v/>
      </c>
      <c r="O393" s="78">
        <f>IF($A393="","",SUMIFS($K$5:$K$800,$A$5:$A$800,"&gt;="&amp;DATE(YEAR($A393),MONTH($A393),1),$A$5:$A$800,"&lt;="&amp;$A393)+IF(AND(YEAR($A393)=YEAR(Settings!$B$3),MONTH($A393)=MONTH(Settings!$B$3)),Settings!$B$11,0))</f>
        <v/>
      </c>
      <c r="P393" s="77">
        <f>IF($A393="","",SUMIFS($H$5:$H$800,$A$5:$A$800,"&gt;="&amp;DATE(YEAR($A393),MONTH($A393),1),$A$5:$A$800,"&lt;="&amp;$A393)+IF(AND(YEAR($A393)=YEAR(Settings!$B$3),MONTH($A393)=MONTH(Settings!$B$3)),Settings!$B$12,0))</f>
        <v/>
      </c>
      <c r="Q393" s="78">
        <f>IF($A393="","",SUMIFS($I$5:$I$800,$A$5:$A$800,"&gt;="&amp;DATE(YEAR($A393),MONTH($A393),1),$A$5:$A$800,"&lt;="&amp;$A393)+IF(AND(YEAR($A393)=YEAR(Settings!$B$3),MONTH($A393)=MONTH(Settings!$B$3)),Settings!$B$13,0))</f>
        <v/>
      </c>
      <c r="R393" s="77">
        <f>IF($A393="","",N393+P393)</f>
        <v/>
      </c>
      <c r="S393" s="78">
        <f>IF($A393="","",O393+Q393)</f>
        <v/>
      </c>
    </row>
    <row r="394">
      <c r="A394" s="67" t="n"/>
      <c r="B394" s="75" t="n"/>
      <c r="C394" s="76" t="n"/>
      <c r="D394" s="75" t="n"/>
      <c r="E394" s="76" t="n"/>
      <c r="F394" s="75" t="n"/>
      <c r="G394" s="76" t="n"/>
      <c r="H394" s="75" t="n"/>
      <c r="I394" s="76" t="n"/>
      <c r="J394" s="77">
        <f>IF($A394="","",B394+D394+F394)</f>
        <v/>
      </c>
      <c r="K394" s="78">
        <f>IF($A394="","",C394+E394+G394)</f>
        <v/>
      </c>
      <c r="L394" s="79">
        <f>IF($A394="","",J394+H394)</f>
        <v/>
      </c>
      <c r="M394" s="80">
        <f>IF($A394="","",K394+I394)</f>
        <v/>
      </c>
      <c r="N394" s="77">
        <f>IF($A394="","",SUMIFS($J$5:$J$800,$A$5:$A$800,"&gt;="&amp;DATE(YEAR($A394),MONTH($A394),1),$A$5:$A$800,"&lt;="&amp;$A394)+IF(AND(YEAR($A394)=YEAR(Settings!$B$3),MONTH($A394)=MONTH(Settings!$B$3)),Settings!$B$10,0))</f>
        <v/>
      </c>
      <c r="O394" s="78">
        <f>IF($A394="","",SUMIFS($K$5:$K$800,$A$5:$A$800,"&gt;="&amp;DATE(YEAR($A394),MONTH($A394),1),$A$5:$A$800,"&lt;="&amp;$A394)+IF(AND(YEAR($A394)=YEAR(Settings!$B$3),MONTH($A394)=MONTH(Settings!$B$3)),Settings!$B$11,0))</f>
        <v/>
      </c>
      <c r="P394" s="77">
        <f>IF($A394="","",SUMIFS($H$5:$H$800,$A$5:$A$800,"&gt;="&amp;DATE(YEAR($A394),MONTH($A394),1),$A$5:$A$800,"&lt;="&amp;$A394)+IF(AND(YEAR($A394)=YEAR(Settings!$B$3),MONTH($A394)=MONTH(Settings!$B$3)),Settings!$B$12,0))</f>
        <v/>
      </c>
      <c r="Q394" s="78">
        <f>IF($A394="","",SUMIFS($I$5:$I$800,$A$5:$A$800,"&gt;="&amp;DATE(YEAR($A394),MONTH($A394),1),$A$5:$A$800,"&lt;="&amp;$A394)+IF(AND(YEAR($A394)=YEAR(Settings!$B$3),MONTH($A394)=MONTH(Settings!$B$3)),Settings!$B$13,0))</f>
        <v/>
      </c>
      <c r="R394" s="77">
        <f>IF($A394="","",N394+P394)</f>
        <v/>
      </c>
      <c r="S394" s="78">
        <f>IF($A394="","",O394+Q394)</f>
        <v/>
      </c>
    </row>
    <row r="395">
      <c r="A395" s="67" t="n"/>
      <c r="B395" s="75" t="n"/>
      <c r="C395" s="76" t="n"/>
      <c r="D395" s="75" t="n"/>
      <c r="E395" s="76" t="n"/>
      <c r="F395" s="75" t="n"/>
      <c r="G395" s="76" t="n"/>
      <c r="H395" s="75" t="n"/>
      <c r="I395" s="76" t="n"/>
      <c r="J395" s="77">
        <f>IF($A395="","",B395+D395+F395)</f>
        <v/>
      </c>
      <c r="K395" s="78">
        <f>IF($A395="","",C395+E395+G395)</f>
        <v/>
      </c>
      <c r="L395" s="79">
        <f>IF($A395="","",J395+H395)</f>
        <v/>
      </c>
      <c r="M395" s="80">
        <f>IF($A395="","",K395+I395)</f>
        <v/>
      </c>
      <c r="N395" s="77">
        <f>IF($A395="","",SUMIFS($J$5:$J$800,$A$5:$A$800,"&gt;="&amp;DATE(YEAR($A395),MONTH($A395),1),$A$5:$A$800,"&lt;="&amp;$A395)+IF(AND(YEAR($A395)=YEAR(Settings!$B$3),MONTH($A395)=MONTH(Settings!$B$3)),Settings!$B$10,0))</f>
        <v/>
      </c>
      <c r="O395" s="78">
        <f>IF($A395="","",SUMIFS($K$5:$K$800,$A$5:$A$800,"&gt;="&amp;DATE(YEAR($A395),MONTH($A395),1),$A$5:$A$800,"&lt;="&amp;$A395)+IF(AND(YEAR($A395)=YEAR(Settings!$B$3),MONTH($A395)=MONTH(Settings!$B$3)),Settings!$B$11,0))</f>
        <v/>
      </c>
      <c r="P395" s="77">
        <f>IF($A395="","",SUMIFS($H$5:$H$800,$A$5:$A$800,"&gt;="&amp;DATE(YEAR($A395),MONTH($A395),1),$A$5:$A$800,"&lt;="&amp;$A395)+IF(AND(YEAR($A395)=YEAR(Settings!$B$3),MONTH($A395)=MONTH(Settings!$B$3)),Settings!$B$12,0))</f>
        <v/>
      </c>
      <c r="Q395" s="78">
        <f>IF($A395="","",SUMIFS($I$5:$I$800,$A$5:$A$800,"&gt;="&amp;DATE(YEAR($A395),MONTH($A395),1),$A$5:$A$800,"&lt;="&amp;$A395)+IF(AND(YEAR($A395)=YEAR(Settings!$B$3),MONTH($A395)=MONTH(Settings!$B$3)),Settings!$B$13,0))</f>
        <v/>
      </c>
      <c r="R395" s="77">
        <f>IF($A395="","",N395+P395)</f>
        <v/>
      </c>
      <c r="S395" s="78">
        <f>IF($A395="","",O395+Q395)</f>
        <v/>
      </c>
    </row>
    <row r="396">
      <c r="A396" s="67" t="n"/>
      <c r="B396" s="75" t="n"/>
      <c r="C396" s="76" t="n"/>
      <c r="D396" s="75" t="n"/>
      <c r="E396" s="76" t="n"/>
      <c r="F396" s="75" t="n"/>
      <c r="G396" s="76" t="n"/>
      <c r="H396" s="75" t="n"/>
      <c r="I396" s="76" t="n"/>
      <c r="J396" s="77">
        <f>IF($A396="","",B396+D396+F396)</f>
        <v/>
      </c>
      <c r="K396" s="78">
        <f>IF($A396="","",C396+E396+G396)</f>
        <v/>
      </c>
      <c r="L396" s="79">
        <f>IF($A396="","",J396+H396)</f>
        <v/>
      </c>
      <c r="M396" s="80">
        <f>IF($A396="","",K396+I396)</f>
        <v/>
      </c>
      <c r="N396" s="77">
        <f>IF($A396="","",SUMIFS($J$5:$J$800,$A$5:$A$800,"&gt;="&amp;DATE(YEAR($A396),MONTH($A396),1),$A$5:$A$800,"&lt;="&amp;$A396)+IF(AND(YEAR($A396)=YEAR(Settings!$B$3),MONTH($A396)=MONTH(Settings!$B$3)),Settings!$B$10,0))</f>
        <v/>
      </c>
      <c r="O396" s="78">
        <f>IF($A396="","",SUMIFS($K$5:$K$800,$A$5:$A$800,"&gt;="&amp;DATE(YEAR($A396),MONTH($A396),1),$A$5:$A$800,"&lt;="&amp;$A396)+IF(AND(YEAR($A396)=YEAR(Settings!$B$3),MONTH($A396)=MONTH(Settings!$B$3)),Settings!$B$11,0))</f>
        <v/>
      </c>
      <c r="P396" s="77">
        <f>IF($A396="","",SUMIFS($H$5:$H$800,$A$5:$A$800,"&gt;="&amp;DATE(YEAR($A396),MONTH($A396),1),$A$5:$A$800,"&lt;="&amp;$A396)+IF(AND(YEAR($A396)=YEAR(Settings!$B$3),MONTH($A396)=MONTH(Settings!$B$3)),Settings!$B$12,0))</f>
        <v/>
      </c>
      <c r="Q396" s="78">
        <f>IF($A396="","",SUMIFS($I$5:$I$800,$A$5:$A$800,"&gt;="&amp;DATE(YEAR($A396),MONTH($A396),1),$A$5:$A$800,"&lt;="&amp;$A396)+IF(AND(YEAR($A396)=YEAR(Settings!$B$3),MONTH($A396)=MONTH(Settings!$B$3)),Settings!$B$13,0))</f>
        <v/>
      </c>
      <c r="R396" s="77">
        <f>IF($A396="","",N396+P396)</f>
        <v/>
      </c>
      <c r="S396" s="78">
        <f>IF($A396="","",O396+Q396)</f>
        <v/>
      </c>
    </row>
    <row r="397">
      <c r="A397" s="67" t="n"/>
      <c r="B397" s="75" t="n"/>
      <c r="C397" s="76" t="n"/>
      <c r="D397" s="75" t="n"/>
      <c r="E397" s="76" t="n"/>
      <c r="F397" s="75" t="n"/>
      <c r="G397" s="76" t="n"/>
      <c r="H397" s="75" t="n"/>
      <c r="I397" s="76" t="n"/>
      <c r="J397" s="77">
        <f>IF($A397="","",B397+D397+F397)</f>
        <v/>
      </c>
      <c r="K397" s="78">
        <f>IF($A397="","",C397+E397+G397)</f>
        <v/>
      </c>
      <c r="L397" s="79">
        <f>IF($A397="","",J397+H397)</f>
        <v/>
      </c>
      <c r="M397" s="80">
        <f>IF($A397="","",K397+I397)</f>
        <v/>
      </c>
      <c r="N397" s="77">
        <f>IF($A397="","",SUMIFS($J$5:$J$800,$A$5:$A$800,"&gt;="&amp;DATE(YEAR($A397),MONTH($A397),1),$A$5:$A$800,"&lt;="&amp;$A397)+IF(AND(YEAR($A397)=YEAR(Settings!$B$3),MONTH($A397)=MONTH(Settings!$B$3)),Settings!$B$10,0))</f>
        <v/>
      </c>
      <c r="O397" s="78">
        <f>IF($A397="","",SUMIFS($K$5:$K$800,$A$5:$A$800,"&gt;="&amp;DATE(YEAR($A397),MONTH($A397),1),$A$5:$A$800,"&lt;="&amp;$A397)+IF(AND(YEAR($A397)=YEAR(Settings!$B$3),MONTH($A397)=MONTH(Settings!$B$3)),Settings!$B$11,0))</f>
        <v/>
      </c>
      <c r="P397" s="77">
        <f>IF($A397="","",SUMIFS($H$5:$H$800,$A$5:$A$800,"&gt;="&amp;DATE(YEAR($A397),MONTH($A397),1),$A$5:$A$800,"&lt;="&amp;$A397)+IF(AND(YEAR($A397)=YEAR(Settings!$B$3),MONTH($A397)=MONTH(Settings!$B$3)),Settings!$B$12,0))</f>
        <v/>
      </c>
      <c r="Q397" s="78">
        <f>IF($A397="","",SUMIFS($I$5:$I$800,$A$5:$A$800,"&gt;="&amp;DATE(YEAR($A397),MONTH($A397),1),$A$5:$A$800,"&lt;="&amp;$A397)+IF(AND(YEAR($A397)=YEAR(Settings!$B$3),MONTH($A397)=MONTH(Settings!$B$3)),Settings!$B$13,0))</f>
        <v/>
      </c>
      <c r="R397" s="77">
        <f>IF($A397="","",N397+P397)</f>
        <v/>
      </c>
      <c r="S397" s="78">
        <f>IF($A397="","",O397+Q397)</f>
        <v/>
      </c>
    </row>
    <row r="398">
      <c r="A398" s="67" t="n"/>
      <c r="B398" s="75" t="n"/>
      <c r="C398" s="76" t="n"/>
      <c r="D398" s="75" t="n"/>
      <c r="E398" s="76" t="n"/>
      <c r="F398" s="75" t="n"/>
      <c r="G398" s="76" t="n"/>
      <c r="H398" s="75" t="n"/>
      <c r="I398" s="76" t="n"/>
      <c r="J398" s="77">
        <f>IF($A398="","",B398+D398+F398)</f>
        <v/>
      </c>
      <c r="K398" s="78">
        <f>IF($A398="","",C398+E398+G398)</f>
        <v/>
      </c>
      <c r="L398" s="79">
        <f>IF($A398="","",J398+H398)</f>
        <v/>
      </c>
      <c r="M398" s="80">
        <f>IF($A398="","",K398+I398)</f>
        <v/>
      </c>
      <c r="N398" s="77">
        <f>IF($A398="","",SUMIFS($J$5:$J$800,$A$5:$A$800,"&gt;="&amp;DATE(YEAR($A398),MONTH($A398),1),$A$5:$A$800,"&lt;="&amp;$A398)+IF(AND(YEAR($A398)=YEAR(Settings!$B$3),MONTH($A398)=MONTH(Settings!$B$3)),Settings!$B$10,0))</f>
        <v/>
      </c>
      <c r="O398" s="78">
        <f>IF($A398="","",SUMIFS($K$5:$K$800,$A$5:$A$800,"&gt;="&amp;DATE(YEAR($A398),MONTH($A398),1),$A$5:$A$800,"&lt;="&amp;$A398)+IF(AND(YEAR($A398)=YEAR(Settings!$B$3),MONTH($A398)=MONTH(Settings!$B$3)),Settings!$B$11,0))</f>
        <v/>
      </c>
      <c r="P398" s="77">
        <f>IF($A398="","",SUMIFS($H$5:$H$800,$A$5:$A$800,"&gt;="&amp;DATE(YEAR($A398),MONTH($A398),1),$A$5:$A$800,"&lt;="&amp;$A398)+IF(AND(YEAR($A398)=YEAR(Settings!$B$3),MONTH($A398)=MONTH(Settings!$B$3)),Settings!$B$12,0))</f>
        <v/>
      </c>
      <c r="Q398" s="78">
        <f>IF($A398="","",SUMIFS($I$5:$I$800,$A$5:$A$800,"&gt;="&amp;DATE(YEAR($A398),MONTH($A398),1),$A$5:$A$800,"&lt;="&amp;$A398)+IF(AND(YEAR($A398)=YEAR(Settings!$B$3),MONTH($A398)=MONTH(Settings!$B$3)),Settings!$B$13,0))</f>
        <v/>
      </c>
      <c r="R398" s="77">
        <f>IF($A398="","",N398+P398)</f>
        <v/>
      </c>
      <c r="S398" s="78">
        <f>IF($A398="","",O398+Q398)</f>
        <v/>
      </c>
    </row>
    <row r="399">
      <c r="A399" s="67" t="n"/>
      <c r="B399" s="75" t="n"/>
      <c r="C399" s="76" t="n"/>
      <c r="D399" s="75" t="n"/>
      <c r="E399" s="76" t="n"/>
      <c r="F399" s="75" t="n"/>
      <c r="G399" s="76" t="n"/>
      <c r="H399" s="75" t="n"/>
      <c r="I399" s="76" t="n"/>
      <c r="J399" s="77">
        <f>IF($A399="","",B399+D399+F399)</f>
        <v/>
      </c>
      <c r="K399" s="78">
        <f>IF($A399="","",C399+E399+G399)</f>
        <v/>
      </c>
      <c r="L399" s="79">
        <f>IF($A399="","",J399+H399)</f>
        <v/>
      </c>
      <c r="M399" s="80">
        <f>IF($A399="","",K399+I399)</f>
        <v/>
      </c>
      <c r="N399" s="77">
        <f>IF($A399="","",SUMIFS($J$5:$J$800,$A$5:$A$800,"&gt;="&amp;DATE(YEAR($A399),MONTH($A399),1),$A$5:$A$800,"&lt;="&amp;$A399)+IF(AND(YEAR($A399)=YEAR(Settings!$B$3),MONTH($A399)=MONTH(Settings!$B$3)),Settings!$B$10,0))</f>
        <v/>
      </c>
      <c r="O399" s="78">
        <f>IF($A399="","",SUMIFS($K$5:$K$800,$A$5:$A$800,"&gt;="&amp;DATE(YEAR($A399),MONTH($A399),1),$A$5:$A$800,"&lt;="&amp;$A399)+IF(AND(YEAR($A399)=YEAR(Settings!$B$3),MONTH($A399)=MONTH(Settings!$B$3)),Settings!$B$11,0))</f>
        <v/>
      </c>
      <c r="P399" s="77">
        <f>IF($A399="","",SUMIFS($H$5:$H$800,$A$5:$A$800,"&gt;="&amp;DATE(YEAR($A399),MONTH($A399),1),$A$5:$A$800,"&lt;="&amp;$A399)+IF(AND(YEAR($A399)=YEAR(Settings!$B$3),MONTH($A399)=MONTH(Settings!$B$3)),Settings!$B$12,0))</f>
        <v/>
      </c>
      <c r="Q399" s="78">
        <f>IF($A399="","",SUMIFS($I$5:$I$800,$A$5:$A$800,"&gt;="&amp;DATE(YEAR($A399),MONTH($A399),1),$A$5:$A$800,"&lt;="&amp;$A399)+IF(AND(YEAR($A399)=YEAR(Settings!$B$3),MONTH($A399)=MONTH(Settings!$B$3)),Settings!$B$13,0))</f>
        <v/>
      </c>
      <c r="R399" s="77">
        <f>IF($A399="","",N399+P399)</f>
        <v/>
      </c>
      <c r="S399" s="78">
        <f>IF($A399="","",O399+Q399)</f>
        <v/>
      </c>
    </row>
    <row r="400">
      <c r="A400" s="67" t="n"/>
      <c r="B400" s="75" t="n"/>
      <c r="C400" s="76" t="n"/>
      <c r="D400" s="75" t="n"/>
      <c r="E400" s="76" t="n"/>
      <c r="F400" s="75" t="n"/>
      <c r="G400" s="76" t="n"/>
      <c r="H400" s="75" t="n"/>
      <c r="I400" s="76" t="n"/>
      <c r="J400" s="77">
        <f>IF($A400="","",B400+D400+F400)</f>
        <v/>
      </c>
      <c r="K400" s="78">
        <f>IF($A400="","",C400+E400+G400)</f>
        <v/>
      </c>
      <c r="L400" s="79">
        <f>IF($A400="","",J400+H400)</f>
        <v/>
      </c>
      <c r="M400" s="80">
        <f>IF($A400="","",K400+I400)</f>
        <v/>
      </c>
      <c r="N400" s="77">
        <f>IF($A400="","",SUMIFS($J$5:$J$800,$A$5:$A$800,"&gt;="&amp;DATE(YEAR($A400),MONTH($A400),1),$A$5:$A$800,"&lt;="&amp;$A400)+IF(AND(YEAR($A400)=YEAR(Settings!$B$3),MONTH($A400)=MONTH(Settings!$B$3)),Settings!$B$10,0))</f>
        <v/>
      </c>
      <c r="O400" s="78">
        <f>IF($A400="","",SUMIFS($K$5:$K$800,$A$5:$A$800,"&gt;="&amp;DATE(YEAR($A400),MONTH($A400),1),$A$5:$A$800,"&lt;="&amp;$A400)+IF(AND(YEAR($A400)=YEAR(Settings!$B$3),MONTH($A400)=MONTH(Settings!$B$3)),Settings!$B$11,0))</f>
        <v/>
      </c>
      <c r="P400" s="77">
        <f>IF($A400="","",SUMIFS($H$5:$H$800,$A$5:$A$800,"&gt;="&amp;DATE(YEAR($A400),MONTH($A400),1),$A$5:$A$800,"&lt;="&amp;$A400)+IF(AND(YEAR($A400)=YEAR(Settings!$B$3),MONTH($A400)=MONTH(Settings!$B$3)),Settings!$B$12,0))</f>
        <v/>
      </c>
      <c r="Q400" s="78">
        <f>IF($A400="","",SUMIFS($I$5:$I$800,$A$5:$A$800,"&gt;="&amp;DATE(YEAR($A400),MONTH($A400),1),$A$5:$A$800,"&lt;="&amp;$A400)+IF(AND(YEAR($A400)=YEAR(Settings!$B$3),MONTH($A400)=MONTH(Settings!$B$3)),Settings!$B$13,0))</f>
        <v/>
      </c>
      <c r="R400" s="77">
        <f>IF($A400="","",N400+P400)</f>
        <v/>
      </c>
      <c r="S400" s="78">
        <f>IF($A400="","",O400+Q400)</f>
        <v/>
      </c>
    </row>
    <row r="401">
      <c r="A401" s="67" t="n"/>
      <c r="B401" s="75" t="n"/>
      <c r="C401" s="76" t="n"/>
      <c r="D401" s="75" t="n"/>
      <c r="E401" s="76" t="n"/>
      <c r="F401" s="75" t="n"/>
      <c r="G401" s="76" t="n"/>
      <c r="H401" s="75" t="n"/>
      <c r="I401" s="76" t="n"/>
      <c r="J401" s="77">
        <f>IF($A401="","",B401+D401+F401)</f>
        <v/>
      </c>
      <c r="K401" s="78">
        <f>IF($A401="","",C401+E401+G401)</f>
        <v/>
      </c>
      <c r="L401" s="79">
        <f>IF($A401="","",J401+H401)</f>
        <v/>
      </c>
      <c r="M401" s="80">
        <f>IF($A401="","",K401+I401)</f>
        <v/>
      </c>
      <c r="N401" s="77">
        <f>IF($A401="","",SUMIFS($J$5:$J$800,$A$5:$A$800,"&gt;="&amp;DATE(YEAR($A401),MONTH($A401),1),$A$5:$A$800,"&lt;="&amp;$A401)+IF(AND(YEAR($A401)=YEAR(Settings!$B$3),MONTH($A401)=MONTH(Settings!$B$3)),Settings!$B$10,0))</f>
        <v/>
      </c>
      <c r="O401" s="78">
        <f>IF($A401="","",SUMIFS($K$5:$K$800,$A$5:$A$800,"&gt;="&amp;DATE(YEAR($A401),MONTH($A401),1),$A$5:$A$800,"&lt;="&amp;$A401)+IF(AND(YEAR($A401)=YEAR(Settings!$B$3),MONTH($A401)=MONTH(Settings!$B$3)),Settings!$B$11,0))</f>
        <v/>
      </c>
      <c r="P401" s="77">
        <f>IF($A401="","",SUMIFS($H$5:$H$800,$A$5:$A$800,"&gt;="&amp;DATE(YEAR($A401),MONTH($A401),1),$A$5:$A$800,"&lt;="&amp;$A401)+IF(AND(YEAR($A401)=YEAR(Settings!$B$3),MONTH($A401)=MONTH(Settings!$B$3)),Settings!$B$12,0))</f>
        <v/>
      </c>
      <c r="Q401" s="78">
        <f>IF($A401="","",SUMIFS($I$5:$I$800,$A$5:$A$800,"&gt;="&amp;DATE(YEAR($A401),MONTH($A401),1),$A$5:$A$800,"&lt;="&amp;$A401)+IF(AND(YEAR($A401)=YEAR(Settings!$B$3),MONTH($A401)=MONTH(Settings!$B$3)),Settings!$B$13,0))</f>
        <v/>
      </c>
      <c r="R401" s="77">
        <f>IF($A401="","",N401+P401)</f>
        <v/>
      </c>
      <c r="S401" s="78">
        <f>IF($A401="","",O401+Q401)</f>
        <v/>
      </c>
    </row>
    <row r="402">
      <c r="A402" s="67" t="n"/>
      <c r="B402" s="75" t="n"/>
      <c r="C402" s="76" t="n"/>
      <c r="D402" s="75" t="n"/>
      <c r="E402" s="76" t="n"/>
      <c r="F402" s="75" t="n"/>
      <c r="G402" s="76" t="n"/>
      <c r="H402" s="75" t="n"/>
      <c r="I402" s="76" t="n"/>
      <c r="J402" s="77">
        <f>IF($A402="","",B402+D402+F402)</f>
        <v/>
      </c>
      <c r="K402" s="78">
        <f>IF($A402="","",C402+E402+G402)</f>
        <v/>
      </c>
      <c r="L402" s="79">
        <f>IF($A402="","",J402+H402)</f>
        <v/>
      </c>
      <c r="M402" s="80">
        <f>IF($A402="","",K402+I402)</f>
        <v/>
      </c>
      <c r="N402" s="77">
        <f>IF($A402="","",SUMIFS($J$5:$J$800,$A$5:$A$800,"&gt;="&amp;DATE(YEAR($A402),MONTH($A402),1),$A$5:$A$800,"&lt;="&amp;$A402)+IF(AND(YEAR($A402)=YEAR(Settings!$B$3),MONTH($A402)=MONTH(Settings!$B$3)),Settings!$B$10,0))</f>
        <v/>
      </c>
      <c r="O402" s="78">
        <f>IF($A402="","",SUMIFS($K$5:$K$800,$A$5:$A$800,"&gt;="&amp;DATE(YEAR($A402),MONTH($A402),1),$A$5:$A$800,"&lt;="&amp;$A402)+IF(AND(YEAR($A402)=YEAR(Settings!$B$3),MONTH($A402)=MONTH(Settings!$B$3)),Settings!$B$11,0))</f>
        <v/>
      </c>
      <c r="P402" s="77">
        <f>IF($A402="","",SUMIFS($H$5:$H$800,$A$5:$A$800,"&gt;="&amp;DATE(YEAR($A402),MONTH($A402),1),$A$5:$A$800,"&lt;="&amp;$A402)+IF(AND(YEAR($A402)=YEAR(Settings!$B$3),MONTH($A402)=MONTH(Settings!$B$3)),Settings!$B$12,0))</f>
        <v/>
      </c>
      <c r="Q402" s="78">
        <f>IF($A402="","",SUMIFS($I$5:$I$800,$A$5:$A$800,"&gt;="&amp;DATE(YEAR($A402),MONTH($A402),1),$A$5:$A$800,"&lt;="&amp;$A402)+IF(AND(YEAR($A402)=YEAR(Settings!$B$3),MONTH($A402)=MONTH(Settings!$B$3)),Settings!$B$13,0))</f>
        <v/>
      </c>
      <c r="R402" s="77">
        <f>IF($A402="","",N402+P402)</f>
        <v/>
      </c>
      <c r="S402" s="78">
        <f>IF($A402="","",O402+Q402)</f>
        <v/>
      </c>
    </row>
    <row r="403">
      <c r="A403" s="67" t="n"/>
      <c r="B403" s="75" t="n"/>
      <c r="C403" s="76" t="n"/>
      <c r="D403" s="75" t="n"/>
      <c r="E403" s="76" t="n"/>
      <c r="F403" s="75" t="n"/>
      <c r="G403" s="76" t="n"/>
      <c r="H403" s="75" t="n"/>
      <c r="I403" s="76" t="n"/>
      <c r="J403" s="77">
        <f>IF($A403="","",B403+D403+F403)</f>
        <v/>
      </c>
      <c r="K403" s="78">
        <f>IF($A403="","",C403+E403+G403)</f>
        <v/>
      </c>
      <c r="L403" s="79">
        <f>IF($A403="","",J403+H403)</f>
        <v/>
      </c>
      <c r="M403" s="80">
        <f>IF($A403="","",K403+I403)</f>
        <v/>
      </c>
      <c r="N403" s="77">
        <f>IF($A403="","",SUMIFS($J$5:$J$800,$A$5:$A$800,"&gt;="&amp;DATE(YEAR($A403),MONTH($A403),1),$A$5:$A$800,"&lt;="&amp;$A403)+IF(AND(YEAR($A403)=YEAR(Settings!$B$3),MONTH($A403)=MONTH(Settings!$B$3)),Settings!$B$10,0))</f>
        <v/>
      </c>
      <c r="O403" s="78">
        <f>IF($A403="","",SUMIFS($K$5:$K$800,$A$5:$A$800,"&gt;="&amp;DATE(YEAR($A403),MONTH($A403),1),$A$5:$A$800,"&lt;="&amp;$A403)+IF(AND(YEAR($A403)=YEAR(Settings!$B$3),MONTH($A403)=MONTH(Settings!$B$3)),Settings!$B$11,0))</f>
        <v/>
      </c>
      <c r="P403" s="77">
        <f>IF($A403="","",SUMIFS($H$5:$H$800,$A$5:$A$800,"&gt;="&amp;DATE(YEAR($A403),MONTH($A403),1),$A$5:$A$800,"&lt;="&amp;$A403)+IF(AND(YEAR($A403)=YEAR(Settings!$B$3),MONTH($A403)=MONTH(Settings!$B$3)),Settings!$B$12,0))</f>
        <v/>
      </c>
      <c r="Q403" s="78">
        <f>IF($A403="","",SUMIFS($I$5:$I$800,$A$5:$A$800,"&gt;="&amp;DATE(YEAR($A403),MONTH($A403),1),$A$5:$A$800,"&lt;="&amp;$A403)+IF(AND(YEAR($A403)=YEAR(Settings!$B$3),MONTH($A403)=MONTH(Settings!$B$3)),Settings!$B$13,0))</f>
        <v/>
      </c>
      <c r="R403" s="77">
        <f>IF($A403="","",N403+P403)</f>
        <v/>
      </c>
      <c r="S403" s="78">
        <f>IF($A403="","",O403+Q403)</f>
        <v/>
      </c>
    </row>
    <row r="404">
      <c r="A404" s="67" t="n"/>
      <c r="B404" s="75" t="n"/>
      <c r="C404" s="76" t="n"/>
      <c r="D404" s="75" t="n"/>
      <c r="E404" s="76" t="n"/>
      <c r="F404" s="75" t="n"/>
      <c r="G404" s="76" t="n"/>
      <c r="H404" s="75" t="n"/>
      <c r="I404" s="76" t="n"/>
      <c r="J404" s="77">
        <f>IF($A404="","",B404+D404+F404)</f>
        <v/>
      </c>
      <c r="K404" s="78">
        <f>IF($A404="","",C404+E404+G404)</f>
        <v/>
      </c>
      <c r="L404" s="79">
        <f>IF($A404="","",J404+H404)</f>
        <v/>
      </c>
      <c r="M404" s="80">
        <f>IF($A404="","",K404+I404)</f>
        <v/>
      </c>
      <c r="N404" s="77">
        <f>IF($A404="","",SUMIFS($J$5:$J$800,$A$5:$A$800,"&gt;="&amp;DATE(YEAR($A404),MONTH($A404),1),$A$5:$A$800,"&lt;="&amp;$A404)+IF(AND(YEAR($A404)=YEAR(Settings!$B$3),MONTH($A404)=MONTH(Settings!$B$3)),Settings!$B$10,0))</f>
        <v/>
      </c>
      <c r="O404" s="78">
        <f>IF($A404="","",SUMIFS($K$5:$K$800,$A$5:$A$800,"&gt;="&amp;DATE(YEAR($A404),MONTH($A404),1),$A$5:$A$800,"&lt;="&amp;$A404)+IF(AND(YEAR($A404)=YEAR(Settings!$B$3),MONTH($A404)=MONTH(Settings!$B$3)),Settings!$B$11,0))</f>
        <v/>
      </c>
      <c r="P404" s="77">
        <f>IF($A404="","",SUMIFS($H$5:$H$800,$A$5:$A$800,"&gt;="&amp;DATE(YEAR($A404),MONTH($A404),1),$A$5:$A$800,"&lt;="&amp;$A404)+IF(AND(YEAR($A404)=YEAR(Settings!$B$3),MONTH($A404)=MONTH(Settings!$B$3)),Settings!$B$12,0))</f>
        <v/>
      </c>
      <c r="Q404" s="78">
        <f>IF($A404="","",SUMIFS($I$5:$I$800,$A$5:$A$800,"&gt;="&amp;DATE(YEAR($A404),MONTH($A404),1),$A$5:$A$800,"&lt;="&amp;$A404)+IF(AND(YEAR($A404)=YEAR(Settings!$B$3),MONTH($A404)=MONTH(Settings!$B$3)),Settings!$B$13,0))</f>
        <v/>
      </c>
      <c r="R404" s="77">
        <f>IF($A404="","",N404+P404)</f>
        <v/>
      </c>
      <c r="S404" s="78">
        <f>IF($A404="","",O404+Q404)</f>
        <v/>
      </c>
    </row>
    <row r="405">
      <c r="A405" s="67" t="n"/>
      <c r="B405" s="75" t="n"/>
      <c r="C405" s="76" t="n"/>
      <c r="D405" s="75" t="n"/>
      <c r="E405" s="76" t="n"/>
      <c r="F405" s="75" t="n"/>
      <c r="G405" s="76" t="n"/>
      <c r="H405" s="75" t="n"/>
      <c r="I405" s="76" t="n"/>
      <c r="J405" s="77">
        <f>IF($A405="","",B405+D405+F405)</f>
        <v/>
      </c>
      <c r="K405" s="78">
        <f>IF($A405="","",C405+E405+G405)</f>
        <v/>
      </c>
      <c r="L405" s="79">
        <f>IF($A405="","",J405+H405)</f>
        <v/>
      </c>
      <c r="M405" s="80">
        <f>IF($A405="","",K405+I405)</f>
        <v/>
      </c>
      <c r="N405" s="77">
        <f>IF($A405="","",SUMIFS($J$5:$J$800,$A$5:$A$800,"&gt;="&amp;DATE(YEAR($A405),MONTH($A405),1),$A$5:$A$800,"&lt;="&amp;$A405)+IF(AND(YEAR($A405)=YEAR(Settings!$B$3),MONTH($A405)=MONTH(Settings!$B$3)),Settings!$B$10,0))</f>
        <v/>
      </c>
      <c r="O405" s="78">
        <f>IF($A405="","",SUMIFS($K$5:$K$800,$A$5:$A$800,"&gt;="&amp;DATE(YEAR($A405),MONTH($A405),1),$A$5:$A$800,"&lt;="&amp;$A405)+IF(AND(YEAR($A405)=YEAR(Settings!$B$3),MONTH($A405)=MONTH(Settings!$B$3)),Settings!$B$11,0))</f>
        <v/>
      </c>
      <c r="P405" s="77">
        <f>IF($A405="","",SUMIFS($H$5:$H$800,$A$5:$A$800,"&gt;="&amp;DATE(YEAR($A405),MONTH($A405),1),$A$5:$A$800,"&lt;="&amp;$A405)+IF(AND(YEAR($A405)=YEAR(Settings!$B$3),MONTH($A405)=MONTH(Settings!$B$3)),Settings!$B$12,0))</f>
        <v/>
      </c>
      <c r="Q405" s="78">
        <f>IF($A405="","",SUMIFS($I$5:$I$800,$A$5:$A$800,"&gt;="&amp;DATE(YEAR($A405),MONTH($A405),1),$A$5:$A$800,"&lt;="&amp;$A405)+IF(AND(YEAR($A405)=YEAR(Settings!$B$3),MONTH($A405)=MONTH(Settings!$B$3)),Settings!$B$13,0))</f>
        <v/>
      </c>
      <c r="R405" s="77">
        <f>IF($A405="","",N405+P405)</f>
        <v/>
      </c>
      <c r="S405" s="78">
        <f>IF($A405="","",O405+Q405)</f>
        <v/>
      </c>
    </row>
    <row r="406">
      <c r="A406" s="67" t="n"/>
      <c r="B406" s="75" t="n"/>
      <c r="C406" s="76" t="n"/>
      <c r="D406" s="75" t="n"/>
      <c r="E406" s="76" t="n"/>
      <c r="F406" s="75" t="n"/>
      <c r="G406" s="76" t="n"/>
      <c r="H406" s="75" t="n"/>
      <c r="I406" s="76" t="n"/>
      <c r="J406" s="77">
        <f>IF($A406="","",B406+D406+F406)</f>
        <v/>
      </c>
      <c r="K406" s="78">
        <f>IF($A406="","",C406+E406+G406)</f>
        <v/>
      </c>
      <c r="L406" s="79">
        <f>IF($A406="","",J406+H406)</f>
        <v/>
      </c>
      <c r="M406" s="80">
        <f>IF($A406="","",K406+I406)</f>
        <v/>
      </c>
      <c r="N406" s="77">
        <f>IF($A406="","",SUMIFS($J$5:$J$800,$A$5:$A$800,"&gt;="&amp;DATE(YEAR($A406),MONTH($A406),1),$A$5:$A$800,"&lt;="&amp;$A406)+IF(AND(YEAR($A406)=YEAR(Settings!$B$3),MONTH($A406)=MONTH(Settings!$B$3)),Settings!$B$10,0))</f>
        <v/>
      </c>
      <c r="O406" s="78">
        <f>IF($A406="","",SUMIFS($K$5:$K$800,$A$5:$A$800,"&gt;="&amp;DATE(YEAR($A406),MONTH($A406),1),$A$5:$A$800,"&lt;="&amp;$A406)+IF(AND(YEAR($A406)=YEAR(Settings!$B$3),MONTH($A406)=MONTH(Settings!$B$3)),Settings!$B$11,0))</f>
        <v/>
      </c>
      <c r="P406" s="77">
        <f>IF($A406="","",SUMIFS($H$5:$H$800,$A$5:$A$800,"&gt;="&amp;DATE(YEAR($A406),MONTH($A406),1),$A$5:$A$800,"&lt;="&amp;$A406)+IF(AND(YEAR($A406)=YEAR(Settings!$B$3),MONTH($A406)=MONTH(Settings!$B$3)),Settings!$B$12,0))</f>
        <v/>
      </c>
      <c r="Q406" s="78">
        <f>IF($A406="","",SUMIFS($I$5:$I$800,$A$5:$A$800,"&gt;="&amp;DATE(YEAR($A406),MONTH($A406),1),$A$5:$A$800,"&lt;="&amp;$A406)+IF(AND(YEAR($A406)=YEAR(Settings!$B$3),MONTH($A406)=MONTH(Settings!$B$3)),Settings!$B$13,0))</f>
        <v/>
      </c>
      <c r="R406" s="77">
        <f>IF($A406="","",N406+P406)</f>
        <v/>
      </c>
      <c r="S406" s="78">
        <f>IF($A406="","",O406+Q406)</f>
        <v/>
      </c>
    </row>
    <row r="407">
      <c r="A407" s="67" t="n"/>
      <c r="B407" s="75" t="n"/>
      <c r="C407" s="76" t="n"/>
      <c r="D407" s="75" t="n"/>
      <c r="E407" s="76" t="n"/>
      <c r="F407" s="75" t="n"/>
      <c r="G407" s="76" t="n"/>
      <c r="H407" s="75" t="n"/>
      <c r="I407" s="76" t="n"/>
      <c r="J407" s="77">
        <f>IF($A407="","",B407+D407+F407)</f>
        <v/>
      </c>
      <c r="K407" s="78">
        <f>IF($A407="","",C407+E407+G407)</f>
        <v/>
      </c>
      <c r="L407" s="79">
        <f>IF($A407="","",J407+H407)</f>
        <v/>
      </c>
      <c r="M407" s="80">
        <f>IF($A407="","",K407+I407)</f>
        <v/>
      </c>
      <c r="N407" s="77">
        <f>IF($A407="","",SUMIFS($J$5:$J$800,$A$5:$A$800,"&gt;="&amp;DATE(YEAR($A407),MONTH($A407),1),$A$5:$A$800,"&lt;="&amp;$A407)+IF(AND(YEAR($A407)=YEAR(Settings!$B$3),MONTH($A407)=MONTH(Settings!$B$3)),Settings!$B$10,0))</f>
        <v/>
      </c>
      <c r="O407" s="78">
        <f>IF($A407="","",SUMIFS($K$5:$K$800,$A$5:$A$800,"&gt;="&amp;DATE(YEAR($A407),MONTH($A407),1),$A$5:$A$800,"&lt;="&amp;$A407)+IF(AND(YEAR($A407)=YEAR(Settings!$B$3),MONTH($A407)=MONTH(Settings!$B$3)),Settings!$B$11,0))</f>
        <v/>
      </c>
      <c r="P407" s="77">
        <f>IF($A407="","",SUMIFS($H$5:$H$800,$A$5:$A$800,"&gt;="&amp;DATE(YEAR($A407),MONTH($A407),1),$A$5:$A$800,"&lt;="&amp;$A407)+IF(AND(YEAR($A407)=YEAR(Settings!$B$3),MONTH($A407)=MONTH(Settings!$B$3)),Settings!$B$12,0))</f>
        <v/>
      </c>
      <c r="Q407" s="78">
        <f>IF($A407="","",SUMIFS($I$5:$I$800,$A$5:$A$800,"&gt;="&amp;DATE(YEAR($A407),MONTH($A407),1),$A$5:$A$800,"&lt;="&amp;$A407)+IF(AND(YEAR($A407)=YEAR(Settings!$B$3),MONTH($A407)=MONTH(Settings!$B$3)),Settings!$B$13,0))</f>
        <v/>
      </c>
      <c r="R407" s="77">
        <f>IF($A407="","",N407+P407)</f>
        <v/>
      </c>
      <c r="S407" s="78">
        <f>IF($A407="","",O407+Q407)</f>
        <v/>
      </c>
    </row>
    <row r="408">
      <c r="A408" s="67" t="n"/>
      <c r="B408" s="75" t="n"/>
      <c r="C408" s="76" t="n"/>
      <c r="D408" s="75" t="n"/>
      <c r="E408" s="76" t="n"/>
      <c r="F408" s="75" t="n"/>
      <c r="G408" s="76" t="n"/>
      <c r="H408" s="75" t="n"/>
      <c r="I408" s="76" t="n"/>
      <c r="J408" s="77">
        <f>IF($A408="","",B408+D408+F408)</f>
        <v/>
      </c>
      <c r="K408" s="78">
        <f>IF($A408="","",C408+E408+G408)</f>
        <v/>
      </c>
      <c r="L408" s="79">
        <f>IF($A408="","",J408+H408)</f>
        <v/>
      </c>
      <c r="M408" s="80">
        <f>IF($A408="","",K408+I408)</f>
        <v/>
      </c>
      <c r="N408" s="77">
        <f>IF($A408="","",SUMIFS($J$5:$J$800,$A$5:$A$800,"&gt;="&amp;DATE(YEAR($A408),MONTH($A408),1),$A$5:$A$800,"&lt;="&amp;$A408)+IF(AND(YEAR($A408)=YEAR(Settings!$B$3),MONTH($A408)=MONTH(Settings!$B$3)),Settings!$B$10,0))</f>
        <v/>
      </c>
      <c r="O408" s="78">
        <f>IF($A408="","",SUMIFS($K$5:$K$800,$A$5:$A$800,"&gt;="&amp;DATE(YEAR($A408),MONTH($A408),1),$A$5:$A$800,"&lt;="&amp;$A408)+IF(AND(YEAR($A408)=YEAR(Settings!$B$3),MONTH($A408)=MONTH(Settings!$B$3)),Settings!$B$11,0))</f>
        <v/>
      </c>
      <c r="P408" s="77">
        <f>IF($A408="","",SUMIFS($H$5:$H$800,$A$5:$A$800,"&gt;="&amp;DATE(YEAR($A408),MONTH($A408),1),$A$5:$A$800,"&lt;="&amp;$A408)+IF(AND(YEAR($A408)=YEAR(Settings!$B$3),MONTH($A408)=MONTH(Settings!$B$3)),Settings!$B$12,0))</f>
        <v/>
      </c>
      <c r="Q408" s="78">
        <f>IF($A408="","",SUMIFS($I$5:$I$800,$A$5:$A$800,"&gt;="&amp;DATE(YEAR($A408),MONTH($A408),1),$A$5:$A$800,"&lt;="&amp;$A408)+IF(AND(YEAR($A408)=YEAR(Settings!$B$3),MONTH($A408)=MONTH(Settings!$B$3)),Settings!$B$13,0))</f>
        <v/>
      </c>
      <c r="R408" s="77">
        <f>IF($A408="","",N408+P408)</f>
        <v/>
      </c>
      <c r="S408" s="78">
        <f>IF($A408="","",O408+Q408)</f>
        <v/>
      </c>
    </row>
    <row r="409">
      <c r="A409" s="67" t="n"/>
      <c r="B409" s="75" t="n"/>
      <c r="C409" s="76" t="n"/>
      <c r="D409" s="75" t="n"/>
      <c r="E409" s="76" t="n"/>
      <c r="F409" s="75" t="n"/>
      <c r="G409" s="76" t="n"/>
      <c r="H409" s="75" t="n"/>
      <c r="I409" s="76" t="n"/>
      <c r="J409" s="77">
        <f>IF($A409="","",B409+D409+F409)</f>
        <v/>
      </c>
      <c r="K409" s="78">
        <f>IF($A409="","",C409+E409+G409)</f>
        <v/>
      </c>
      <c r="L409" s="79">
        <f>IF($A409="","",J409+H409)</f>
        <v/>
      </c>
      <c r="M409" s="80">
        <f>IF($A409="","",K409+I409)</f>
        <v/>
      </c>
      <c r="N409" s="77">
        <f>IF($A409="","",SUMIFS($J$5:$J$800,$A$5:$A$800,"&gt;="&amp;DATE(YEAR($A409),MONTH($A409),1),$A$5:$A$800,"&lt;="&amp;$A409)+IF(AND(YEAR($A409)=YEAR(Settings!$B$3),MONTH($A409)=MONTH(Settings!$B$3)),Settings!$B$10,0))</f>
        <v/>
      </c>
      <c r="O409" s="78">
        <f>IF($A409="","",SUMIFS($K$5:$K$800,$A$5:$A$800,"&gt;="&amp;DATE(YEAR($A409),MONTH($A409),1),$A$5:$A$800,"&lt;="&amp;$A409)+IF(AND(YEAR($A409)=YEAR(Settings!$B$3),MONTH($A409)=MONTH(Settings!$B$3)),Settings!$B$11,0))</f>
        <v/>
      </c>
      <c r="P409" s="77">
        <f>IF($A409="","",SUMIFS($H$5:$H$800,$A$5:$A$800,"&gt;="&amp;DATE(YEAR($A409),MONTH($A409),1),$A$5:$A$800,"&lt;="&amp;$A409)+IF(AND(YEAR($A409)=YEAR(Settings!$B$3),MONTH($A409)=MONTH(Settings!$B$3)),Settings!$B$12,0))</f>
        <v/>
      </c>
      <c r="Q409" s="78">
        <f>IF($A409="","",SUMIFS($I$5:$I$800,$A$5:$A$800,"&gt;="&amp;DATE(YEAR($A409),MONTH($A409),1),$A$5:$A$800,"&lt;="&amp;$A409)+IF(AND(YEAR($A409)=YEAR(Settings!$B$3),MONTH($A409)=MONTH(Settings!$B$3)),Settings!$B$13,0))</f>
        <v/>
      </c>
      <c r="R409" s="77">
        <f>IF($A409="","",N409+P409)</f>
        <v/>
      </c>
      <c r="S409" s="78">
        <f>IF($A409="","",O409+Q409)</f>
        <v/>
      </c>
    </row>
    <row r="410">
      <c r="A410" s="67" t="n"/>
      <c r="B410" s="75" t="n"/>
      <c r="C410" s="76" t="n"/>
      <c r="D410" s="75" t="n"/>
      <c r="E410" s="76" t="n"/>
      <c r="F410" s="75" t="n"/>
      <c r="G410" s="76" t="n"/>
      <c r="H410" s="75" t="n"/>
      <c r="I410" s="76" t="n"/>
      <c r="J410" s="77">
        <f>IF($A410="","",B410+D410+F410)</f>
        <v/>
      </c>
      <c r="K410" s="78">
        <f>IF($A410="","",C410+E410+G410)</f>
        <v/>
      </c>
      <c r="L410" s="79">
        <f>IF($A410="","",J410+H410)</f>
        <v/>
      </c>
      <c r="M410" s="80">
        <f>IF($A410="","",K410+I410)</f>
        <v/>
      </c>
      <c r="N410" s="77">
        <f>IF($A410="","",SUMIFS($J$5:$J$800,$A$5:$A$800,"&gt;="&amp;DATE(YEAR($A410),MONTH($A410),1),$A$5:$A$800,"&lt;="&amp;$A410)+IF(AND(YEAR($A410)=YEAR(Settings!$B$3),MONTH($A410)=MONTH(Settings!$B$3)),Settings!$B$10,0))</f>
        <v/>
      </c>
      <c r="O410" s="78">
        <f>IF($A410="","",SUMIFS($K$5:$K$800,$A$5:$A$800,"&gt;="&amp;DATE(YEAR($A410),MONTH($A410),1),$A$5:$A$800,"&lt;="&amp;$A410)+IF(AND(YEAR($A410)=YEAR(Settings!$B$3),MONTH($A410)=MONTH(Settings!$B$3)),Settings!$B$11,0))</f>
        <v/>
      </c>
      <c r="P410" s="77">
        <f>IF($A410="","",SUMIFS($H$5:$H$800,$A$5:$A$800,"&gt;="&amp;DATE(YEAR($A410),MONTH($A410),1),$A$5:$A$800,"&lt;="&amp;$A410)+IF(AND(YEAR($A410)=YEAR(Settings!$B$3),MONTH($A410)=MONTH(Settings!$B$3)),Settings!$B$12,0))</f>
        <v/>
      </c>
      <c r="Q410" s="78">
        <f>IF($A410="","",SUMIFS($I$5:$I$800,$A$5:$A$800,"&gt;="&amp;DATE(YEAR($A410),MONTH($A410),1),$A$5:$A$800,"&lt;="&amp;$A410)+IF(AND(YEAR($A410)=YEAR(Settings!$B$3),MONTH($A410)=MONTH(Settings!$B$3)),Settings!$B$13,0))</f>
        <v/>
      </c>
      <c r="R410" s="77">
        <f>IF($A410="","",N410+P410)</f>
        <v/>
      </c>
      <c r="S410" s="78">
        <f>IF($A410="","",O410+Q410)</f>
        <v/>
      </c>
    </row>
    <row r="411">
      <c r="A411" s="67" t="n"/>
      <c r="B411" s="75" t="n"/>
      <c r="C411" s="76" t="n"/>
      <c r="D411" s="75" t="n"/>
      <c r="E411" s="76" t="n"/>
      <c r="F411" s="75" t="n"/>
      <c r="G411" s="76" t="n"/>
      <c r="H411" s="75" t="n"/>
      <c r="I411" s="76" t="n"/>
      <c r="J411" s="77">
        <f>IF($A411="","",B411+D411+F411)</f>
        <v/>
      </c>
      <c r="K411" s="78">
        <f>IF($A411="","",C411+E411+G411)</f>
        <v/>
      </c>
      <c r="L411" s="79">
        <f>IF($A411="","",J411+H411)</f>
        <v/>
      </c>
      <c r="M411" s="80">
        <f>IF($A411="","",K411+I411)</f>
        <v/>
      </c>
      <c r="N411" s="77">
        <f>IF($A411="","",SUMIFS($J$5:$J$800,$A$5:$A$800,"&gt;="&amp;DATE(YEAR($A411),MONTH($A411),1),$A$5:$A$800,"&lt;="&amp;$A411)+IF(AND(YEAR($A411)=YEAR(Settings!$B$3),MONTH($A411)=MONTH(Settings!$B$3)),Settings!$B$10,0))</f>
        <v/>
      </c>
      <c r="O411" s="78">
        <f>IF($A411="","",SUMIFS($K$5:$K$800,$A$5:$A$800,"&gt;="&amp;DATE(YEAR($A411),MONTH($A411),1),$A$5:$A$800,"&lt;="&amp;$A411)+IF(AND(YEAR($A411)=YEAR(Settings!$B$3),MONTH($A411)=MONTH(Settings!$B$3)),Settings!$B$11,0))</f>
        <v/>
      </c>
      <c r="P411" s="77">
        <f>IF($A411="","",SUMIFS($H$5:$H$800,$A$5:$A$800,"&gt;="&amp;DATE(YEAR($A411),MONTH($A411),1),$A$5:$A$800,"&lt;="&amp;$A411)+IF(AND(YEAR($A411)=YEAR(Settings!$B$3),MONTH($A411)=MONTH(Settings!$B$3)),Settings!$B$12,0))</f>
        <v/>
      </c>
      <c r="Q411" s="78">
        <f>IF($A411="","",SUMIFS($I$5:$I$800,$A$5:$A$800,"&gt;="&amp;DATE(YEAR($A411),MONTH($A411),1),$A$5:$A$800,"&lt;="&amp;$A411)+IF(AND(YEAR($A411)=YEAR(Settings!$B$3),MONTH($A411)=MONTH(Settings!$B$3)),Settings!$B$13,0))</f>
        <v/>
      </c>
      <c r="R411" s="77">
        <f>IF($A411="","",N411+P411)</f>
        <v/>
      </c>
      <c r="S411" s="78">
        <f>IF($A411="","",O411+Q411)</f>
        <v/>
      </c>
    </row>
    <row r="412">
      <c r="A412" s="67" t="n"/>
      <c r="B412" s="75" t="n"/>
      <c r="C412" s="76" t="n"/>
      <c r="D412" s="75" t="n"/>
      <c r="E412" s="76" t="n"/>
      <c r="F412" s="75" t="n"/>
      <c r="G412" s="76" t="n"/>
      <c r="H412" s="75" t="n"/>
      <c r="I412" s="76" t="n"/>
      <c r="J412" s="77">
        <f>IF($A412="","",B412+D412+F412)</f>
        <v/>
      </c>
      <c r="K412" s="78">
        <f>IF($A412="","",C412+E412+G412)</f>
        <v/>
      </c>
      <c r="L412" s="79">
        <f>IF($A412="","",J412+H412)</f>
        <v/>
      </c>
      <c r="M412" s="80">
        <f>IF($A412="","",K412+I412)</f>
        <v/>
      </c>
      <c r="N412" s="77">
        <f>IF($A412="","",SUMIFS($J$5:$J$800,$A$5:$A$800,"&gt;="&amp;DATE(YEAR($A412),MONTH($A412),1),$A$5:$A$800,"&lt;="&amp;$A412)+IF(AND(YEAR($A412)=YEAR(Settings!$B$3),MONTH($A412)=MONTH(Settings!$B$3)),Settings!$B$10,0))</f>
        <v/>
      </c>
      <c r="O412" s="78">
        <f>IF($A412="","",SUMIFS($K$5:$K$800,$A$5:$A$800,"&gt;="&amp;DATE(YEAR($A412),MONTH($A412),1),$A$5:$A$800,"&lt;="&amp;$A412)+IF(AND(YEAR($A412)=YEAR(Settings!$B$3),MONTH($A412)=MONTH(Settings!$B$3)),Settings!$B$11,0))</f>
        <v/>
      </c>
      <c r="P412" s="77">
        <f>IF($A412="","",SUMIFS($H$5:$H$800,$A$5:$A$800,"&gt;="&amp;DATE(YEAR($A412),MONTH($A412),1),$A$5:$A$800,"&lt;="&amp;$A412)+IF(AND(YEAR($A412)=YEAR(Settings!$B$3),MONTH($A412)=MONTH(Settings!$B$3)),Settings!$B$12,0))</f>
        <v/>
      </c>
      <c r="Q412" s="78">
        <f>IF($A412="","",SUMIFS($I$5:$I$800,$A$5:$A$800,"&gt;="&amp;DATE(YEAR($A412),MONTH($A412),1),$A$5:$A$800,"&lt;="&amp;$A412)+IF(AND(YEAR($A412)=YEAR(Settings!$B$3),MONTH($A412)=MONTH(Settings!$B$3)),Settings!$B$13,0))</f>
        <v/>
      </c>
      <c r="R412" s="77">
        <f>IF($A412="","",N412+P412)</f>
        <v/>
      </c>
      <c r="S412" s="78">
        <f>IF($A412="","",O412+Q412)</f>
        <v/>
      </c>
    </row>
    <row r="413">
      <c r="A413" s="67" t="n"/>
      <c r="B413" s="75" t="n"/>
      <c r="C413" s="76" t="n"/>
      <c r="D413" s="75" t="n"/>
      <c r="E413" s="76" t="n"/>
      <c r="F413" s="75" t="n"/>
      <c r="G413" s="76" t="n"/>
      <c r="H413" s="75" t="n"/>
      <c r="I413" s="76" t="n"/>
      <c r="J413" s="77">
        <f>IF($A413="","",B413+D413+F413)</f>
        <v/>
      </c>
      <c r="K413" s="78">
        <f>IF($A413="","",C413+E413+G413)</f>
        <v/>
      </c>
      <c r="L413" s="79">
        <f>IF($A413="","",J413+H413)</f>
        <v/>
      </c>
      <c r="M413" s="80">
        <f>IF($A413="","",K413+I413)</f>
        <v/>
      </c>
      <c r="N413" s="77">
        <f>IF($A413="","",SUMIFS($J$5:$J$800,$A$5:$A$800,"&gt;="&amp;DATE(YEAR($A413),MONTH($A413),1),$A$5:$A$800,"&lt;="&amp;$A413)+IF(AND(YEAR($A413)=YEAR(Settings!$B$3),MONTH($A413)=MONTH(Settings!$B$3)),Settings!$B$10,0))</f>
        <v/>
      </c>
      <c r="O413" s="78">
        <f>IF($A413="","",SUMIFS($K$5:$K$800,$A$5:$A$800,"&gt;="&amp;DATE(YEAR($A413),MONTH($A413),1),$A$5:$A$800,"&lt;="&amp;$A413)+IF(AND(YEAR($A413)=YEAR(Settings!$B$3),MONTH($A413)=MONTH(Settings!$B$3)),Settings!$B$11,0))</f>
        <v/>
      </c>
      <c r="P413" s="77">
        <f>IF($A413="","",SUMIFS($H$5:$H$800,$A$5:$A$800,"&gt;="&amp;DATE(YEAR($A413),MONTH($A413),1),$A$5:$A$800,"&lt;="&amp;$A413)+IF(AND(YEAR($A413)=YEAR(Settings!$B$3),MONTH($A413)=MONTH(Settings!$B$3)),Settings!$B$12,0))</f>
        <v/>
      </c>
      <c r="Q413" s="78">
        <f>IF($A413="","",SUMIFS($I$5:$I$800,$A$5:$A$800,"&gt;="&amp;DATE(YEAR($A413),MONTH($A413),1),$A$5:$A$800,"&lt;="&amp;$A413)+IF(AND(YEAR($A413)=YEAR(Settings!$B$3),MONTH($A413)=MONTH(Settings!$B$3)),Settings!$B$13,0))</f>
        <v/>
      </c>
      <c r="R413" s="77">
        <f>IF($A413="","",N413+P413)</f>
        <v/>
      </c>
      <c r="S413" s="78">
        <f>IF($A413="","",O413+Q413)</f>
        <v/>
      </c>
    </row>
    <row r="414">
      <c r="A414" s="67" t="n"/>
      <c r="B414" s="75" t="n"/>
      <c r="C414" s="76" t="n"/>
      <c r="D414" s="75" t="n"/>
      <c r="E414" s="76" t="n"/>
      <c r="F414" s="75" t="n"/>
      <c r="G414" s="76" t="n"/>
      <c r="H414" s="75" t="n"/>
      <c r="I414" s="76" t="n"/>
      <c r="J414" s="77">
        <f>IF($A414="","",B414+D414+F414)</f>
        <v/>
      </c>
      <c r="K414" s="78">
        <f>IF($A414="","",C414+E414+G414)</f>
        <v/>
      </c>
      <c r="L414" s="79">
        <f>IF($A414="","",J414+H414)</f>
        <v/>
      </c>
      <c r="M414" s="80">
        <f>IF($A414="","",K414+I414)</f>
        <v/>
      </c>
      <c r="N414" s="77">
        <f>IF($A414="","",SUMIFS($J$5:$J$800,$A$5:$A$800,"&gt;="&amp;DATE(YEAR($A414),MONTH($A414),1),$A$5:$A$800,"&lt;="&amp;$A414)+IF(AND(YEAR($A414)=YEAR(Settings!$B$3),MONTH($A414)=MONTH(Settings!$B$3)),Settings!$B$10,0))</f>
        <v/>
      </c>
      <c r="O414" s="78">
        <f>IF($A414="","",SUMIFS($K$5:$K$800,$A$5:$A$800,"&gt;="&amp;DATE(YEAR($A414),MONTH($A414),1),$A$5:$A$800,"&lt;="&amp;$A414)+IF(AND(YEAR($A414)=YEAR(Settings!$B$3),MONTH($A414)=MONTH(Settings!$B$3)),Settings!$B$11,0))</f>
        <v/>
      </c>
      <c r="P414" s="77">
        <f>IF($A414="","",SUMIFS($H$5:$H$800,$A$5:$A$800,"&gt;="&amp;DATE(YEAR($A414),MONTH($A414),1),$A$5:$A$800,"&lt;="&amp;$A414)+IF(AND(YEAR($A414)=YEAR(Settings!$B$3),MONTH($A414)=MONTH(Settings!$B$3)),Settings!$B$12,0))</f>
        <v/>
      </c>
      <c r="Q414" s="78">
        <f>IF($A414="","",SUMIFS($I$5:$I$800,$A$5:$A$800,"&gt;="&amp;DATE(YEAR($A414),MONTH($A414),1),$A$5:$A$800,"&lt;="&amp;$A414)+IF(AND(YEAR($A414)=YEAR(Settings!$B$3),MONTH($A414)=MONTH(Settings!$B$3)),Settings!$B$13,0))</f>
        <v/>
      </c>
      <c r="R414" s="77">
        <f>IF($A414="","",N414+P414)</f>
        <v/>
      </c>
      <c r="S414" s="78">
        <f>IF($A414="","",O414+Q414)</f>
        <v/>
      </c>
    </row>
    <row r="415">
      <c r="A415" s="67" t="n"/>
      <c r="B415" s="75" t="n"/>
      <c r="C415" s="76" t="n"/>
      <c r="D415" s="75" t="n"/>
      <c r="E415" s="76" t="n"/>
      <c r="F415" s="75" t="n"/>
      <c r="G415" s="76" t="n"/>
      <c r="H415" s="75" t="n"/>
      <c r="I415" s="76" t="n"/>
      <c r="J415" s="77">
        <f>IF($A415="","",B415+D415+F415)</f>
        <v/>
      </c>
      <c r="K415" s="78">
        <f>IF($A415="","",C415+E415+G415)</f>
        <v/>
      </c>
      <c r="L415" s="79">
        <f>IF($A415="","",J415+H415)</f>
        <v/>
      </c>
      <c r="M415" s="80">
        <f>IF($A415="","",K415+I415)</f>
        <v/>
      </c>
      <c r="N415" s="77">
        <f>IF($A415="","",SUMIFS($J$5:$J$800,$A$5:$A$800,"&gt;="&amp;DATE(YEAR($A415),MONTH($A415),1),$A$5:$A$800,"&lt;="&amp;$A415)+IF(AND(YEAR($A415)=YEAR(Settings!$B$3),MONTH($A415)=MONTH(Settings!$B$3)),Settings!$B$10,0))</f>
        <v/>
      </c>
      <c r="O415" s="78">
        <f>IF($A415="","",SUMIFS($K$5:$K$800,$A$5:$A$800,"&gt;="&amp;DATE(YEAR($A415),MONTH($A415),1),$A$5:$A$800,"&lt;="&amp;$A415)+IF(AND(YEAR($A415)=YEAR(Settings!$B$3),MONTH($A415)=MONTH(Settings!$B$3)),Settings!$B$11,0))</f>
        <v/>
      </c>
      <c r="P415" s="77">
        <f>IF($A415="","",SUMIFS($H$5:$H$800,$A$5:$A$800,"&gt;="&amp;DATE(YEAR($A415),MONTH($A415),1),$A$5:$A$800,"&lt;="&amp;$A415)+IF(AND(YEAR($A415)=YEAR(Settings!$B$3),MONTH($A415)=MONTH(Settings!$B$3)),Settings!$B$12,0))</f>
        <v/>
      </c>
      <c r="Q415" s="78">
        <f>IF($A415="","",SUMIFS($I$5:$I$800,$A$5:$A$800,"&gt;="&amp;DATE(YEAR($A415),MONTH($A415),1),$A$5:$A$800,"&lt;="&amp;$A415)+IF(AND(YEAR($A415)=YEAR(Settings!$B$3),MONTH($A415)=MONTH(Settings!$B$3)),Settings!$B$13,0))</f>
        <v/>
      </c>
      <c r="R415" s="77">
        <f>IF($A415="","",N415+P415)</f>
        <v/>
      </c>
      <c r="S415" s="78">
        <f>IF($A415="","",O415+Q415)</f>
        <v/>
      </c>
    </row>
    <row r="416">
      <c r="A416" s="67" t="n"/>
      <c r="B416" s="75" t="n"/>
      <c r="C416" s="76" t="n"/>
      <c r="D416" s="75" t="n"/>
      <c r="E416" s="76" t="n"/>
      <c r="F416" s="75" t="n"/>
      <c r="G416" s="76" t="n"/>
      <c r="H416" s="75" t="n"/>
      <c r="I416" s="76" t="n"/>
      <c r="J416" s="77">
        <f>IF($A416="","",B416+D416+F416)</f>
        <v/>
      </c>
      <c r="K416" s="78">
        <f>IF($A416="","",C416+E416+G416)</f>
        <v/>
      </c>
      <c r="L416" s="79">
        <f>IF($A416="","",J416+H416)</f>
        <v/>
      </c>
      <c r="M416" s="80">
        <f>IF($A416="","",K416+I416)</f>
        <v/>
      </c>
      <c r="N416" s="77">
        <f>IF($A416="","",SUMIFS($J$5:$J$800,$A$5:$A$800,"&gt;="&amp;DATE(YEAR($A416),MONTH($A416),1),$A$5:$A$800,"&lt;="&amp;$A416)+IF(AND(YEAR($A416)=YEAR(Settings!$B$3),MONTH($A416)=MONTH(Settings!$B$3)),Settings!$B$10,0))</f>
        <v/>
      </c>
      <c r="O416" s="78">
        <f>IF($A416="","",SUMIFS($K$5:$K$800,$A$5:$A$800,"&gt;="&amp;DATE(YEAR($A416),MONTH($A416),1),$A$5:$A$800,"&lt;="&amp;$A416)+IF(AND(YEAR($A416)=YEAR(Settings!$B$3),MONTH($A416)=MONTH(Settings!$B$3)),Settings!$B$11,0))</f>
        <v/>
      </c>
      <c r="P416" s="77">
        <f>IF($A416="","",SUMIFS($H$5:$H$800,$A$5:$A$800,"&gt;="&amp;DATE(YEAR($A416),MONTH($A416),1),$A$5:$A$800,"&lt;="&amp;$A416)+IF(AND(YEAR($A416)=YEAR(Settings!$B$3),MONTH($A416)=MONTH(Settings!$B$3)),Settings!$B$12,0))</f>
        <v/>
      </c>
      <c r="Q416" s="78">
        <f>IF($A416="","",SUMIFS($I$5:$I$800,$A$5:$A$800,"&gt;="&amp;DATE(YEAR($A416),MONTH($A416),1),$A$5:$A$800,"&lt;="&amp;$A416)+IF(AND(YEAR($A416)=YEAR(Settings!$B$3),MONTH($A416)=MONTH(Settings!$B$3)),Settings!$B$13,0))</f>
        <v/>
      </c>
      <c r="R416" s="77">
        <f>IF($A416="","",N416+P416)</f>
        <v/>
      </c>
      <c r="S416" s="78">
        <f>IF($A416="","",O416+Q416)</f>
        <v/>
      </c>
    </row>
    <row r="417">
      <c r="A417" s="67" t="n"/>
      <c r="B417" s="75" t="n"/>
      <c r="C417" s="76" t="n"/>
      <c r="D417" s="75" t="n"/>
      <c r="E417" s="76" t="n"/>
      <c r="F417" s="75" t="n"/>
      <c r="G417" s="76" t="n"/>
      <c r="H417" s="75" t="n"/>
      <c r="I417" s="76" t="n"/>
      <c r="J417" s="77">
        <f>IF($A417="","",B417+D417+F417)</f>
        <v/>
      </c>
      <c r="K417" s="78">
        <f>IF($A417="","",C417+E417+G417)</f>
        <v/>
      </c>
      <c r="L417" s="79">
        <f>IF($A417="","",J417+H417)</f>
        <v/>
      </c>
      <c r="M417" s="80">
        <f>IF($A417="","",K417+I417)</f>
        <v/>
      </c>
      <c r="N417" s="77">
        <f>IF($A417="","",SUMIFS($J$5:$J$800,$A$5:$A$800,"&gt;="&amp;DATE(YEAR($A417),MONTH($A417),1),$A$5:$A$800,"&lt;="&amp;$A417)+IF(AND(YEAR($A417)=YEAR(Settings!$B$3),MONTH($A417)=MONTH(Settings!$B$3)),Settings!$B$10,0))</f>
        <v/>
      </c>
      <c r="O417" s="78">
        <f>IF($A417="","",SUMIFS($K$5:$K$800,$A$5:$A$800,"&gt;="&amp;DATE(YEAR($A417),MONTH($A417),1),$A$5:$A$800,"&lt;="&amp;$A417)+IF(AND(YEAR($A417)=YEAR(Settings!$B$3),MONTH($A417)=MONTH(Settings!$B$3)),Settings!$B$11,0))</f>
        <v/>
      </c>
      <c r="P417" s="77">
        <f>IF($A417="","",SUMIFS($H$5:$H$800,$A$5:$A$800,"&gt;="&amp;DATE(YEAR($A417),MONTH($A417),1),$A$5:$A$800,"&lt;="&amp;$A417)+IF(AND(YEAR($A417)=YEAR(Settings!$B$3),MONTH($A417)=MONTH(Settings!$B$3)),Settings!$B$12,0))</f>
        <v/>
      </c>
      <c r="Q417" s="78">
        <f>IF($A417="","",SUMIFS($I$5:$I$800,$A$5:$A$800,"&gt;="&amp;DATE(YEAR($A417),MONTH($A417),1),$A$5:$A$800,"&lt;="&amp;$A417)+IF(AND(YEAR($A417)=YEAR(Settings!$B$3),MONTH($A417)=MONTH(Settings!$B$3)),Settings!$B$13,0))</f>
        <v/>
      </c>
      <c r="R417" s="77">
        <f>IF($A417="","",N417+P417)</f>
        <v/>
      </c>
      <c r="S417" s="78">
        <f>IF($A417="","",O417+Q417)</f>
        <v/>
      </c>
    </row>
    <row r="418">
      <c r="A418" s="67" t="n"/>
      <c r="B418" s="75" t="n"/>
      <c r="C418" s="76" t="n"/>
      <c r="D418" s="75" t="n"/>
      <c r="E418" s="76" t="n"/>
      <c r="F418" s="75" t="n"/>
      <c r="G418" s="76" t="n"/>
      <c r="H418" s="75" t="n"/>
      <c r="I418" s="76" t="n"/>
      <c r="J418" s="77">
        <f>IF($A418="","",B418+D418+F418)</f>
        <v/>
      </c>
      <c r="K418" s="78">
        <f>IF($A418="","",C418+E418+G418)</f>
        <v/>
      </c>
      <c r="L418" s="79">
        <f>IF($A418="","",J418+H418)</f>
        <v/>
      </c>
      <c r="M418" s="80">
        <f>IF($A418="","",K418+I418)</f>
        <v/>
      </c>
      <c r="N418" s="77">
        <f>IF($A418="","",SUMIFS($J$5:$J$800,$A$5:$A$800,"&gt;="&amp;DATE(YEAR($A418),MONTH($A418),1),$A$5:$A$800,"&lt;="&amp;$A418)+IF(AND(YEAR($A418)=YEAR(Settings!$B$3),MONTH($A418)=MONTH(Settings!$B$3)),Settings!$B$10,0))</f>
        <v/>
      </c>
      <c r="O418" s="78">
        <f>IF($A418="","",SUMIFS($K$5:$K$800,$A$5:$A$800,"&gt;="&amp;DATE(YEAR($A418),MONTH($A418),1),$A$5:$A$800,"&lt;="&amp;$A418)+IF(AND(YEAR($A418)=YEAR(Settings!$B$3),MONTH($A418)=MONTH(Settings!$B$3)),Settings!$B$11,0))</f>
        <v/>
      </c>
      <c r="P418" s="77">
        <f>IF($A418="","",SUMIFS($H$5:$H$800,$A$5:$A$800,"&gt;="&amp;DATE(YEAR($A418),MONTH($A418),1),$A$5:$A$800,"&lt;="&amp;$A418)+IF(AND(YEAR($A418)=YEAR(Settings!$B$3),MONTH($A418)=MONTH(Settings!$B$3)),Settings!$B$12,0))</f>
        <v/>
      </c>
      <c r="Q418" s="78">
        <f>IF($A418="","",SUMIFS($I$5:$I$800,$A$5:$A$800,"&gt;="&amp;DATE(YEAR($A418),MONTH($A418),1),$A$5:$A$800,"&lt;="&amp;$A418)+IF(AND(YEAR($A418)=YEAR(Settings!$B$3),MONTH($A418)=MONTH(Settings!$B$3)),Settings!$B$13,0))</f>
        <v/>
      </c>
      <c r="R418" s="77">
        <f>IF($A418="","",N418+P418)</f>
        <v/>
      </c>
      <c r="S418" s="78">
        <f>IF($A418="","",O418+Q418)</f>
        <v/>
      </c>
    </row>
    <row r="419">
      <c r="A419" s="67" t="n"/>
      <c r="B419" s="75" t="n"/>
      <c r="C419" s="76" t="n"/>
      <c r="D419" s="75" t="n"/>
      <c r="E419" s="76" t="n"/>
      <c r="F419" s="75" t="n"/>
      <c r="G419" s="76" t="n"/>
      <c r="H419" s="75" t="n"/>
      <c r="I419" s="76" t="n"/>
      <c r="J419" s="77">
        <f>IF($A419="","",B419+D419+F419)</f>
        <v/>
      </c>
      <c r="K419" s="78">
        <f>IF($A419="","",C419+E419+G419)</f>
        <v/>
      </c>
      <c r="L419" s="79">
        <f>IF($A419="","",J419+H419)</f>
        <v/>
      </c>
      <c r="M419" s="80">
        <f>IF($A419="","",K419+I419)</f>
        <v/>
      </c>
      <c r="N419" s="77">
        <f>IF($A419="","",SUMIFS($J$5:$J$800,$A$5:$A$800,"&gt;="&amp;DATE(YEAR($A419),MONTH($A419),1),$A$5:$A$800,"&lt;="&amp;$A419)+IF(AND(YEAR($A419)=YEAR(Settings!$B$3),MONTH($A419)=MONTH(Settings!$B$3)),Settings!$B$10,0))</f>
        <v/>
      </c>
      <c r="O419" s="78">
        <f>IF($A419="","",SUMIFS($K$5:$K$800,$A$5:$A$800,"&gt;="&amp;DATE(YEAR($A419),MONTH($A419),1),$A$5:$A$800,"&lt;="&amp;$A419)+IF(AND(YEAR($A419)=YEAR(Settings!$B$3),MONTH($A419)=MONTH(Settings!$B$3)),Settings!$B$11,0))</f>
        <v/>
      </c>
      <c r="P419" s="77">
        <f>IF($A419="","",SUMIFS($H$5:$H$800,$A$5:$A$800,"&gt;="&amp;DATE(YEAR($A419),MONTH($A419),1),$A$5:$A$800,"&lt;="&amp;$A419)+IF(AND(YEAR($A419)=YEAR(Settings!$B$3),MONTH($A419)=MONTH(Settings!$B$3)),Settings!$B$12,0))</f>
        <v/>
      </c>
      <c r="Q419" s="78">
        <f>IF($A419="","",SUMIFS($I$5:$I$800,$A$5:$A$800,"&gt;="&amp;DATE(YEAR($A419),MONTH($A419),1),$A$5:$A$800,"&lt;="&amp;$A419)+IF(AND(YEAR($A419)=YEAR(Settings!$B$3),MONTH($A419)=MONTH(Settings!$B$3)),Settings!$B$13,0))</f>
        <v/>
      </c>
      <c r="R419" s="77">
        <f>IF($A419="","",N419+P419)</f>
        <v/>
      </c>
      <c r="S419" s="78">
        <f>IF($A419="","",O419+Q419)</f>
        <v/>
      </c>
    </row>
    <row r="420">
      <c r="A420" s="67" t="n"/>
      <c r="B420" s="75" t="n"/>
      <c r="C420" s="76" t="n"/>
      <c r="D420" s="75" t="n"/>
      <c r="E420" s="76" t="n"/>
      <c r="F420" s="75" t="n"/>
      <c r="G420" s="76" t="n"/>
      <c r="H420" s="75" t="n"/>
      <c r="I420" s="76" t="n"/>
      <c r="J420" s="77">
        <f>IF($A420="","",B420+D420+F420)</f>
        <v/>
      </c>
      <c r="K420" s="78">
        <f>IF($A420="","",C420+E420+G420)</f>
        <v/>
      </c>
      <c r="L420" s="79">
        <f>IF($A420="","",J420+H420)</f>
        <v/>
      </c>
      <c r="M420" s="80">
        <f>IF($A420="","",K420+I420)</f>
        <v/>
      </c>
      <c r="N420" s="77">
        <f>IF($A420="","",SUMIFS($J$5:$J$800,$A$5:$A$800,"&gt;="&amp;DATE(YEAR($A420),MONTH($A420),1),$A$5:$A$800,"&lt;="&amp;$A420)+IF(AND(YEAR($A420)=YEAR(Settings!$B$3),MONTH($A420)=MONTH(Settings!$B$3)),Settings!$B$10,0))</f>
        <v/>
      </c>
      <c r="O420" s="78">
        <f>IF($A420="","",SUMIFS($K$5:$K$800,$A$5:$A$800,"&gt;="&amp;DATE(YEAR($A420),MONTH($A420),1),$A$5:$A$800,"&lt;="&amp;$A420)+IF(AND(YEAR($A420)=YEAR(Settings!$B$3),MONTH($A420)=MONTH(Settings!$B$3)),Settings!$B$11,0))</f>
        <v/>
      </c>
      <c r="P420" s="77">
        <f>IF($A420="","",SUMIFS($H$5:$H$800,$A$5:$A$800,"&gt;="&amp;DATE(YEAR($A420),MONTH($A420),1),$A$5:$A$800,"&lt;="&amp;$A420)+IF(AND(YEAR($A420)=YEAR(Settings!$B$3),MONTH($A420)=MONTH(Settings!$B$3)),Settings!$B$12,0))</f>
        <v/>
      </c>
      <c r="Q420" s="78">
        <f>IF($A420="","",SUMIFS($I$5:$I$800,$A$5:$A$800,"&gt;="&amp;DATE(YEAR($A420),MONTH($A420),1),$A$5:$A$800,"&lt;="&amp;$A420)+IF(AND(YEAR($A420)=YEAR(Settings!$B$3),MONTH($A420)=MONTH(Settings!$B$3)),Settings!$B$13,0))</f>
        <v/>
      </c>
      <c r="R420" s="77">
        <f>IF($A420="","",N420+P420)</f>
        <v/>
      </c>
      <c r="S420" s="78">
        <f>IF($A420="","",O420+Q420)</f>
        <v/>
      </c>
    </row>
    <row r="421">
      <c r="A421" s="67" t="n"/>
      <c r="B421" s="75" t="n"/>
      <c r="C421" s="76" t="n"/>
      <c r="D421" s="75" t="n"/>
      <c r="E421" s="76" t="n"/>
      <c r="F421" s="75" t="n"/>
      <c r="G421" s="76" t="n"/>
      <c r="H421" s="75" t="n"/>
      <c r="I421" s="76" t="n"/>
      <c r="J421" s="77">
        <f>IF($A421="","",B421+D421+F421)</f>
        <v/>
      </c>
      <c r="K421" s="78">
        <f>IF($A421="","",C421+E421+G421)</f>
        <v/>
      </c>
      <c r="L421" s="79">
        <f>IF($A421="","",J421+H421)</f>
        <v/>
      </c>
      <c r="M421" s="80">
        <f>IF($A421="","",K421+I421)</f>
        <v/>
      </c>
      <c r="N421" s="77">
        <f>IF($A421="","",SUMIFS($J$5:$J$800,$A$5:$A$800,"&gt;="&amp;DATE(YEAR($A421),MONTH($A421),1),$A$5:$A$800,"&lt;="&amp;$A421)+IF(AND(YEAR($A421)=YEAR(Settings!$B$3),MONTH($A421)=MONTH(Settings!$B$3)),Settings!$B$10,0))</f>
        <v/>
      </c>
      <c r="O421" s="78">
        <f>IF($A421="","",SUMIFS($K$5:$K$800,$A$5:$A$800,"&gt;="&amp;DATE(YEAR($A421),MONTH($A421),1),$A$5:$A$800,"&lt;="&amp;$A421)+IF(AND(YEAR($A421)=YEAR(Settings!$B$3),MONTH($A421)=MONTH(Settings!$B$3)),Settings!$B$11,0))</f>
        <v/>
      </c>
      <c r="P421" s="77">
        <f>IF($A421="","",SUMIFS($H$5:$H$800,$A$5:$A$800,"&gt;="&amp;DATE(YEAR($A421),MONTH($A421),1),$A$5:$A$800,"&lt;="&amp;$A421)+IF(AND(YEAR($A421)=YEAR(Settings!$B$3),MONTH($A421)=MONTH(Settings!$B$3)),Settings!$B$12,0))</f>
        <v/>
      </c>
      <c r="Q421" s="78">
        <f>IF($A421="","",SUMIFS($I$5:$I$800,$A$5:$A$800,"&gt;="&amp;DATE(YEAR($A421),MONTH($A421),1),$A$5:$A$800,"&lt;="&amp;$A421)+IF(AND(YEAR($A421)=YEAR(Settings!$B$3),MONTH($A421)=MONTH(Settings!$B$3)),Settings!$B$13,0))</f>
        <v/>
      </c>
      <c r="R421" s="77">
        <f>IF($A421="","",N421+P421)</f>
        <v/>
      </c>
      <c r="S421" s="78">
        <f>IF($A421="","",O421+Q421)</f>
        <v/>
      </c>
    </row>
    <row r="422">
      <c r="A422" s="67" t="n"/>
      <c r="B422" s="75" t="n"/>
      <c r="C422" s="76" t="n"/>
      <c r="D422" s="75" t="n"/>
      <c r="E422" s="76" t="n"/>
      <c r="F422" s="75" t="n"/>
      <c r="G422" s="76" t="n"/>
      <c r="H422" s="75" t="n"/>
      <c r="I422" s="76" t="n"/>
      <c r="J422" s="77">
        <f>IF($A422="","",B422+D422+F422)</f>
        <v/>
      </c>
      <c r="K422" s="78">
        <f>IF($A422="","",C422+E422+G422)</f>
        <v/>
      </c>
      <c r="L422" s="79">
        <f>IF($A422="","",J422+H422)</f>
        <v/>
      </c>
      <c r="M422" s="80">
        <f>IF($A422="","",K422+I422)</f>
        <v/>
      </c>
      <c r="N422" s="77">
        <f>IF($A422="","",SUMIFS($J$5:$J$800,$A$5:$A$800,"&gt;="&amp;DATE(YEAR($A422),MONTH($A422),1),$A$5:$A$800,"&lt;="&amp;$A422)+IF(AND(YEAR($A422)=YEAR(Settings!$B$3),MONTH($A422)=MONTH(Settings!$B$3)),Settings!$B$10,0))</f>
        <v/>
      </c>
      <c r="O422" s="78">
        <f>IF($A422="","",SUMIFS($K$5:$K$800,$A$5:$A$800,"&gt;="&amp;DATE(YEAR($A422),MONTH($A422),1),$A$5:$A$800,"&lt;="&amp;$A422)+IF(AND(YEAR($A422)=YEAR(Settings!$B$3),MONTH($A422)=MONTH(Settings!$B$3)),Settings!$B$11,0))</f>
        <v/>
      </c>
      <c r="P422" s="77">
        <f>IF($A422="","",SUMIFS($H$5:$H$800,$A$5:$A$800,"&gt;="&amp;DATE(YEAR($A422),MONTH($A422),1),$A$5:$A$800,"&lt;="&amp;$A422)+IF(AND(YEAR($A422)=YEAR(Settings!$B$3),MONTH($A422)=MONTH(Settings!$B$3)),Settings!$B$12,0))</f>
        <v/>
      </c>
      <c r="Q422" s="78">
        <f>IF($A422="","",SUMIFS($I$5:$I$800,$A$5:$A$800,"&gt;="&amp;DATE(YEAR($A422),MONTH($A422),1),$A$5:$A$800,"&lt;="&amp;$A422)+IF(AND(YEAR($A422)=YEAR(Settings!$B$3),MONTH($A422)=MONTH(Settings!$B$3)),Settings!$B$13,0))</f>
        <v/>
      </c>
      <c r="R422" s="77">
        <f>IF($A422="","",N422+P422)</f>
        <v/>
      </c>
      <c r="S422" s="78">
        <f>IF($A422="","",O422+Q422)</f>
        <v/>
      </c>
    </row>
    <row r="423">
      <c r="A423" s="67" t="n"/>
      <c r="B423" s="75" t="n"/>
      <c r="C423" s="76" t="n"/>
      <c r="D423" s="75" t="n"/>
      <c r="E423" s="76" t="n"/>
      <c r="F423" s="75" t="n"/>
      <c r="G423" s="76" t="n"/>
      <c r="H423" s="75" t="n"/>
      <c r="I423" s="76" t="n"/>
      <c r="J423" s="77">
        <f>IF($A423="","",B423+D423+F423)</f>
        <v/>
      </c>
      <c r="K423" s="78">
        <f>IF($A423="","",C423+E423+G423)</f>
        <v/>
      </c>
      <c r="L423" s="79">
        <f>IF($A423="","",J423+H423)</f>
        <v/>
      </c>
      <c r="M423" s="80">
        <f>IF($A423="","",K423+I423)</f>
        <v/>
      </c>
      <c r="N423" s="77">
        <f>IF($A423="","",SUMIFS($J$5:$J$800,$A$5:$A$800,"&gt;="&amp;DATE(YEAR($A423),MONTH($A423),1),$A$5:$A$800,"&lt;="&amp;$A423)+IF(AND(YEAR($A423)=YEAR(Settings!$B$3),MONTH($A423)=MONTH(Settings!$B$3)),Settings!$B$10,0))</f>
        <v/>
      </c>
      <c r="O423" s="78">
        <f>IF($A423="","",SUMIFS($K$5:$K$800,$A$5:$A$800,"&gt;="&amp;DATE(YEAR($A423),MONTH($A423),1),$A$5:$A$800,"&lt;="&amp;$A423)+IF(AND(YEAR($A423)=YEAR(Settings!$B$3),MONTH($A423)=MONTH(Settings!$B$3)),Settings!$B$11,0))</f>
        <v/>
      </c>
      <c r="P423" s="77">
        <f>IF($A423="","",SUMIFS($H$5:$H$800,$A$5:$A$800,"&gt;="&amp;DATE(YEAR($A423),MONTH($A423),1),$A$5:$A$800,"&lt;="&amp;$A423)+IF(AND(YEAR($A423)=YEAR(Settings!$B$3),MONTH($A423)=MONTH(Settings!$B$3)),Settings!$B$12,0))</f>
        <v/>
      </c>
      <c r="Q423" s="78">
        <f>IF($A423="","",SUMIFS($I$5:$I$800,$A$5:$A$800,"&gt;="&amp;DATE(YEAR($A423),MONTH($A423),1),$A$5:$A$800,"&lt;="&amp;$A423)+IF(AND(YEAR($A423)=YEAR(Settings!$B$3),MONTH($A423)=MONTH(Settings!$B$3)),Settings!$B$13,0))</f>
        <v/>
      </c>
      <c r="R423" s="77">
        <f>IF($A423="","",N423+P423)</f>
        <v/>
      </c>
      <c r="S423" s="78">
        <f>IF($A423="","",O423+Q423)</f>
        <v/>
      </c>
    </row>
    <row r="424">
      <c r="A424" s="67" t="n"/>
      <c r="B424" s="75" t="n"/>
      <c r="C424" s="76" t="n"/>
      <c r="D424" s="75" t="n"/>
      <c r="E424" s="76" t="n"/>
      <c r="F424" s="75" t="n"/>
      <c r="G424" s="76" t="n"/>
      <c r="H424" s="75" t="n"/>
      <c r="I424" s="76" t="n"/>
      <c r="J424" s="77">
        <f>IF($A424="","",B424+D424+F424)</f>
        <v/>
      </c>
      <c r="K424" s="78">
        <f>IF($A424="","",C424+E424+G424)</f>
        <v/>
      </c>
      <c r="L424" s="79">
        <f>IF($A424="","",J424+H424)</f>
        <v/>
      </c>
      <c r="M424" s="80">
        <f>IF($A424="","",K424+I424)</f>
        <v/>
      </c>
      <c r="N424" s="77">
        <f>IF($A424="","",SUMIFS($J$5:$J$800,$A$5:$A$800,"&gt;="&amp;DATE(YEAR($A424),MONTH($A424),1),$A$5:$A$800,"&lt;="&amp;$A424)+IF(AND(YEAR($A424)=YEAR(Settings!$B$3),MONTH($A424)=MONTH(Settings!$B$3)),Settings!$B$10,0))</f>
        <v/>
      </c>
      <c r="O424" s="78">
        <f>IF($A424="","",SUMIFS($K$5:$K$800,$A$5:$A$800,"&gt;="&amp;DATE(YEAR($A424),MONTH($A424),1),$A$5:$A$800,"&lt;="&amp;$A424)+IF(AND(YEAR($A424)=YEAR(Settings!$B$3),MONTH($A424)=MONTH(Settings!$B$3)),Settings!$B$11,0))</f>
        <v/>
      </c>
      <c r="P424" s="77">
        <f>IF($A424="","",SUMIFS($H$5:$H$800,$A$5:$A$800,"&gt;="&amp;DATE(YEAR($A424),MONTH($A424),1),$A$5:$A$800,"&lt;="&amp;$A424)+IF(AND(YEAR($A424)=YEAR(Settings!$B$3),MONTH($A424)=MONTH(Settings!$B$3)),Settings!$B$12,0))</f>
        <v/>
      </c>
      <c r="Q424" s="78">
        <f>IF($A424="","",SUMIFS($I$5:$I$800,$A$5:$A$800,"&gt;="&amp;DATE(YEAR($A424),MONTH($A424),1),$A$5:$A$800,"&lt;="&amp;$A424)+IF(AND(YEAR($A424)=YEAR(Settings!$B$3),MONTH($A424)=MONTH(Settings!$B$3)),Settings!$B$13,0))</f>
        <v/>
      </c>
      <c r="R424" s="77">
        <f>IF($A424="","",N424+P424)</f>
        <v/>
      </c>
      <c r="S424" s="78">
        <f>IF($A424="","",O424+Q424)</f>
        <v/>
      </c>
    </row>
    <row r="425">
      <c r="A425" s="67" t="n"/>
      <c r="B425" s="75" t="n"/>
      <c r="C425" s="76" t="n"/>
      <c r="D425" s="75" t="n"/>
      <c r="E425" s="76" t="n"/>
      <c r="F425" s="75" t="n"/>
      <c r="G425" s="76" t="n"/>
      <c r="H425" s="75" t="n"/>
      <c r="I425" s="76" t="n"/>
      <c r="J425" s="77">
        <f>IF($A425="","",B425+D425+F425)</f>
        <v/>
      </c>
      <c r="K425" s="78">
        <f>IF($A425="","",C425+E425+G425)</f>
        <v/>
      </c>
      <c r="L425" s="79">
        <f>IF($A425="","",J425+H425)</f>
        <v/>
      </c>
      <c r="M425" s="80">
        <f>IF($A425="","",K425+I425)</f>
        <v/>
      </c>
      <c r="N425" s="77">
        <f>IF($A425="","",SUMIFS($J$5:$J$800,$A$5:$A$800,"&gt;="&amp;DATE(YEAR($A425),MONTH($A425),1),$A$5:$A$800,"&lt;="&amp;$A425)+IF(AND(YEAR($A425)=YEAR(Settings!$B$3),MONTH($A425)=MONTH(Settings!$B$3)),Settings!$B$10,0))</f>
        <v/>
      </c>
      <c r="O425" s="78">
        <f>IF($A425="","",SUMIFS($K$5:$K$800,$A$5:$A$800,"&gt;="&amp;DATE(YEAR($A425),MONTH($A425),1),$A$5:$A$800,"&lt;="&amp;$A425)+IF(AND(YEAR($A425)=YEAR(Settings!$B$3),MONTH($A425)=MONTH(Settings!$B$3)),Settings!$B$11,0))</f>
        <v/>
      </c>
      <c r="P425" s="77">
        <f>IF($A425="","",SUMIFS($H$5:$H$800,$A$5:$A$800,"&gt;="&amp;DATE(YEAR($A425),MONTH($A425),1),$A$5:$A$800,"&lt;="&amp;$A425)+IF(AND(YEAR($A425)=YEAR(Settings!$B$3),MONTH($A425)=MONTH(Settings!$B$3)),Settings!$B$12,0))</f>
        <v/>
      </c>
      <c r="Q425" s="78">
        <f>IF($A425="","",SUMIFS($I$5:$I$800,$A$5:$A$800,"&gt;="&amp;DATE(YEAR($A425),MONTH($A425),1),$A$5:$A$800,"&lt;="&amp;$A425)+IF(AND(YEAR($A425)=YEAR(Settings!$B$3),MONTH($A425)=MONTH(Settings!$B$3)),Settings!$B$13,0))</f>
        <v/>
      </c>
      <c r="R425" s="77">
        <f>IF($A425="","",N425+P425)</f>
        <v/>
      </c>
      <c r="S425" s="78">
        <f>IF($A425="","",O425+Q425)</f>
        <v/>
      </c>
    </row>
    <row r="426">
      <c r="A426" s="67" t="n"/>
      <c r="B426" s="75" t="n"/>
      <c r="C426" s="76" t="n"/>
      <c r="D426" s="75" t="n"/>
      <c r="E426" s="76" t="n"/>
      <c r="F426" s="75" t="n"/>
      <c r="G426" s="76" t="n"/>
      <c r="H426" s="75" t="n"/>
      <c r="I426" s="76" t="n"/>
      <c r="J426" s="77">
        <f>IF($A426="","",B426+D426+F426)</f>
        <v/>
      </c>
      <c r="K426" s="78">
        <f>IF($A426="","",C426+E426+G426)</f>
        <v/>
      </c>
      <c r="L426" s="79">
        <f>IF($A426="","",J426+H426)</f>
        <v/>
      </c>
      <c r="M426" s="80">
        <f>IF($A426="","",K426+I426)</f>
        <v/>
      </c>
      <c r="N426" s="77">
        <f>IF($A426="","",SUMIFS($J$5:$J$800,$A$5:$A$800,"&gt;="&amp;DATE(YEAR($A426),MONTH($A426),1),$A$5:$A$800,"&lt;="&amp;$A426)+IF(AND(YEAR($A426)=YEAR(Settings!$B$3),MONTH($A426)=MONTH(Settings!$B$3)),Settings!$B$10,0))</f>
        <v/>
      </c>
      <c r="O426" s="78">
        <f>IF($A426="","",SUMIFS($K$5:$K$800,$A$5:$A$800,"&gt;="&amp;DATE(YEAR($A426),MONTH($A426),1),$A$5:$A$800,"&lt;="&amp;$A426)+IF(AND(YEAR($A426)=YEAR(Settings!$B$3),MONTH($A426)=MONTH(Settings!$B$3)),Settings!$B$11,0))</f>
        <v/>
      </c>
      <c r="P426" s="77">
        <f>IF($A426="","",SUMIFS($H$5:$H$800,$A$5:$A$800,"&gt;="&amp;DATE(YEAR($A426),MONTH($A426),1),$A$5:$A$800,"&lt;="&amp;$A426)+IF(AND(YEAR($A426)=YEAR(Settings!$B$3),MONTH($A426)=MONTH(Settings!$B$3)),Settings!$B$12,0))</f>
        <v/>
      </c>
      <c r="Q426" s="78">
        <f>IF($A426="","",SUMIFS($I$5:$I$800,$A$5:$A$800,"&gt;="&amp;DATE(YEAR($A426),MONTH($A426),1),$A$5:$A$800,"&lt;="&amp;$A426)+IF(AND(YEAR($A426)=YEAR(Settings!$B$3),MONTH($A426)=MONTH(Settings!$B$3)),Settings!$B$13,0))</f>
        <v/>
      </c>
      <c r="R426" s="77">
        <f>IF($A426="","",N426+P426)</f>
        <v/>
      </c>
      <c r="S426" s="78">
        <f>IF($A426="","",O426+Q426)</f>
        <v/>
      </c>
    </row>
    <row r="427">
      <c r="A427" s="67" t="n"/>
      <c r="B427" s="75" t="n"/>
      <c r="C427" s="76" t="n"/>
      <c r="D427" s="75" t="n"/>
      <c r="E427" s="76" t="n"/>
      <c r="F427" s="75" t="n"/>
      <c r="G427" s="76" t="n"/>
      <c r="H427" s="75" t="n"/>
      <c r="I427" s="76" t="n"/>
      <c r="J427" s="77">
        <f>IF($A427="","",B427+D427+F427)</f>
        <v/>
      </c>
      <c r="K427" s="78">
        <f>IF($A427="","",C427+E427+G427)</f>
        <v/>
      </c>
      <c r="L427" s="79">
        <f>IF($A427="","",J427+H427)</f>
        <v/>
      </c>
      <c r="M427" s="80">
        <f>IF($A427="","",K427+I427)</f>
        <v/>
      </c>
      <c r="N427" s="77">
        <f>IF($A427="","",SUMIFS($J$5:$J$800,$A$5:$A$800,"&gt;="&amp;DATE(YEAR($A427),MONTH($A427),1),$A$5:$A$800,"&lt;="&amp;$A427)+IF(AND(YEAR($A427)=YEAR(Settings!$B$3),MONTH($A427)=MONTH(Settings!$B$3)),Settings!$B$10,0))</f>
        <v/>
      </c>
      <c r="O427" s="78">
        <f>IF($A427="","",SUMIFS($K$5:$K$800,$A$5:$A$800,"&gt;="&amp;DATE(YEAR($A427),MONTH($A427),1),$A$5:$A$800,"&lt;="&amp;$A427)+IF(AND(YEAR($A427)=YEAR(Settings!$B$3),MONTH($A427)=MONTH(Settings!$B$3)),Settings!$B$11,0))</f>
        <v/>
      </c>
      <c r="P427" s="77">
        <f>IF($A427="","",SUMIFS($H$5:$H$800,$A$5:$A$800,"&gt;="&amp;DATE(YEAR($A427),MONTH($A427),1),$A$5:$A$800,"&lt;="&amp;$A427)+IF(AND(YEAR($A427)=YEAR(Settings!$B$3),MONTH($A427)=MONTH(Settings!$B$3)),Settings!$B$12,0))</f>
        <v/>
      </c>
      <c r="Q427" s="78">
        <f>IF($A427="","",SUMIFS($I$5:$I$800,$A$5:$A$800,"&gt;="&amp;DATE(YEAR($A427),MONTH($A427),1),$A$5:$A$800,"&lt;="&amp;$A427)+IF(AND(YEAR($A427)=YEAR(Settings!$B$3),MONTH($A427)=MONTH(Settings!$B$3)),Settings!$B$13,0))</f>
        <v/>
      </c>
      <c r="R427" s="77">
        <f>IF($A427="","",N427+P427)</f>
        <v/>
      </c>
      <c r="S427" s="78">
        <f>IF($A427="","",O427+Q427)</f>
        <v/>
      </c>
    </row>
    <row r="428">
      <c r="A428" s="67" t="n"/>
      <c r="B428" s="75" t="n"/>
      <c r="C428" s="76" t="n"/>
      <c r="D428" s="75" t="n"/>
      <c r="E428" s="76" t="n"/>
      <c r="F428" s="75" t="n"/>
      <c r="G428" s="76" t="n"/>
      <c r="H428" s="75" t="n"/>
      <c r="I428" s="76" t="n"/>
      <c r="J428" s="77">
        <f>IF($A428="","",B428+D428+F428)</f>
        <v/>
      </c>
      <c r="K428" s="78">
        <f>IF($A428="","",C428+E428+G428)</f>
        <v/>
      </c>
      <c r="L428" s="79">
        <f>IF($A428="","",J428+H428)</f>
        <v/>
      </c>
      <c r="M428" s="80">
        <f>IF($A428="","",K428+I428)</f>
        <v/>
      </c>
      <c r="N428" s="77">
        <f>IF($A428="","",SUMIFS($J$5:$J$800,$A$5:$A$800,"&gt;="&amp;DATE(YEAR($A428),MONTH($A428),1),$A$5:$A$800,"&lt;="&amp;$A428)+IF(AND(YEAR($A428)=YEAR(Settings!$B$3),MONTH($A428)=MONTH(Settings!$B$3)),Settings!$B$10,0))</f>
        <v/>
      </c>
      <c r="O428" s="78">
        <f>IF($A428="","",SUMIFS($K$5:$K$800,$A$5:$A$800,"&gt;="&amp;DATE(YEAR($A428),MONTH($A428),1),$A$5:$A$800,"&lt;="&amp;$A428)+IF(AND(YEAR($A428)=YEAR(Settings!$B$3),MONTH($A428)=MONTH(Settings!$B$3)),Settings!$B$11,0))</f>
        <v/>
      </c>
      <c r="P428" s="77">
        <f>IF($A428="","",SUMIFS($H$5:$H$800,$A$5:$A$800,"&gt;="&amp;DATE(YEAR($A428),MONTH($A428),1),$A$5:$A$800,"&lt;="&amp;$A428)+IF(AND(YEAR($A428)=YEAR(Settings!$B$3),MONTH($A428)=MONTH(Settings!$B$3)),Settings!$B$12,0))</f>
        <v/>
      </c>
      <c r="Q428" s="78">
        <f>IF($A428="","",SUMIFS($I$5:$I$800,$A$5:$A$800,"&gt;="&amp;DATE(YEAR($A428),MONTH($A428),1),$A$5:$A$800,"&lt;="&amp;$A428)+IF(AND(YEAR($A428)=YEAR(Settings!$B$3),MONTH($A428)=MONTH(Settings!$B$3)),Settings!$B$13,0))</f>
        <v/>
      </c>
      <c r="R428" s="77">
        <f>IF($A428="","",N428+P428)</f>
        <v/>
      </c>
      <c r="S428" s="78">
        <f>IF($A428="","",O428+Q428)</f>
        <v/>
      </c>
    </row>
    <row r="429">
      <c r="A429" s="67" t="n"/>
      <c r="B429" s="75" t="n"/>
      <c r="C429" s="76" t="n"/>
      <c r="D429" s="75" t="n"/>
      <c r="E429" s="76" t="n"/>
      <c r="F429" s="75" t="n"/>
      <c r="G429" s="76" t="n"/>
      <c r="H429" s="75" t="n"/>
      <c r="I429" s="76" t="n"/>
      <c r="J429" s="77">
        <f>IF($A429="","",B429+D429+F429)</f>
        <v/>
      </c>
      <c r="K429" s="78">
        <f>IF($A429="","",C429+E429+G429)</f>
        <v/>
      </c>
      <c r="L429" s="79">
        <f>IF($A429="","",J429+H429)</f>
        <v/>
      </c>
      <c r="M429" s="80">
        <f>IF($A429="","",K429+I429)</f>
        <v/>
      </c>
      <c r="N429" s="77">
        <f>IF($A429="","",SUMIFS($J$5:$J$800,$A$5:$A$800,"&gt;="&amp;DATE(YEAR($A429),MONTH($A429),1),$A$5:$A$800,"&lt;="&amp;$A429)+IF(AND(YEAR($A429)=YEAR(Settings!$B$3),MONTH($A429)=MONTH(Settings!$B$3)),Settings!$B$10,0))</f>
        <v/>
      </c>
      <c r="O429" s="78">
        <f>IF($A429="","",SUMIFS($K$5:$K$800,$A$5:$A$800,"&gt;="&amp;DATE(YEAR($A429),MONTH($A429),1),$A$5:$A$800,"&lt;="&amp;$A429)+IF(AND(YEAR($A429)=YEAR(Settings!$B$3),MONTH($A429)=MONTH(Settings!$B$3)),Settings!$B$11,0))</f>
        <v/>
      </c>
      <c r="P429" s="77">
        <f>IF($A429="","",SUMIFS($H$5:$H$800,$A$5:$A$800,"&gt;="&amp;DATE(YEAR($A429),MONTH($A429),1),$A$5:$A$800,"&lt;="&amp;$A429)+IF(AND(YEAR($A429)=YEAR(Settings!$B$3),MONTH($A429)=MONTH(Settings!$B$3)),Settings!$B$12,0))</f>
        <v/>
      </c>
      <c r="Q429" s="78">
        <f>IF($A429="","",SUMIFS($I$5:$I$800,$A$5:$A$800,"&gt;="&amp;DATE(YEAR($A429),MONTH($A429),1),$A$5:$A$800,"&lt;="&amp;$A429)+IF(AND(YEAR($A429)=YEAR(Settings!$B$3),MONTH($A429)=MONTH(Settings!$B$3)),Settings!$B$13,0))</f>
        <v/>
      </c>
      <c r="R429" s="77">
        <f>IF($A429="","",N429+P429)</f>
        <v/>
      </c>
      <c r="S429" s="78">
        <f>IF($A429="","",O429+Q429)</f>
        <v/>
      </c>
    </row>
    <row r="430">
      <c r="A430" s="67" t="n"/>
      <c r="B430" s="75" t="n"/>
      <c r="C430" s="76" t="n"/>
      <c r="D430" s="75" t="n"/>
      <c r="E430" s="76" t="n"/>
      <c r="F430" s="75" t="n"/>
      <c r="G430" s="76" t="n"/>
      <c r="H430" s="75" t="n"/>
      <c r="I430" s="76" t="n"/>
      <c r="J430" s="77">
        <f>IF($A430="","",B430+D430+F430)</f>
        <v/>
      </c>
      <c r="K430" s="78">
        <f>IF($A430="","",C430+E430+G430)</f>
        <v/>
      </c>
      <c r="L430" s="79">
        <f>IF($A430="","",J430+H430)</f>
        <v/>
      </c>
      <c r="M430" s="80">
        <f>IF($A430="","",K430+I430)</f>
        <v/>
      </c>
      <c r="N430" s="77">
        <f>IF($A430="","",SUMIFS($J$5:$J$800,$A$5:$A$800,"&gt;="&amp;DATE(YEAR($A430),MONTH($A430),1),$A$5:$A$800,"&lt;="&amp;$A430)+IF(AND(YEAR($A430)=YEAR(Settings!$B$3),MONTH($A430)=MONTH(Settings!$B$3)),Settings!$B$10,0))</f>
        <v/>
      </c>
      <c r="O430" s="78">
        <f>IF($A430="","",SUMIFS($K$5:$K$800,$A$5:$A$800,"&gt;="&amp;DATE(YEAR($A430),MONTH($A430),1),$A$5:$A$800,"&lt;="&amp;$A430)+IF(AND(YEAR($A430)=YEAR(Settings!$B$3),MONTH($A430)=MONTH(Settings!$B$3)),Settings!$B$11,0))</f>
        <v/>
      </c>
      <c r="P430" s="77">
        <f>IF($A430="","",SUMIFS($H$5:$H$800,$A$5:$A$800,"&gt;="&amp;DATE(YEAR($A430),MONTH($A430),1),$A$5:$A$800,"&lt;="&amp;$A430)+IF(AND(YEAR($A430)=YEAR(Settings!$B$3),MONTH($A430)=MONTH(Settings!$B$3)),Settings!$B$12,0))</f>
        <v/>
      </c>
      <c r="Q430" s="78">
        <f>IF($A430="","",SUMIFS($I$5:$I$800,$A$5:$A$800,"&gt;="&amp;DATE(YEAR($A430),MONTH($A430),1),$A$5:$A$800,"&lt;="&amp;$A430)+IF(AND(YEAR($A430)=YEAR(Settings!$B$3),MONTH($A430)=MONTH(Settings!$B$3)),Settings!$B$13,0))</f>
        <v/>
      </c>
      <c r="R430" s="77">
        <f>IF($A430="","",N430+P430)</f>
        <v/>
      </c>
      <c r="S430" s="78">
        <f>IF($A430="","",O430+Q430)</f>
        <v/>
      </c>
    </row>
    <row r="431">
      <c r="A431" s="67" t="n"/>
      <c r="B431" s="75" t="n"/>
      <c r="C431" s="76" t="n"/>
      <c r="D431" s="75" t="n"/>
      <c r="E431" s="76" t="n"/>
      <c r="F431" s="75" t="n"/>
      <c r="G431" s="76" t="n"/>
      <c r="H431" s="75" t="n"/>
      <c r="I431" s="76" t="n"/>
      <c r="J431" s="77">
        <f>IF($A431="","",B431+D431+F431)</f>
        <v/>
      </c>
      <c r="K431" s="78">
        <f>IF($A431="","",C431+E431+G431)</f>
        <v/>
      </c>
      <c r="L431" s="79">
        <f>IF($A431="","",J431+H431)</f>
        <v/>
      </c>
      <c r="M431" s="80">
        <f>IF($A431="","",K431+I431)</f>
        <v/>
      </c>
      <c r="N431" s="77">
        <f>IF($A431="","",SUMIFS($J$5:$J$800,$A$5:$A$800,"&gt;="&amp;DATE(YEAR($A431),MONTH($A431),1),$A$5:$A$800,"&lt;="&amp;$A431)+IF(AND(YEAR($A431)=YEAR(Settings!$B$3),MONTH($A431)=MONTH(Settings!$B$3)),Settings!$B$10,0))</f>
        <v/>
      </c>
      <c r="O431" s="78">
        <f>IF($A431="","",SUMIFS($K$5:$K$800,$A$5:$A$800,"&gt;="&amp;DATE(YEAR($A431),MONTH($A431),1),$A$5:$A$800,"&lt;="&amp;$A431)+IF(AND(YEAR($A431)=YEAR(Settings!$B$3),MONTH($A431)=MONTH(Settings!$B$3)),Settings!$B$11,0))</f>
        <v/>
      </c>
      <c r="P431" s="77">
        <f>IF($A431="","",SUMIFS($H$5:$H$800,$A$5:$A$800,"&gt;="&amp;DATE(YEAR($A431),MONTH($A431),1),$A$5:$A$800,"&lt;="&amp;$A431)+IF(AND(YEAR($A431)=YEAR(Settings!$B$3),MONTH($A431)=MONTH(Settings!$B$3)),Settings!$B$12,0))</f>
        <v/>
      </c>
      <c r="Q431" s="78">
        <f>IF($A431="","",SUMIFS($I$5:$I$800,$A$5:$A$800,"&gt;="&amp;DATE(YEAR($A431),MONTH($A431),1),$A$5:$A$800,"&lt;="&amp;$A431)+IF(AND(YEAR($A431)=YEAR(Settings!$B$3),MONTH($A431)=MONTH(Settings!$B$3)),Settings!$B$13,0))</f>
        <v/>
      </c>
      <c r="R431" s="77">
        <f>IF($A431="","",N431+P431)</f>
        <v/>
      </c>
      <c r="S431" s="78">
        <f>IF($A431="","",O431+Q431)</f>
        <v/>
      </c>
    </row>
    <row r="432">
      <c r="A432" s="67" t="n"/>
      <c r="B432" s="75" t="n"/>
      <c r="C432" s="76" t="n"/>
      <c r="D432" s="75" t="n"/>
      <c r="E432" s="76" t="n"/>
      <c r="F432" s="75" t="n"/>
      <c r="G432" s="76" t="n"/>
      <c r="H432" s="75" t="n"/>
      <c r="I432" s="76" t="n"/>
      <c r="J432" s="77">
        <f>IF($A432="","",B432+D432+F432)</f>
        <v/>
      </c>
      <c r="K432" s="78">
        <f>IF($A432="","",C432+E432+G432)</f>
        <v/>
      </c>
      <c r="L432" s="79">
        <f>IF($A432="","",J432+H432)</f>
        <v/>
      </c>
      <c r="M432" s="80">
        <f>IF($A432="","",K432+I432)</f>
        <v/>
      </c>
      <c r="N432" s="77">
        <f>IF($A432="","",SUMIFS($J$5:$J$800,$A$5:$A$800,"&gt;="&amp;DATE(YEAR($A432),MONTH($A432),1),$A$5:$A$800,"&lt;="&amp;$A432)+IF(AND(YEAR($A432)=YEAR(Settings!$B$3),MONTH($A432)=MONTH(Settings!$B$3)),Settings!$B$10,0))</f>
        <v/>
      </c>
      <c r="O432" s="78">
        <f>IF($A432="","",SUMIFS($K$5:$K$800,$A$5:$A$800,"&gt;="&amp;DATE(YEAR($A432),MONTH($A432),1),$A$5:$A$800,"&lt;="&amp;$A432)+IF(AND(YEAR($A432)=YEAR(Settings!$B$3),MONTH($A432)=MONTH(Settings!$B$3)),Settings!$B$11,0))</f>
        <v/>
      </c>
      <c r="P432" s="77">
        <f>IF($A432="","",SUMIFS($H$5:$H$800,$A$5:$A$800,"&gt;="&amp;DATE(YEAR($A432),MONTH($A432),1),$A$5:$A$800,"&lt;="&amp;$A432)+IF(AND(YEAR($A432)=YEAR(Settings!$B$3),MONTH($A432)=MONTH(Settings!$B$3)),Settings!$B$12,0))</f>
        <v/>
      </c>
      <c r="Q432" s="78">
        <f>IF($A432="","",SUMIFS($I$5:$I$800,$A$5:$A$800,"&gt;="&amp;DATE(YEAR($A432),MONTH($A432),1),$A$5:$A$800,"&lt;="&amp;$A432)+IF(AND(YEAR($A432)=YEAR(Settings!$B$3),MONTH($A432)=MONTH(Settings!$B$3)),Settings!$B$13,0))</f>
        <v/>
      </c>
      <c r="R432" s="77">
        <f>IF($A432="","",N432+P432)</f>
        <v/>
      </c>
      <c r="S432" s="78">
        <f>IF($A432="","",O432+Q432)</f>
        <v/>
      </c>
    </row>
    <row r="433">
      <c r="A433" s="67" t="n"/>
      <c r="B433" s="75" t="n"/>
      <c r="C433" s="76" t="n"/>
      <c r="D433" s="75" t="n"/>
      <c r="E433" s="76" t="n"/>
      <c r="F433" s="75" t="n"/>
      <c r="G433" s="76" t="n"/>
      <c r="H433" s="75" t="n"/>
      <c r="I433" s="76" t="n"/>
      <c r="J433" s="77">
        <f>IF($A433="","",B433+D433+F433)</f>
        <v/>
      </c>
      <c r="K433" s="78">
        <f>IF($A433="","",C433+E433+G433)</f>
        <v/>
      </c>
      <c r="L433" s="79">
        <f>IF($A433="","",J433+H433)</f>
        <v/>
      </c>
      <c r="M433" s="80">
        <f>IF($A433="","",K433+I433)</f>
        <v/>
      </c>
      <c r="N433" s="77">
        <f>IF($A433="","",SUMIFS($J$5:$J$800,$A$5:$A$800,"&gt;="&amp;DATE(YEAR($A433),MONTH($A433),1),$A$5:$A$800,"&lt;="&amp;$A433)+IF(AND(YEAR($A433)=YEAR(Settings!$B$3),MONTH($A433)=MONTH(Settings!$B$3)),Settings!$B$10,0))</f>
        <v/>
      </c>
      <c r="O433" s="78">
        <f>IF($A433="","",SUMIFS($K$5:$K$800,$A$5:$A$800,"&gt;="&amp;DATE(YEAR($A433),MONTH($A433),1),$A$5:$A$800,"&lt;="&amp;$A433)+IF(AND(YEAR($A433)=YEAR(Settings!$B$3),MONTH($A433)=MONTH(Settings!$B$3)),Settings!$B$11,0))</f>
        <v/>
      </c>
      <c r="P433" s="77">
        <f>IF($A433="","",SUMIFS($H$5:$H$800,$A$5:$A$800,"&gt;="&amp;DATE(YEAR($A433),MONTH($A433),1),$A$5:$A$800,"&lt;="&amp;$A433)+IF(AND(YEAR($A433)=YEAR(Settings!$B$3),MONTH($A433)=MONTH(Settings!$B$3)),Settings!$B$12,0))</f>
        <v/>
      </c>
      <c r="Q433" s="78">
        <f>IF($A433="","",SUMIFS($I$5:$I$800,$A$5:$A$800,"&gt;="&amp;DATE(YEAR($A433),MONTH($A433),1),$A$5:$A$800,"&lt;="&amp;$A433)+IF(AND(YEAR($A433)=YEAR(Settings!$B$3),MONTH($A433)=MONTH(Settings!$B$3)),Settings!$B$13,0))</f>
        <v/>
      </c>
      <c r="R433" s="77">
        <f>IF($A433="","",N433+P433)</f>
        <v/>
      </c>
      <c r="S433" s="78">
        <f>IF($A433="","",O433+Q433)</f>
        <v/>
      </c>
    </row>
    <row r="434">
      <c r="A434" s="67" t="n"/>
      <c r="B434" s="75" t="n"/>
      <c r="C434" s="76" t="n"/>
      <c r="D434" s="75" t="n"/>
      <c r="E434" s="76" t="n"/>
      <c r="F434" s="75" t="n"/>
      <c r="G434" s="76" t="n"/>
      <c r="H434" s="75" t="n"/>
      <c r="I434" s="76" t="n"/>
      <c r="J434" s="77">
        <f>IF($A434="","",B434+D434+F434)</f>
        <v/>
      </c>
      <c r="K434" s="78">
        <f>IF($A434="","",C434+E434+G434)</f>
        <v/>
      </c>
      <c r="L434" s="79">
        <f>IF($A434="","",J434+H434)</f>
        <v/>
      </c>
      <c r="M434" s="80">
        <f>IF($A434="","",K434+I434)</f>
        <v/>
      </c>
      <c r="N434" s="77">
        <f>IF($A434="","",SUMIFS($J$5:$J$800,$A$5:$A$800,"&gt;="&amp;DATE(YEAR($A434),MONTH($A434),1),$A$5:$A$800,"&lt;="&amp;$A434)+IF(AND(YEAR($A434)=YEAR(Settings!$B$3),MONTH($A434)=MONTH(Settings!$B$3)),Settings!$B$10,0))</f>
        <v/>
      </c>
      <c r="O434" s="78">
        <f>IF($A434="","",SUMIFS($K$5:$K$800,$A$5:$A$800,"&gt;="&amp;DATE(YEAR($A434),MONTH($A434),1),$A$5:$A$800,"&lt;="&amp;$A434)+IF(AND(YEAR($A434)=YEAR(Settings!$B$3),MONTH($A434)=MONTH(Settings!$B$3)),Settings!$B$11,0))</f>
        <v/>
      </c>
      <c r="P434" s="77">
        <f>IF($A434="","",SUMIFS($H$5:$H$800,$A$5:$A$800,"&gt;="&amp;DATE(YEAR($A434),MONTH($A434),1),$A$5:$A$800,"&lt;="&amp;$A434)+IF(AND(YEAR($A434)=YEAR(Settings!$B$3),MONTH($A434)=MONTH(Settings!$B$3)),Settings!$B$12,0))</f>
        <v/>
      </c>
      <c r="Q434" s="78">
        <f>IF($A434="","",SUMIFS($I$5:$I$800,$A$5:$A$800,"&gt;="&amp;DATE(YEAR($A434),MONTH($A434),1),$A$5:$A$800,"&lt;="&amp;$A434)+IF(AND(YEAR($A434)=YEAR(Settings!$B$3),MONTH($A434)=MONTH(Settings!$B$3)),Settings!$B$13,0))</f>
        <v/>
      </c>
      <c r="R434" s="77">
        <f>IF($A434="","",N434+P434)</f>
        <v/>
      </c>
      <c r="S434" s="78">
        <f>IF($A434="","",O434+Q434)</f>
        <v/>
      </c>
    </row>
    <row r="435">
      <c r="A435" s="67" t="n"/>
      <c r="B435" s="75" t="n"/>
      <c r="C435" s="76" t="n"/>
      <c r="D435" s="75" t="n"/>
      <c r="E435" s="76" t="n"/>
      <c r="F435" s="75" t="n"/>
      <c r="G435" s="76" t="n"/>
      <c r="H435" s="75" t="n"/>
      <c r="I435" s="76" t="n"/>
      <c r="J435" s="77">
        <f>IF($A435="","",B435+D435+F435)</f>
        <v/>
      </c>
      <c r="K435" s="78">
        <f>IF($A435="","",C435+E435+G435)</f>
        <v/>
      </c>
      <c r="L435" s="79">
        <f>IF($A435="","",J435+H435)</f>
        <v/>
      </c>
      <c r="M435" s="80">
        <f>IF($A435="","",K435+I435)</f>
        <v/>
      </c>
      <c r="N435" s="77">
        <f>IF($A435="","",SUMIFS($J$5:$J$800,$A$5:$A$800,"&gt;="&amp;DATE(YEAR($A435),MONTH($A435),1),$A$5:$A$800,"&lt;="&amp;$A435)+IF(AND(YEAR($A435)=YEAR(Settings!$B$3),MONTH($A435)=MONTH(Settings!$B$3)),Settings!$B$10,0))</f>
        <v/>
      </c>
      <c r="O435" s="78">
        <f>IF($A435="","",SUMIFS($K$5:$K$800,$A$5:$A$800,"&gt;="&amp;DATE(YEAR($A435),MONTH($A435),1),$A$5:$A$800,"&lt;="&amp;$A435)+IF(AND(YEAR($A435)=YEAR(Settings!$B$3),MONTH($A435)=MONTH(Settings!$B$3)),Settings!$B$11,0))</f>
        <v/>
      </c>
      <c r="P435" s="77">
        <f>IF($A435="","",SUMIFS($H$5:$H$800,$A$5:$A$800,"&gt;="&amp;DATE(YEAR($A435),MONTH($A435),1),$A$5:$A$800,"&lt;="&amp;$A435)+IF(AND(YEAR($A435)=YEAR(Settings!$B$3),MONTH($A435)=MONTH(Settings!$B$3)),Settings!$B$12,0))</f>
        <v/>
      </c>
      <c r="Q435" s="78">
        <f>IF($A435="","",SUMIFS($I$5:$I$800,$A$5:$A$800,"&gt;="&amp;DATE(YEAR($A435),MONTH($A435),1),$A$5:$A$800,"&lt;="&amp;$A435)+IF(AND(YEAR($A435)=YEAR(Settings!$B$3),MONTH($A435)=MONTH(Settings!$B$3)),Settings!$B$13,0))</f>
        <v/>
      </c>
      <c r="R435" s="77">
        <f>IF($A435="","",N435+P435)</f>
        <v/>
      </c>
      <c r="S435" s="78">
        <f>IF($A435="","",O435+Q435)</f>
        <v/>
      </c>
    </row>
    <row r="436">
      <c r="A436" s="67" t="n"/>
      <c r="B436" s="75" t="n"/>
      <c r="C436" s="76" t="n"/>
      <c r="D436" s="75" t="n"/>
      <c r="E436" s="76" t="n"/>
      <c r="F436" s="75" t="n"/>
      <c r="G436" s="76" t="n"/>
      <c r="H436" s="75" t="n"/>
      <c r="I436" s="76" t="n"/>
      <c r="J436" s="77">
        <f>IF($A436="","",B436+D436+F436)</f>
        <v/>
      </c>
      <c r="K436" s="78">
        <f>IF($A436="","",C436+E436+G436)</f>
        <v/>
      </c>
      <c r="L436" s="79">
        <f>IF($A436="","",J436+H436)</f>
        <v/>
      </c>
      <c r="M436" s="80">
        <f>IF($A436="","",K436+I436)</f>
        <v/>
      </c>
      <c r="N436" s="77">
        <f>IF($A436="","",SUMIFS($J$5:$J$800,$A$5:$A$800,"&gt;="&amp;DATE(YEAR($A436),MONTH($A436),1),$A$5:$A$800,"&lt;="&amp;$A436)+IF(AND(YEAR($A436)=YEAR(Settings!$B$3),MONTH($A436)=MONTH(Settings!$B$3)),Settings!$B$10,0))</f>
        <v/>
      </c>
      <c r="O436" s="78">
        <f>IF($A436="","",SUMIFS($K$5:$K$800,$A$5:$A$800,"&gt;="&amp;DATE(YEAR($A436),MONTH($A436),1),$A$5:$A$800,"&lt;="&amp;$A436)+IF(AND(YEAR($A436)=YEAR(Settings!$B$3),MONTH($A436)=MONTH(Settings!$B$3)),Settings!$B$11,0))</f>
        <v/>
      </c>
      <c r="P436" s="77">
        <f>IF($A436="","",SUMIFS($H$5:$H$800,$A$5:$A$800,"&gt;="&amp;DATE(YEAR($A436),MONTH($A436),1),$A$5:$A$800,"&lt;="&amp;$A436)+IF(AND(YEAR($A436)=YEAR(Settings!$B$3),MONTH($A436)=MONTH(Settings!$B$3)),Settings!$B$12,0))</f>
        <v/>
      </c>
      <c r="Q436" s="78">
        <f>IF($A436="","",SUMIFS($I$5:$I$800,$A$5:$A$800,"&gt;="&amp;DATE(YEAR($A436),MONTH($A436),1),$A$5:$A$800,"&lt;="&amp;$A436)+IF(AND(YEAR($A436)=YEAR(Settings!$B$3),MONTH($A436)=MONTH(Settings!$B$3)),Settings!$B$13,0))</f>
        <v/>
      </c>
      <c r="R436" s="77">
        <f>IF($A436="","",N436+P436)</f>
        <v/>
      </c>
      <c r="S436" s="78">
        <f>IF($A436="","",O436+Q436)</f>
        <v/>
      </c>
    </row>
    <row r="437">
      <c r="A437" s="67" t="n"/>
      <c r="B437" s="75" t="n"/>
      <c r="C437" s="76" t="n"/>
      <c r="D437" s="75" t="n"/>
      <c r="E437" s="76" t="n"/>
      <c r="F437" s="75" t="n"/>
      <c r="G437" s="76" t="n"/>
      <c r="H437" s="75" t="n"/>
      <c r="I437" s="76" t="n"/>
      <c r="J437" s="77">
        <f>IF($A437="","",B437+D437+F437)</f>
        <v/>
      </c>
      <c r="K437" s="78">
        <f>IF($A437="","",C437+E437+G437)</f>
        <v/>
      </c>
      <c r="L437" s="79">
        <f>IF($A437="","",J437+H437)</f>
        <v/>
      </c>
      <c r="M437" s="80">
        <f>IF($A437="","",K437+I437)</f>
        <v/>
      </c>
      <c r="N437" s="77">
        <f>IF($A437="","",SUMIFS($J$5:$J$800,$A$5:$A$800,"&gt;="&amp;DATE(YEAR($A437),MONTH($A437),1),$A$5:$A$800,"&lt;="&amp;$A437)+IF(AND(YEAR($A437)=YEAR(Settings!$B$3),MONTH($A437)=MONTH(Settings!$B$3)),Settings!$B$10,0))</f>
        <v/>
      </c>
      <c r="O437" s="78">
        <f>IF($A437="","",SUMIFS($K$5:$K$800,$A$5:$A$800,"&gt;="&amp;DATE(YEAR($A437),MONTH($A437),1),$A$5:$A$800,"&lt;="&amp;$A437)+IF(AND(YEAR($A437)=YEAR(Settings!$B$3),MONTH($A437)=MONTH(Settings!$B$3)),Settings!$B$11,0))</f>
        <v/>
      </c>
      <c r="P437" s="77">
        <f>IF($A437="","",SUMIFS($H$5:$H$800,$A$5:$A$800,"&gt;="&amp;DATE(YEAR($A437),MONTH($A437),1),$A$5:$A$800,"&lt;="&amp;$A437)+IF(AND(YEAR($A437)=YEAR(Settings!$B$3),MONTH($A437)=MONTH(Settings!$B$3)),Settings!$B$12,0))</f>
        <v/>
      </c>
      <c r="Q437" s="78">
        <f>IF($A437="","",SUMIFS($I$5:$I$800,$A$5:$A$800,"&gt;="&amp;DATE(YEAR($A437),MONTH($A437),1),$A$5:$A$800,"&lt;="&amp;$A437)+IF(AND(YEAR($A437)=YEAR(Settings!$B$3),MONTH($A437)=MONTH(Settings!$B$3)),Settings!$B$13,0))</f>
        <v/>
      </c>
      <c r="R437" s="77">
        <f>IF($A437="","",N437+P437)</f>
        <v/>
      </c>
      <c r="S437" s="78">
        <f>IF($A437="","",O437+Q437)</f>
        <v/>
      </c>
    </row>
    <row r="438">
      <c r="A438" s="67" t="n"/>
      <c r="B438" s="75" t="n"/>
      <c r="C438" s="76" t="n"/>
      <c r="D438" s="75" t="n"/>
      <c r="E438" s="76" t="n"/>
      <c r="F438" s="75" t="n"/>
      <c r="G438" s="76" t="n"/>
      <c r="H438" s="75" t="n"/>
      <c r="I438" s="76" t="n"/>
      <c r="J438" s="77">
        <f>IF($A438="","",B438+D438+F438)</f>
        <v/>
      </c>
      <c r="K438" s="78">
        <f>IF($A438="","",C438+E438+G438)</f>
        <v/>
      </c>
      <c r="L438" s="79">
        <f>IF($A438="","",J438+H438)</f>
        <v/>
      </c>
      <c r="M438" s="80">
        <f>IF($A438="","",K438+I438)</f>
        <v/>
      </c>
      <c r="N438" s="77">
        <f>IF($A438="","",SUMIFS($J$5:$J$800,$A$5:$A$800,"&gt;="&amp;DATE(YEAR($A438),MONTH($A438),1),$A$5:$A$800,"&lt;="&amp;$A438)+IF(AND(YEAR($A438)=YEAR(Settings!$B$3),MONTH($A438)=MONTH(Settings!$B$3)),Settings!$B$10,0))</f>
        <v/>
      </c>
      <c r="O438" s="78">
        <f>IF($A438="","",SUMIFS($K$5:$K$800,$A$5:$A$800,"&gt;="&amp;DATE(YEAR($A438),MONTH($A438),1),$A$5:$A$800,"&lt;="&amp;$A438)+IF(AND(YEAR($A438)=YEAR(Settings!$B$3),MONTH($A438)=MONTH(Settings!$B$3)),Settings!$B$11,0))</f>
        <v/>
      </c>
      <c r="P438" s="77">
        <f>IF($A438="","",SUMIFS($H$5:$H$800,$A$5:$A$800,"&gt;="&amp;DATE(YEAR($A438),MONTH($A438),1),$A$5:$A$800,"&lt;="&amp;$A438)+IF(AND(YEAR($A438)=YEAR(Settings!$B$3),MONTH($A438)=MONTH(Settings!$B$3)),Settings!$B$12,0))</f>
        <v/>
      </c>
      <c r="Q438" s="78">
        <f>IF($A438="","",SUMIFS($I$5:$I$800,$A$5:$A$800,"&gt;="&amp;DATE(YEAR($A438),MONTH($A438),1),$A$5:$A$800,"&lt;="&amp;$A438)+IF(AND(YEAR($A438)=YEAR(Settings!$B$3),MONTH($A438)=MONTH(Settings!$B$3)),Settings!$B$13,0))</f>
        <v/>
      </c>
      <c r="R438" s="77">
        <f>IF($A438="","",N438+P438)</f>
        <v/>
      </c>
      <c r="S438" s="78">
        <f>IF($A438="","",O438+Q438)</f>
        <v/>
      </c>
    </row>
    <row r="439">
      <c r="A439" s="67" t="n"/>
      <c r="B439" s="75" t="n"/>
      <c r="C439" s="76" t="n"/>
      <c r="D439" s="75" t="n"/>
      <c r="E439" s="76" t="n"/>
      <c r="F439" s="75" t="n"/>
      <c r="G439" s="76" t="n"/>
      <c r="H439" s="75" t="n"/>
      <c r="I439" s="76" t="n"/>
      <c r="J439" s="77">
        <f>IF($A439="","",B439+D439+F439)</f>
        <v/>
      </c>
      <c r="K439" s="78">
        <f>IF($A439="","",C439+E439+G439)</f>
        <v/>
      </c>
      <c r="L439" s="79">
        <f>IF($A439="","",J439+H439)</f>
        <v/>
      </c>
      <c r="M439" s="80">
        <f>IF($A439="","",K439+I439)</f>
        <v/>
      </c>
      <c r="N439" s="77">
        <f>IF($A439="","",SUMIFS($J$5:$J$800,$A$5:$A$800,"&gt;="&amp;DATE(YEAR($A439),MONTH($A439),1),$A$5:$A$800,"&lt;="&amp;$A439)+IF(AND(YEAR($A439)=YEAR(Settings!$B$3),MONTH($A439)=MONTH(Settings!$B$3)),Settings!$B$10,0))</f>
        <v/>
      </c>
      <c r="O439" s="78">
        <f>IF($A439="","",SUMIFS($K$5:$K$800,$A$5:$A$800,"&gt;="&amp;DATE(YEAR($A439),MONTH($A439),1),$A$5:$A$800,"&lt;="&amp;$A439)+IF(AND(YEAR($A439)=YEAR(Settings!$B$3),MONTH($A439)=MONTH(Settings!$B$3)),Settings!$B$11,0))</f>
        <v/>
      </c>
      <c r="P439" s="77">
        <f>IF($A439="","",SUMIFS($H$5:$H$800,$A$5:$A$800,"&gt;="&amp;DATE(YEAR($A439),MONTH($A439),1),$A$5:$A$800,"&lt;="&amp;$A439)+IF(AND(YEAR($A439)=YEAR(Settings!$B$3),MONTH($A439)=MONTH(Settings!$B$3)),Settings!$B$12,0))</f>
        <v/>
      </c>
      <c r="Q439" s="78">
        <f>IF($A439="","",SUMIFS($I$5:$I$800,$A$5:$A$800,"&gt;="&amp;DATE(YEAR($A439),MONTH($A439),1),$A$5:$A$800,"&lt;="&amp;$A439)+IF(AND(YEAR($A439)=YEAR(Settings!$B$3),MONTH($A439)=MONTH(Settings!$B$3)),Settings!$B$13,0))</f>
        <v/>
      </c>
      <c r="R439" s="77">
        <f>IF($A439="","",N439+P439)</f>
        <v/>
      </c>
      <c r="S439" s="78">
        <f>IF($A439="","",O439+Q439)</f>
        <v/>
      </c>
    </row>
    <row r="440">
      <c r="A440" s="67" t="n"/>
      <c r="B440" s="75" t="n"/>
      <c r="C440" s="76" t="n"/>
      <c r="D440" s="75" t="n"/>
      <c r="E440" s="76" t="n"/>
      <c r="F440" s="75" t="n"/>
      <c r="G440" s="76" t="n"/>
      <c r="H440" s="75" t="n"/>
      <c r="I440" s="76" t="n"/>
      <c r="J440" s="77">
        <f>IF($A440="","",B440+D440+F440)</f>
        <v/>
      </c>
      <c r="K440" s="78">
        <f>IF($A440="","",C440+E440+G440)</f>
        <v/>
      </c>
      <c r="L440" s="79">
        <f>IF($A440="","",J440+H440)</f>
        <v/>
      </c>
      <c r="M440" s="80">
        <f>IF($A440="","",K440+I440)</f>
        <v/>
      </c>
      <c r="N440" s="77">
        <f>IF($A440="","",SUMIFS($J$5:$J$800,$A$5:$A$800,"&gt;="&amp;DATE(YEAR($A440),MONTH($A440),1),$A$5:$A$800,"&lt;="&amp;$A440)+IF(AND(YEAR($A440)=YEAR(Settings!$B$3),MONTH($A440)=MONTH(Settings!$B$3)),Settings!$B$10,0))</f>
        <v/>
      </c>
      <c r="O440" s="78">
        <f>IF($A440="","",SUMIFS($K$5:$K$800,$A$5:$A$800,"&gt;="&amp;DATE(YEAR($A440),MONTH($A440),1),$A$5:$A$800,"&lt;="&amp;$A440)+IF(AND(YEAR($A440)=YEAR(Settings!$B$3),MONTH($A440)=MONTH(Settings!$B$3)),Settings!$B$11,0))</f>
        <v/>
      </c>
      <c r="P440" s="77">
        <f>IF($A440="","",SUMIFS($H$5:$H$800,$A$5:$A$800,"&gt;="&amp;DATE(YEAR($A440),MONTH($A440),1),$A$5:$A$800,"&lt;="&amp;$A440)+IF(AND(YEAR($A440)=YEAR(Settings!$B$3),MONTH($A440)=MONTH(Settings!$B$3)),Settings!$B$12,0))</f>
        <v/>
      </c>
      <c r="Q440" s="78">
        <f>IF($A440="","",SUMIFS($I$5:$I$800,$A$5:$A$800,"&gt;="&amp;DATE(YEAR($A440),MONTH($A440),1),$A$5:$A$800,"&lt;="&amp;$A440)+IF(AND(YEAR($A440)=YEAR(Settings!$B$3),MONTH($A440)=MONTH(Settings!$B$3)),Settings!$B$13,0))</f>
        <v/>
      </c>
      <c r="R440" s="77">
        <f>IF($A440="","",N440+P440)</f>
        <v/>
      </c>
      <c r="S440" s="78">
        <f>IF($A440="","",O440+Q440)</f>
        <v/>
      </c>
    </row>
    <row r="441">
      <c r="A441" s="67" t="n"/>
      <c r="B441" s="75" t="n"/>
      <c r="C441" s="76" t="n"/>
      <c r="D441" s="75" t="n"/>
      <c r="E441" s="76" t="n"/>
      <c r="F441" s="75" t="n"/>
      <c r="G441" s="76" t="n"/>
      <c r="H441" s="75" t="n"/>
      <c r="I441" s="76" t="n"/>
      <c r="J441" s="77">
        <f>IF($A441="","",B441+D441+F441)</f>
        <v/>
      </c>
      <c r="K441" s="78">
        <f>IF($A441="","",C441+E441+G441)</f>
        <v/>
      </c>
      <c r="L441" s="79">
        <f>IF($A441="","",J441+H441)</f>
        <v/>
      </c>
      <c r="M441" s="80">
        <f>IF($A441="","",K441+I441)</f>
        <v/>
      </c>
      <c r="N441" s="77">
        <f>IF($A441="","",SUMIFS($J$5:$J$800,$A$5:$A$800,"&gt;="&amp;DATE(YEAR($A441),MONTH($A441),1),$A$5:$A$800,"&lt;="&amp;$A441)+IF(AND(YEAR($A441)=YEAR(Settings!$B$3),MONTH($A441)=MONTH(Settings!$B$3)),Settings!$B$10,0))</f>
        <v/>
      </c>
      <c r="O441" s="78">
        <f>IF($A441="","",SUMIFS($K$5:$K$800,$A$5:$A$800,"&gt;="&amp;DATE(YEAR($A441),MONTH($A441),1),$A$5:$A$800,"&lt;="&amp;$A441)+IF(AND(YEAR($A441)=YEAR(Settings!$B$3),MONTH($A441)=MONTH(Settings!$B$3)),Settings!$B$11,0))</f>
        <v/>
      </c>
      <c r="P441" s="77">
        <f>IF($A441="","",SUMIFS($H$5:$H$800,$A$5:$A$800,"&gt;="&amp;DATE(YEAR($A441),MONTH($A441),1),$A$5:$A$800,"&lt;="&amp;$A441)+IF(AND(YEAR($A441)=YEAR(Settings!$B$3),MONTH($A441)=MONTH(Settings!$B$3)),Settings!$B$12,0))</f>
        <v/>
      </c>
      <c r="Q441" s="78">
        <f>IF($A441="","",SUMIFS($I$5:$I$800,$A$5:$A$800,"&gt;="&amp;DATE(YEAR($A441),MONTH($A441),1),$A$5:$A$800,"&lt;="&amp;$A441)+IF(AND(YEAR($A441)=YEAR(Settings!$B$3),MONTH($A441)=MONTH(Settings!$B$3)),Settings!$B$13,0))</f>
        <v/>
      </c>
      <c r="R441" s="77">
        <f>IF($A441="","",N441+P441)</f>
        <v/>
      </c>
      <c r="S441" s="78">
        <f>IF($A441="","",O441+Q441)</f>
        <v/>
      </c>
    </row>
    <row r="442">
      <c r="A442" s="67" t="n"/>
      <c r="B442" s="75" t="n"/>
      <c r="C442" s="76" t="n"/>
      <c r="D442" s="75" t="n"/>
      <c r="E442" s="76" t="n"/>
      <c r="F442" s="75" t="n"/>
      <c r="G442" s="76" t="n"/>
      <c r="H442" s="75" t="n"/>
      <c r="I442" s="76" t="n"/>
      <c r="J442" s="77">
        <f>IF($A442="","",B442+D442+F442)</f>
        <v/>
      </c>
      <c r="K442" s="78">
        <f>IF($A442="","",C442+E442+G442)</f>
        <v/>
      </c>
      <c r="L442" s="79">
        <f>IF($A442="","",J442+H442)</f>
        <v/>
      </c>
      <c r="M442" s="80">
        <f>IF($A442="","",K442+I442)</f>
        <v/>
      </c>
      <c r="N442" s="77">
        <f>IF($A442="","",SUMIFS($J$5:$J$800,$A$5:$A$800,"&gt;="&amp;DATE(YEAR($A442),MONTH($A442),1),$A$5:$A$800,"&lt;="&amp;$A442)+IF(AND(YEAR($A442)=YEAR(Settings!$B$3),MONTH($A442)=MONTH(Settings!$B$3)),Settings!$B$10,0))</f>
        <v/>
      </c>
      <c r="O442" s="78">
        <f>IF($A442="","",SUMIFS($K$5:$K$800,$A$5:$A$800,"&gt;="&amp;DATE(YEAR($A442),MONTH($A442),1),$A$5:$A$800,"&lt;="&amp;$A442)+IF(AND(YEAR($A442)=YEAR(Settings!$B$3),MONTH($A442)=MONTH(Settings!$B$3)),Settings!$B$11,0))</f>
        <v/>
      </c>
      <c r="P442" s="77">
        <f>IF($A442="","",SUMIFS($H$5:$H$800,$A$5:$A$800,"&gt;="&amp;DATE(YEAR($A442),MONTH($A442),1),$A$5:$A$800,"&lt;="&amp;$A442)+IF(AND(YEAR($A442)=YEAR(Settings!$B$3),MONTH($A442)=MONTH(Settings!$B$3)),Settings!$B$12,0))</f>
        <v/>
      </c>
      <c r="Q442" s="78">
        <f>IF($A442="","",SUMIFS($I$5:$I$800,$A$5:$A$800,"&gt;="&amp;DATE(YEAR($A442),MONTH($A442),1),$A$5:$A$800,"&lt;="&amp;$A442)+IF(AND(YEAR($A442)=YEAR(Settings!$B$3),MONTH($A442)=MONTH(Settings!$B$3)),Settings!$B$13,0))</f>
        <v/>
      </c>
      <c r="R442" s="77">
        <f>IF($A442="","",N442+P442)</f>
        <v/>
      </c>
      <c r="S442" s="78">
        <f>IF($A442="","",O442+Q442)</f>
        <v/>
      </c>
    </row>
    <row r="443">
      <c r="A443" s="67" t="n"/>
      <c r="B443" s="75" t="n"/>
      <c r="C443" s="76" t="n"/>
      <c r="D443" s="75" t="n"/>
      <c r="E443" s="76" t="n"/>
      <c r="F443" s="75" t="n"/>
      <c r="G443" s="76" t="n"/>
      <c r="H443" s="75" t="n"/>
      <c r="I443" s="76" t="n"/>
      <c r="J443" s="77">
        <f>IF($A443="","",B443+D443+F443)</f>
        <v/>
      </c>
      <c r="K443" s="78">
        <f>IF($A443="","",C443+E443+G443)</f>
        <v/>
      </c>
      <c r="L443" s="79">
        <f>IF($A443="","",J443+H443)</f>
        <v/>
      </c>
      <c r="M443" s="80">
        <f>IF($A443="","",K443+I443)</f>
        <v/>
      </c>
      <c r="N443" s="77">
        <f>IF($A443="","",SUMIFS($J$5:$J$800,$A$5:$A$800,"&gt;="&amp;DATE(YEAR($A443),MONTH($A443),1),$A$5:$A$800,"&lt;="&amp;$A443)+IF(AND(YEAR($A443)=YEAR(Settings!$B$3),MONTH($A443)=MONTH(Settings!$B$3)),Settings!$B$10,0))</f>
        <v/>
      </c>
      <c r="O443" s="78">
        <f>IF($A443="","",SUMIFS($K$5:$K$800,$A$5:$A$800,"&gt;="&amp;DATE(YEAR($A443),MONTH($A443),1),$A$5:$A$800,"&lt;="&amp;$A443)+IF(AND(YEAR($A443)=YEAR(Settings!$B$3),MONTH($A443)=MONTH(Settings!$B$3)),Settings!$B$11,0))</f>
        <v/>
      </c>
      <c r="P443" s="77">
        <f>IF($A443="","",SUMIFS($H$5:$H$800,$A$5:$A$800,"&gt;="&amp;DATE(YEAR($A443),MONTH($A443),1),$A$5:$A$800,"&lt;="&amp;$A443)+IF(AND(YEAR($A443)=YEAR(Settings!$B$3),MONTH($A443)=MONTH(Settings!$B$3)),Settings!$B$12,0))</f>
        <v/>
      </c>
      <c r="Q443" s="78">
        <f>IF($A443="","",SUMIFS($I$5:$I$800,$A$5:$A$800,"&gt;="&amp;DATE(YEAR($A443),MONTH($A443),1),$A$5:$A$800,"&lt;="&amp;$A443)+IF(AND(YEAR($A443)=YEAR(Settings!$B$3),MONTH($A443)=MONTH(Settings!$B$3)),Settings!$B$13,0))</f>
        <v/>
      </c>
      <c r="R443" s="77">
        <f>IF($A443="","",N443+P443)</f>
        <v/>
      </c>
      <c r="S443" s="78">
        <f>IF($A443="","",O443+Q443)</f>
        <v/>
      </c>
    </row>
    <row r="444">
      <c r="A444" s="67" t="n"/>
      <c r="B444" s="75" t="n"/>
      <c r="C444" s="76" t="n"/>
      <c r="D444" s="75" t="n"/>
      <c r="E444" s="76" t="n"/>
      <c r="F444" s="75" t="n"/>
      <c r="G444" s="76" t="n"/>
      <c r="H444" s="75" t="n"/>
      <c r="I444" s="76" t="n"/>
      <c r="J444" s="77">
        <f>IF($A444="","",B444+D444+F444)</f>
        <v/>
      </c>
      <c r="K444" s="78">
        <f>IF($A444="","",C444+E444+G444)</f>
        <v/>
      </c>
      <c r="L444" s="79">
        <f>IF($A444="","",J444+H444)</f>
        <v/>
      </c>
      <c r="M444" s="80">
        <f>IF($A444="","",K444+I444)</f>
        <v/>
      </c>
      <c r="N444" s="77">
        <f>IF($A444="","",SUMIFS($J$5:$J$800,$A$5:$A$800,"&gt;="&amp;DATE(YEAR($A444),MONTH($A444),1),$A$5:$A$800,"&lt;="&amp;$A444)+IF(AND(YEAR($A444)=YEAR(Settings!$B$3),MONTH($A444)=MONTH(Settings!$B$3)),Settings!$B$10,0))</f>
        <v/>
      </c>
      <c r="O444" s="78">
        <f>IF($A444="","",SUMIFS($K$5:$K$800,$A$5:$A$800,"&gt;="&amp;DATE(YEAR($A444),MONTH($A444),1),$A$5:$A$800,"&lt;="&amp;$A444)+IF(AND(YEAR($A444)=YEAR(Settings!$B$3),MONTH($A444)=MONTH(Settings!$B$3)),Settings!$B$11,0))</f>
        <v/>
      </c>
      <c r="P444" s="77">
        <f>IF($A444="","",SUMIFS($H$5:$H$800,$A$5:$A$800,"&gt;="&amp;DATE(YEAR($A444),MONTH($A444),1),$A$5:$A$800,"&lt;="&amp;$A444)+IF(AND(YEAR($A444)=YEAR(Settings!$B$3),MONTH($A444)=MONTH(Settings!$B$3)),Settings!$B$12,0))</f>
        <v/>
      </c>
      <c r="Q444" s="78">
        <f>IF($A444="","",SUMIFS($I$5:$I$800,$A$5:$A$800,"&gt;="&amp;DATE(YEAR($A444),MONTH($A444),1),$A$5:$A$800,"&lt;="&amp;$A444)+IF(AND(YEAR($A444)=YEAR(Settings!$B$3),MONTH($A444)=MONTH(Settings!$B$3)),Settings!$B$13,0))</f>
        <v/>
      </c>
      <c r="R444" s="77">
        <f>IF($A444="","",N444+P444)</f>
        <v/>
      </c>
      <c r="S444" s="78">
        <f>IF($A444="","",O444+Q444)</f>
        <v/>
      </c>
    </row>
    <row r="445">
      <c r="A445" s="67" t="n"/>
      <c r="B445" s="75" t="n"/>
      <c r="C445" s="76" t="n"/>
      <c r="D445" s="75" t="n"/>
      <c r="E445" s="76" t="n"/>
      <c r="F445" s="75" t="n"/>
      <c r="G445" s="76" t="n"/>
      <c r="H445" s="75" t="n"/>
      <c r="I445" s="76" t="n"/>
      <c r="J445" s="77">
        <f>IF($A445="","",B445+D445+F445)</f>
        <v/>
      </c>
      <c r="K445" s="78">
        <f>IF($A445="","",C445+E445+G445)</f>
        <v/>
      </c>
      <c r="L445" s="79">
        <f>IF($A445="","",J445+H445)</f>
        <v/>
      </c>
      <c r="M445" s="80">
        <f>IF($A445="","",K445+I445)</f>
        <v/>
      </c>
      <c r="N445" s="77">
        <f>IF($A445="","",SUMIFS($J$5:$J$800,$A$5:$A$800,"&gt;="&amp;DATE(YEAR($A445),MONTH($A445),1),$A$5:$A$800,"&lt;="&amp;$A445)+IF(AND(YEAR($A445)=YEAR(Settings!$B$3),MONTH($A445)=MONTH(Settings!$B$3)),Settings!$B$10,0))</f>
        <v/>
      </c>
      <c r="O445" s="78">
        <f>IF($A445="","",SUMIFS($K$5:$K$800,$A$5:$A$800,"&gt;="&amp;DATE(YEAR($A445),MONTH($A445),1),$A$5:$A$800,"&lt;="&amp;$A445)+IF(AND(YEAR($A445)=YEAR(Settings!$B$3),MONTH($A445)=MONTH(Settings!$B$3)),Settings!$B$11,0))</f>
        <v/>
      </c>
      <c r="P445" s="77">
        <f>IF($A445="","",SUMIFS($H$5:$H$800,$A$5:$A$800,"&gt;="&amp;DATE(YEAR($A445),MONTH($A445),1),$A$5:$A$800,"&lt;="&amp;$A445)+IF(AND(YEAR($A445)=YEAR(Settings!$B$3),MONTH($A445)=MONTH(Settings!$B$3)),Settings!$B$12,0))</f>
        <v/>
      </c>
      <c r="Q445" s="78">
        <f>IF($A445="","",SUMIFS($I$5:$I$800,$A$5:$A$800,"&gt;="&amp;DATE(YEAR($A445),MONTH($A445),1),$A$5:$A$800,"&lt;="&amp;$A445)+IF(AND(YEAR($A445)=YEAR(Settings!$B$3),MONTH($A445)=MONTH(Settings!$B$3)),Settings!$B$13,0))</f>
        <v/>
      </c>
      <c r="R445" s="77">
        <f>IF($A445="","",N445+P445)</f>
        <v/>
      </c>
      <c r="S445" s="78">
        <f>IF($A445="","",O445+Q445)</f>
        <v/>
      </c>
    </row>
    <row r="446">
      <c r="A446" s="67" t="n"/>
      <c r="B446" s="75" t="n"/>
      <c r="C446" s="76" t="n"/>
      <c r="D446" s="75" t="n"/>
      <c r="E446" s="76" t="n"/>
      <c r="F446" s="75" t="n"/>
      <c r="G446" s="76" t="n"/>
      <c r="H446" s="75" t="n"/>
      <c r="I446" s="76" t="n"/>
      <c r="J446" s="77">
        <f>IF($A446="","",B446+D446+F446)</f>
        <v/>
      </c>
      <c r="K446" s="78">
        <f>IF($A446="","",C446+E446+G446)</f>
        <v/>
      </c>
      <c r="L446" s="79">
        <f>IF($A446="","",J446+H446)</f>
        <v/>
      </c>
      <c r="M446" s="80">
        <f>IF($A446="","",K446+I446)</f>
        <v/>
      </c>
      <c r="N446" s="77">
        <f>IF($A446="","",SUMIFS($J$5:$J$800,$A$5:$A$800,"&gt;="&amp;DATE(YEAR($A446),MONTH($A446),1),$A$5:$A$800,"&lt;="&amp;$A446)+IF(AND(YEAR($A446)=YEAR(Settings!$B$3),MONTH($A446)=MONTH(Settings!$B$3)),Settings!$B$10,0))</f>
        <v/>
      </c>
      <c r="O446" s="78">
        <f>IF($A446="","",SUMIFS($K$5:$K$800,$A$5:$A$800,"&gt;="&amp;DATE(YEAR($A446),MONTH($A446),1),$A$5:$A$800,"&lt;="&amp;$A446)+IF(AND(YEAR($A446)=YEAR(Settings!$B$3),MONTH($A446)=MONTH(Settings!$B$3)),Settings!$B$11,0))</f>
        <v/>
      </c>
      <c r="P446" s="77">
        <f>IF($A446="","",SUMIFS($H$5:$H$800,$A$5:$A$800,"&gt;="&amp;DATE(YEAR($A446),MONTH($A446),1),$A$5:$A$800,"&lt;="&amp;$A446)+IF(AND(YEAR($A446)=YEAR(Settings!$B$3),MONTH($A446)=MONTH(Settings!$B$3)),Settings!$B$12,0))</f>
        <v/>
      </c>
      <c r="Q446" s="78">
        <f>IF($A446="","",SUMIFS($I$5:$I$800,$A$5:$A$800,"&gt;="&amp;DATE(YEAR($A446),MONTH($A446),1),$A$5:$A$800,"&lt;="&amp;$A446)+IF(AND(YEAR($A446)=YEAR(Settings!$B$3),MONTH($A446)=MONTH(Settings!$B$3)),Settings!$B$13,0))</f>
        <v/>
      </c>
      <c r="R446" s="77">
        <f>IF($A446="","",N446+P446)</f>
        <v/>
      </c>
      <c r="S446" s="78">
        <f>IF($A446="","",O446+Q446)</f>
        <v/>
      </c>
    </row>
    <row r="447">
      <c r="A447" s="67" t="n"/>
      <c r="B447" s="75" t="n"/>
      <c r="C447" s="76" t="n"/>
      <c r="D447" s="75" t="n"/>
      <c r="E447" s="76" t="n"/>
      <c r="F447" s="75" t="n"/>
      <c r="G447" s="76" t="n"/>
      <c r="H447" s="75" t="n"/>
      <c r="I447" s="76" t="n"/>
      <c r="J447" s="77">
        <f>IF($A447="","",B447+D447+F447)</f>
        <v/>
      </c>
      <c r="K447" s="78">
        <f>IF($A447="","",C447+E447+G447)</f>
        <v/>
      </c>
      <c r="L447" s="79">
        <f>IF($A447="","",J447+H447)</f>
        <v/>
      </c>
      <c r="M447" s="80">
        <f>IF($A447="","",K447+I447)</f>
        <v/>
      </c>
      <c r="N447" s="77">
        <f>IF($A447="","",SUMIFS($J$5:$J$800,$A$5:$A$800,"&gt;="&amp;DATE(YEAR($A447),MONTH($A447),1),$A$5:$A$800,"&lt;="&amp;$A447)+IF(AND(YEAR($A447)=YEAR(Settings!$B$3),MONTH($A447)=MONTH(Settings!$B$3)),Settings!$B$10,0))</f>
        <v/>
      </c>
      <c r="O447" s="78">
        <f>IF($A447="","",SUMIFS($K$5:$K$800,$A$5:$A$800,"&gt;="&amp;DATE(YEAR($A447),MONTH($A447),1),$A$5:$A$800,"&lt;="&amp;$A447)+IF(AND(YEAR($A447)=YEAR(Settings!$B$3),MONTH($A447)=MONTH(Settings!$B$3)),Settings!$B$11,0))</f>
        <v/>
      </c>
      <c r="P447" s="77">
        <f>IF($A447="","",SUMIFS($H$5:$H$800,$A$5:$A$800,"&gt;="&amp;DATE(YEAR($A447),MONTH($A447),1),$A$5:$A$800,"&lt;="&amp;$A447)+IF(AND(YEAR($A447)=YEAR(Settings!$B$3),MONTH($A447)=MONTH(Settings!$B$3)),Settings!$B$12,0))</f>
        <v/>
      </c>
      <c r="Q447" s="78">
        <f>IF($A447="","",SUMIFS($I$5:$I$800,$A$5:$A$800,"&gt;="&amp;DATE(YEAR($A447),MONTH($A447),1),$A$5:$A$800,"&lt;="&amp;$A447)+IF(AND(YEAR($A447)=YEAR(Settings!$B$3),MONTH($A447)=MONTH(Settings!$B$3)),Settings!$B$13,0))</f>
        <v/>
      </c>
      <c r="R447" s="77">
        <f>IF($A447="","",N447+P447)</f>
        <v/>
      </c>
      <c r="S447" s="78">
        <f>IF($A447="","",O447+Q447)</f>
        <v/>
      </c>
    </row>
    <row r="448">
      <c r="A448" s="67" t="n"/>
      <c r="B448" s="75" t="n"/>
      <c r="C448" s="76" t="n"/>
      <c r="D448" s="75" t="n"/>
      <c r="E448" s="76" t="n"/>
      <c r="F448" s="75" t="n"/>
      <c r="G448" s="76" t="n"/>
      <c r="H448" s="75" t="n"/>
      <c r="I448" s="76" t="n"/>
      <c r="J448" s="77">
        <f>IF($A448="","",B448+D448+F448)</f>
        <v/>
      </c>
      <c r="K448" s="78">
        <f>IF($A448="","",C448+E448+G448)</f>
        <v/>
      </c>
      <c r="L448" s="79">
        <f>IF($A448="","",J448+H448)</f>
        <v/>
      </c>
      <c r="M448" s="80">
        <f>IF($A448="","",K448+I448)</f>
        <v/>
      </c>
      <c r="N448" s="77">
        <f>IF($A448="","",SUMIFS($J$5:$J$800,$A$5:$A$800,"&gt;="&amp;DATE(YEAR($A448),MONTH($A448),1),$A$5:$A$800,"&lt;="&amp;$A448)+IF(AND(YEAR($A448)=YEAR(Settings!$B$3),MONTH($A448)=MONTH(Settings!$B$3)),Settings!$B$10,0))</f>
        <v/>
      </c>
      <c r="O448" s="78">
        <f>IF($A448="","",SUMIFS($K$5:$K$800,$A$5:$A$800,"&gt;="&amp;DATE(YEAR($A448),MONTH($A448),1),$A$5:$A$800,"&lt;="&amp;$A448)+IF(AND(YEAR($A448)=YEAR(Settings!$B$3),MONTH($A448)=MONTH(Settings!$B$3)),Settings!$B$11,0))</f>
        <v/>
      </c>
      <c r="P448" s="77">
        <f>IF($A448="","",SUMIFS($H$5:$H$800,$A$5:$A$800,"&gt;="&amp;DATE(YEAR($A448),MONTH($A448),1),$A$5:$A$800,"&lt;="&amp;$A448)+IF(AND(YEAR($A448)=YEAR(Settings!$B$3),MONTH($A448)=MONTH(Settings!$B$3)),Settings!$B$12,0))</f>
        <v/>
      </c>
      <c r="Q448" s="78">
        <f>IF($A448="","",SUMIFS($I$5:$I$800,$A$5:$A$800,"&gt;="&amp;DATE(YEAR($A448),MONTH($A448),1),$A$5:$A$800,"&lt;="&amp;$A448)+IF(AND(YEAR($A448)=YEAR(Settings!$B$3),MONTH($A448)=MONTH(Settings!$B$3)),Settings!$B$13,0))</f>
        <v/>
      </c>
      <c r="R448" s="77">
        <f>IF($A448="","",N448+P448)</f>
        <v/>
      </c>
      <c r="S448" s="78">
        <f>IF($A448="","",O448+Q448)</f>
        <v/>
      </c>
    </row>
    <row r="449">
      <c r="A449" s="67" t="n"/>
      <c r="B449" s="75" t="n"/>
      <c r="C449" s="76" t="n"/>
      <c r="D449" s="75" t="n"/>
      <c r="E449" s="76" t="n"/>
      <c r="F449" s="75" t="n"/>
      <c r="G449" s="76" t="n"/>
      <c r="H449" s="75" t="n"/>
      <c r="I449" s="76" t="n"/>
      <c r="J449" s="77">
        <f>IF($A449="","",B449+D449+F449)</f>
        <v/>
      </c>
      <c r="K449" s="78">
        <f>IF($A449="","",C449+E449+G449)</f>
        <v/>
      </c>
      <c r="L449" s="79">
        <f>IF($A449="","",J449+H449)</f>
        <v/>
      </c>
      <c r="M449" s="80">
        <f>IF($A449="","",K449+I449)</f>
        <v/>
      </c>
      <c r="N449" s="77">
        <f>IF($A449="","",SUMIFS($J$5:$J$800,$A$5:$A$800,"&gt;="&amp;DATE(YEAR($A449),MONTH($A449),1),$A$5:$A$800,"&lt;="&amp;$A449)+IF(AND(YEAR($A449)=YEAR(Settings!$B$3),MONTH($A449)=MONTH(Settings!$B$3)),Settings!$B$10,0))</f>
        <v/>
      </c>
      <c r="O449" s="78">
        <f>IF($A449="","",SUMIFS($K$5:$K$800,$A$5:$A$800,"&gt;="&amp;DATE(YEAR($A449),MONTH($A449),1),$A$5:$A$800,"&lt;="&amp;$A449)+IF(AND(YEAR($A449)=YEAR(Settings!$B$3),MONTH($A449)=MONTH(Settings!$B$3)),Settings!$B$11,0))</f>
        <v/>
      </c>
      <c r="P449" s="77">
        <f>IF($A449="","",SUMIFS($H$5:$H$800,$A$5:$A$800,"&gt;="&amp;DATE(YEAR($A449),MONTH($A449),1),$A$5:$A$800,"&lt;="&amp;$A449)+IF(AND(YEAR($A449)=YEAR(Settings!$B$3),MONTH($A449)=MONTH(Settings!$B$3)),Settings!$B$12,0))</f>
        <v/>
      </c>
      <c r="Q449" s="78">
        <f>IF($A449="","",SUMIFS($I$5:$I$800,$A$5:$A$800,"&gt;="&amp;DATE(YEAR($A449),MONTH($A449),1),$A$5:$A$800,"&lt;="&amp;$A449)+IF(AND(YEAR($A449)=YEAR(Settings!$B$3),MONTH($A449)=MONTH(Settings!$B$3)),Settings!$B$13,0))</f>
        <v/>
      </c>
      <c r="R449" s="77">
        <f>IF($A449="","",N449+P449)</f>
        <v/>
      </c>
      <c r="S449" s="78">
        <f>IF($A449="","",O449+Q449)</f>
        <v/>
      </c>
    </row>
    <row r="450">
      <c r="A450" s="67" t="n"/>
      <c r="B450" s="75" t="n"/>
      <c r="C450" s="76" t="n"/>
      <c r="D450" s="75" t="n"/>
      <c r="E450" s="76" t="n"/>
      <c r="F450" s="75" t="n"/>
      <c r="G450" s="76" t="n"/>
      <c r="H450" s="75" t="n"/>
      <c r="I450" s="76" t="n"/>
      <c r="J450" s="77">
        <f>IF($A450="","",B450+D450+F450)</f>
        <v/>
      </c>
      <c r="K450" s="78">
        <f>IF($A450="","",C450+E450+G450)</f>
        <v/>
      </c>
      <c r="L450" s="79">
        <f>IF($A450="","",J450+H450)</f>
        <v/>
      </c>
      <c r="M450" s="80">
        <f>IF($A450="","",K450+I450)</f>
        <v/>
      </c>
      <c r="N450" s="77">
        <f>IF($A450="","",SUMIFS($J$5:$J$800,$A$5:$A$800,"&gt;="&amp;DATE(YEAR($A450),MONTH($A450),1),$A$5:$A$800,"&lt;="&amp;$A450)+IF(AND(YEAR($A450)=YEAR(Settings!$B$3),MONTH($A450)=MONTH(Settings!$B$3)),Settings!$B$10,0))</f>
        <v/>
      </c>
      <c r="O450" s="78">
        <f>IF($A450="","",SUMIFS($K$5:$K$800,$A$5:$A$800,"&gt;="&amp;DATE(YEAR($A450),MONTH($A450),1),$A$5:$A$800,"&lt;="&amp;$A450)+IF(AND(YEAR($A450)=YEAR(Settings!$B$3),MONTH($A450)=MONTH(Settings!$B$3)),Settings!$B$11,0))</f>
        <v/>
      </c>
      <c r="P450" s="77">
        <f>IF($A450="","",SUMIFS($H$5:$H$800,$A$5:$A$800,"&gt;="&amp;DATE(YEAR($A450),MONTH($A450),1),$A$5:$A$800,"&lt;="&amp;$A450)+IF(AND(YEAR($A450)=YEAR(Settings!$B$3),MONTH($A450)=MONTH(Settings!$B$3)),Settings!$B$12,0))</f>
        <v/>
      </c>
      <c r="Q450" s="78">
        <f>IF($A450="","",SUMIFS($I$5:$I$800,$A$5:$A$800,"&gt;="&amp;DATE(YEAR($A450),MONTH($A450),1),$A$5:$A$800,"&lt;="&amp;$A450)+IF(AND(YEAR($A450)=YEAR(Settings!$B$3),MONTH($A450)=MONTH(Settings!$B$3)),Settings!$B$13,0))</f>
        <v/>
      </c>
      <c r="R450" s="77">
        <f>IF($A450="","",N450+P450)</f>
        <v/>
      </c>
      <c r="S450" s="78">
        <f>IF($A450="","",O450+Q450)</f>
        <v/>
      </c>
    </row>
    <row r="451">
      <c r="A451" s="67" t="n"/>
      <c r="B451" s="75" t="n"/>
      <c r="C451" s="76" t="n"/>
      <c r="D451" s="75" t="n"/>
      <c r="E451" s="76" t="n"/>
      <c r="F451" s="75" t="n"/>
      <c r="G451" s="76" t="n"/>
      <c r="H451" s="75" t="n"/>
      <c r="I451" s="76" t="n"/>
      <c r="J451" s="77">
        <f>IF($A451="","",B451+D451+F451)</f>
        <v/>
      </c>
      <c r="K451" s="78">
        <f>IF($A451="","",C451+E451+G451)</f>
        <v/>
      </c>
      <c r="L451" s="79">
        <f>IF($A451="","",J451+H451)</f>
        <v/>
      </c>
      <c r="M451" s="80">
        <f>IF($A451="","",K451+I451)</f>
        <v/>
      </c>
      <c r="N451" s="77">
        <f>IF($A451="","",SUMIFS($J$5:$J$800,$A$5:$A$800,"&gt;="&amp;DATE(YEAR($A451),MONTH($A451),1),$A$5:$A$800,"&lt;="&amp;$A451)+IF(AND(YEAR($A451)=YEAR(Settings!$B$3),MONTH($A451)=MONTH(Settings!$B$3)),Settings!$B$10,0))</f>
        <v/>
      </c>
      <c r="O451" s="78">
        <f>IF($A451="","",SUMIFS($K$5:$K$800,$A$5:$A$800,"&gt;="&amp;DATE(YEAR($A451),MONTH($A451),1),$A$5:$A$800,"&lt;="&amp;$A451)+IF(AND(YEAR($A451)=YEAR(Settings!$B$3),MONTH($A451)=MONTH(Settings!$B$3)),Settings!$B$11,0))</f>
        <v/>
      </c>
      <c r="P451" s="77">
        <f>IF($A451="","",SUMIFS($H$5:$H$800,$A$5:$A$800,"&gt;="&amp;DATE(YEAR($A451),MONTH($A451),1),$A$5:$A$800,"&lt;="&amp;$A451)+IF(AND(YEAR($A451)=YEAR(Settings!$B$3),MONTH($A451)=MONTH(Settings!$B$3)),Settings!$B$12,0))</f>
        <v/>
      </c>
      <c r="Q451" s="78">
        <f>IF($A451="","",SUMIFS($I$5:$I$800,$A$5:$A$800,"&gt;="&amp;DATE(YEAR($A451),MONTH($A451),1),$A$5:$A$800,"&lt;="&amp;$A451)+IF(AND(YEAR($A451)=YEAR(Settings!$B$3),MONTH($A451)=MONTH(Settings!$B$3)),Settings!$B$13,0))</f>
        <v/>
      </c>
      <c r="R451" s="77">
        <f>IF($A451="","",N451+P451)</f>
        <v/>
      </c>
      <c r="S451" s="78">
        <f>IF($A451="","",O451+Q451)</f>
        <v/>
      </c>
    </row>
    <row r="452">
      <c r="A452" s="67" t="n"/>
      <c r="B452" s="75" t="n"/>
      <c r="C452" s="76" t="n"/>
      <c r="D452" s="75" t="n"/>
      <c r="E452" s="76" t="n"/>
      <c r="F452" s="75" t="n"/>
      <c r="G452" s="76" t="n"/>
      <c r="H452" s="75" t="n"/>
      <c r="I452" s="76" t="n"/>
      <c r="J452" s="77">
        <f>IF($A452="","",B452+D452+F452)</f>
        <v/>
      </c>
      <c r="K452" s="78">
        <f>IF($A452="","",C452+E452+G452)</f>
        <v/>
      </c>
      <c r="L452" s="79">
        <f>IF($A452="","",J452+H452)</f>
        <v/>
      </c>
      <c r="M452" s="80">
        <f>IF($A452="","",K452+I452)</f>
        <v/>
      </c>
      <c r="N452" s="77">
        <f>IF($A452="","",SUMIFS($J$5:$J$800,$A$5:$A$800,"&gt;="&amp;DATE(YEAR($A452),MONTH($A452),1),$A$5:$A$800,"&lt;="&amp;$A452)+IF(AND(YEAR($A452)=YEAR(Settings!$B$3),MONTH($A452)=MONTH(Settings!$B$3)),Settings!$B$10,0))</f>
        <v/>
      </c>
      <c r="O452" s="78">
        <f>IF($A452="","",SUMIFS($K$5:$K$800,$A$5:$A$800,"&gt;="&amp;DATE(YEAR($A452),MONTH($A452),1),$A$5:$A$800,"&lt;="&amp;$A452)+IF(AND(YEAR($A452)=YEAR(Settings!$B$3),MONTH($A452)=MONTH(Settings!$B$3)),Settings!$B$11,0))</f>
        <v/>
      </c>
      <c r="P452" s="77">
        <f>IF($A452="","",SUMIFS($H$5:$H$800,$A$5:$A$800,"&gt;="&amp;DATE(YEAR($A452),MONTH($A452),1),$A$5:$A$800,"&lt;="&amp;$A452)+IF(AND(YEAR($A452)=YEAR(Settings!$B$3),MONTH($A452)=MONTH(Settings!$B$3)),Settings!$B$12,0))</f>
        <v/>
      </c>
      <c r="Q452" s="78">
        <f>IF($A452="","",SUMIFS($I$5:$I$800,$A$5:$A$800,"&gt;="&amp;DATE(YEAR($A452),MONTH($A452),1),$A$5:$A$800,"&lt;="&amp;$A452)+IF(AND(YEAR($A452)=YEAR(Settings!$B$3),MONTH($A452)=MONTH(Settings!$B$3)),Settings!$B$13,0))</f>
        <v/>
      </c>
      <c r="R452" s="77">
        <f>IF($A452="","",N452+P452)</f>
        <v/>
      </c>
      <c r="S452" s="78">
        <f>IF($A452="","",O452+Q452)</f>
        <v/>
      </c>
    </row>
    <row r="453">
      <c r="A453" s="67" t="n"/>
      <c r="B453" s="75" t="n"/>
      <c r="C453" s="76" t="n"/>
      <c r="D453" s="75" t="n"/>
      <c r="E453" s="76" t="n"/>
      <c r="F453" s="75" t="n"/>
      <c r="G453" s="76" t="n"/>
      <c r="H453" s="75" t="n"/>
      <c r="I453" s="76" t="n"/>
      <c r="J453" s="77">
        <f>IF($A453="","",B453+D453+F453)</f>
        <v/>
      </c>
      <c r="K453" s="78">
        <f>IF($A453="","",C453+E453+G453)</f>
        <v/>
      </c>
      <c r="L453" s="79">
        <f>IF($A453="","",J453+H453)</f>
        <v/>
      </c>
      <c r="M453" s="80">
        <f>IF($A453="","",K453+I453)</f>
        <v/>
      </c>
      <c r="N453" s="77">
        <f>IF($A453="","",SUMIFS($J$5:$J$800,$A$5:$A$800,"&gt;="&amp;DATE(YEAR($A453),MONTH($A453),1),$A$5:$A$800,"&lt;="&amp;$A453)+IF(AND(YEAR($A453)=YEAR(Settings!$B$3),MONTH($A453)=MONTH(Settings!$B$3)),Settings!$B$10,0))</f>
        <v/>
      </c>
      <c r="O453" s="78">
        <f>IF($A453="","",SUMIFS($K$5:$K$800,$A$5:$A$800,"&gt;="&amp;DATE(YEAR($A453),MONTH($A453),1),$A$5:$A$800,"&lt;="&amp;$A453)+IF(AND(YEAR($A453)=YEAR(Settings!$B$3),MONTH($A453)=MONTH(Settings!$B$3)),Settings!$B$11,0))</f>
        <v/>
      </c>
      <c r="P453" s="77">
        <f>IF($A453="","",SUMIFS($H$5:$H$800,$A$5:$A$800,"&gt;="&amp;DATE(YEAR($A453),MONTH($A453),1),$A$5:$A$800,"&lt;="&amp;$A453)+IF(AND(YEAR($A453)=YEAR(Settings!$B$3),MONTH($A453)=MONTH(Settings!$B$3)),Settings!$B$12,0))</f>
        <v/>
      </c>
      <c r="Q453" s="78">
        <f>IF($A453="","",SUMIFS($I$5:$I$800,$A$5:$A$800,"&gt;="&amp;DATE(YEAR($A453),MONTH($A453),1),$A$5:$A$800,"&lt;="&amp;$A453)+IF(AND(YEAR($A453)=YEAR(Settings!$B$3),MONTH($A453)=MONTH(Settings!$B$3)),Settings!$B$13,0))</f>
        <v/>
      </c>
      <c r="R453" s="77">
        <f>IF($A453="","",N453+P453)</f>
        <v/>
      </c>
      <c r="S453" s="78">
        <f>IF($A453="","",O453+Q453)</f>
        <v/>
      </c>
    </row>
    <row r="454">
      <c r="A454" s="67" t="n"/>
      <c r="B454" s="75" t="n"/>
      <c r="C454" s="76" t="n"/>
      <c r="D454" s="75" t="n"/>
      <c r="E454" s="76" t="n"/>
      <c r="F454" s="75" t="n"/>
      <c r="G454" s="76" t="n"/>
      <c r="H454" s="75" t="n"/>
      <c r="I454" s="76" t="n"/>
      <c r="J454" s="77">
        <f>IF($A454="","",B454+D454+F454)</f>
        <v/>
      </c>
      <c r="K454" s="78">
        <f>IF($A454="","",C454+E454+G454)</f>
        <v/>
      </c>
      <c r="L454" s="79">
        <f>IF($A454="","",J454+H454)</f>
        <v/>
      </c>
      <c r="M454" s="80">
        <f>IF($A454="","",K454+I454)</f>
        <v/>
      </c>
      <c r="N454" s="77">
        <f>IF($A454="","",SUMIFS($J$5:$J$800,$A$5:$A$800,"&gt;="&amp;DATE(YEAR($A454),MONTH($A454),1),$A$5:$A$800,"&lt;="&amp;$A454)+IF(AND(YEAR($A454)=YEAR(Settings!$B$3),MONTH($A454)=MONTH(Settings!$B$3)),Settings!$B$10,0))</f>
        <v/>
      </c>
      <c r="O454" s="78">
        <f>IF($A454="","",SUMIFS($K$5:$K$800,$A$5:$A$800,"&gt;="&amp;DATE(YEAR($A454),MONTH($A454),1),$A$5:$A$800,"&lt;="&amp;$A454)+IF(AND(YEAR($A454)=YEAR(Settings!$B$3),MONTH($A454)=MONTH(Settings!$B$3)),Settings!$B$11,0))</f>
        <v/>
      </c>
      <c r="P454" s="77">
        <f>IF($A454="","",SUMIFS($H$5:$H$800,$A$5:$A$800,"&gt;="&amp;DATE(YEAR($A454),MONTH($A454),1),$A$5:$A$800,"&lt;="&amp;$A454)+IF(AND(YEAR($A454)=YEAR(Settings!$B$3),MONTH($A454)=MONTH(Settings!$B$3)),Settings!$B$12,0))</f>
        <v/>
      </c>
      <c r="Q454" s="78">
        <f>IF($A454="","",SUMIFS($I$5:$I$800,$A$5:$A$800,"&gt;="&amp;DATE(YEAR($A454),MONTH($A454),1),$A$5:$A$800,"&lt;="&amp;$A454)+IF(AND(YEAR($A454)=YEAR(Settings!$B$3),MONTH($A454)=MONTH(Settings!$B$3)),Settings!$B$13,0))</f>
        <v/>
      </c>
      <c r="R454" s="77">
        <f>IF($A454="","",N454+P454)</f>
        <v/>
      </c>
      <c r="S454" s="78">
        <f>IF($A454="","",O454+Q454)</f>
        <v/>
      </c>
    </row>
    <row r="455">
      <c r="A455" s="67" t="n"/>
      <c r="B455" s="75" t="n"/>
      <c r="C455" s="76" t="n"/>
      <c r="D455" s="75" t="n"/>
      <c r="E455" s="76" t="n"/>
      <c r="F455" s="75" t="n"/>
      <c r="G455" s="76" t="n"/>
      <c r="H455" s="75" t="n"/>
      <c r="I455" s="76" t="n"/>
      <c r="J455" s="77">
        <f>IF($A455="","",B455+D455+F455)</f>
        <v/>
      </c>
      <c r="K455" s="78">
        <f>IF($A455="","",C455+E455+G455)</f>
        <v/>
      </c>
      <c r="L455" s="79">
        <f>IF($A455="","",J455+H455)</f>
        <v/>
      </c>
      <c r="M455" s="80">
        <f>IF($A455="","",K455+I455)</f>
        <v/>
      </c>
      <c r="N455" s="77">
        <f>IF($A455="","",SUMIFS($J$5:$J$800,$A$5:$A$800,"&gt;="&amp;DATE(YEAR($A455),MONTH($A455),1),$A$5:$A$800,"&lt;="&amp;$A455)+IF(AND(YEAR($A455)=YEAR(Settings!$B$3),MONTH($A455)=MONTH(Settings!$B$3)),Settings!$B$10,0))</f>
        <v/>
      </c>
      <c r="O455" s="78">
        <f>IF($A455="","",SUMIFS($K$5:$K$800,$A$5:$A$800,"&gt;="&amp;DATE(YEAR($A455),MONTH($A455),1),$A$5:$A$800,"&lt;="&amp;$A455)+IF(AND(YEAR($A455)=YEAR(Settings!$B$3),MONTH($A455)=MONTH(Settings!$B$3)),Settings!$B$11,0))</f>
        <v/>
      </c>
      <c r="P455" s="77">
        <f>IF($A455="","",SUMIFS($H$5:$H$800,$A$5:$A$800,"&gt;="&amp;DATE(YEAR($A455),MONTH($A455),1),$A$5:$A$800,"&lt;="&amp;$A455)+IF(AND(YEAR($A455)=YEAR(Settings!$B$3),MONTH($A455)=MONTH(Settings!$B$3)),Settings!$B$12,0))</f>
        <v/>
      </c>
      <c r="Q455" s="78">
        <f>IF($A455="","",SUMIFS($I$5:$I$800,$A$5:$A$800,"&gt;="&amp;DATE(YEAR($A455),MONTH($A455),1),$A$5:$A$800,"&lt;="&amp;$A455)+IF(AND(YEAR($A455)=YEAR(Settings!$B$3),MONTH($A455)=MONTH(Settings!$B$3)),Settings!$B$13,0))</f>
        <v/>
      </c>
      <c r="R455" s="77">
        <f>IF($A455="","",N455+P455)</f>
        <v/>
      </c>
      <c r="S455" s="78">
        <f>IF($A455="","",O455+Q455)</f>
        <v/>
      </c>
    </row>
    <row r="456">
      <c r="A456" s="67" t="n"/>
      <c r="B456" s="75" t="n"/>
      <c r="C456" s="76" t="n"/>
      <c r="D456" s="75" t="n"/>
      <c r="E456" s="76" t="n"/>
      <c r="F456" s="75" t="n"/>
      <c r="G456" s="76" t="n"/>
      <c r="H456" s="75" t="n"/>
      <c r="I456" s="76" t="n"/>
      <c r="J456" s="77">
        <f>IF($A456="","",B456+D456+F456)</f>
        <v/>
      </c>
      <c r="K456" s="78">
        <f>IF($A456="","",C456+E456+G456)</f>
        <v/>
      </c>
      <c r="L456" s="79">
        <f>IF($A456="","",J456+H456)</f>
        <v/>
      </c>
      <c r="M456" s="80">
        <f>IF($A456="","",K456+I456)</f>
        <v/>
      </c>
      <c r="N456" s="77">
        <f>IF($A456="","",SUMIFS($J$5:$J$800,$A$5:$A$800,"&gt;="&amp;DATE(YEAR($A456),MONTH($A456),1),$A$5:$A$800,"&lt;="&amp;$A456)+IF(AND(YEAR($A456)=YEAR(Settings!$B$3),MONTH($A456)=MONTH(Settings!$B$3)),Settings!$B$10,0))</f>
        <v/>
      </c>
      <c r="O456" s="78">
        <f>IF($A456="","",SUMIFS($K$5:$K$800,$A$5:$A$800,"&gt;="&amp;DATE(YEAR($A456),MONTH($A456),1),$A$5:$A$800,"&lt;="&amp;$A456)+IF(AND(YEAR($A456)=YEAR(Settings!$B$3),MONTH($A456)=MONTH(Settings!$B$3)),Settings!$B$11,0))</f>
        <v/>
      </c>
      <c r="P456" s="77">
        <f>IF($A456="","",SUMIFS($H$5:$H$800,$A$5:$A$800,"&gt;="&amp;DATE(YEAR($A456),MONTH($A456),1),$A$5:$A$800,"&lt;="&amp;$A456)+IF(AND(YEAR($A456)=YEAR(Settings!$B$3),MONTH($A456)=MONTH(Settings!$B$3)),Settings!$B$12,0))</f>
        <v/>
      </c>
      <c r="Q456" s="78">
        <f>IF($A456="","",SUMIFS($I$5:$I$800,$A$5:$A$800,"&gt;="&amp;DATE(YEAR($A456),MONTH($A456),1),$A$5:$A$800,"&lt;="&amp;$A456)+IF(AND(YEAR($A456)=YEAR(Settings!$B$3),MONTH($A456)=MONTH(Settings!$B$3)),Settings!$B$13,0))</f>
        <v/>
      </c>
      <c r="R456" s="77">
        <f>IF($A456="","",N456+P456)</f>
        <v/>
      </c>
      <c r="S456" s="78">
        <f>IF($A456="","",O456+Q456)</f>
        <v/>
      </c>
    </row>
    <row r="457">
      <c r="A457" s="67" t="n"/>
      <c r="B457" s="75" t="n"/>
      <c r="C457" s="76" t="n"/>
      <c r="D457" s="75" t="n"/>
      <c r="E457" s="76" t="n"/>
      <c r="F457" s="75" t="n"/>
      <c r="G457" s="76" t="n"/>
      <c r="H457" s="75" t="n"/>
      <c r="I457" s="76" t="n"/>
      <c r="J457" s="77">
        <f>IF($A457="","",B457+D457+F457)</f>
        <v/>
      </c>
      <c r="K457" s="78">
        <f>IF($A457="","",C457+E457+G457)</f>
        <v/>
      </c>
      <c r="L457" s="79">
        <f>IF($A457="","",J457+H457)</f>
        <v/>
      </c>
      <c r="M457" s="80">
        <f>IF($A457="","",K457+I457)</f>
        <v/>
      </c>
      <c r="N457" s="77">
        <f>IF($A457="","",SUMIFS($J$5:$J$800,$A$5:$A$800,"&gt;="&amp;DATE(YEAR($A457),MONTH($A457),1),$A$5:$A$800,"&lt;="&amp;$A457)+IF(AND(YEAR($A457)=YEAR(Settings!$B$3),MONTH($A457)=MONTH(Settings!$B$3)),Settings!$B$10,0))</f>
        <v/>
      </c>
      <c r="O457" s="78">
        <f>IF($A457="","",SUMIFS($K$5:$K$800,$A$5:$A$800,"&gt;="&amp;DATE(YEAR($A457),MONTH($A457),1),$A$5:$A$800,"&lt;="&amp;$A457)+IF(AND(YEAR($A457)=YEAR(Settings!$B$3),MONTH($A457)=MONTH(Settings!$B$3)),Settings!$B$11,0))</f>
        <v/>
      </c>
      <c r="P457" s="77">
        <f>IF($A457="","",SUMIFS($H$5:$H$800,$A$5:$A$800,"&gt;="&amp;DATE(YEAR($A457),MONTH($A457),1),$A$5:$A$800,"&lt;="&amp;$A457)+IF(AND(YEAR($A457)=YEAR(Settings!$B$3),MONTH($A457)=MONTH(Settings!$B$3)),Settings!$B$12,0))</f>
        <v/>
      </c>
      <c r="Q457" s="78">
        <f>IF($A457="","",SUMIFS($I$5:$I$800,$A$5:$A$800,"&gt;="&amp;DATE(YEAR($A457),MONTH($A457),1),$A$5:$A$800,"&lt;="&amp;$A457)+IF(AND(YEAR($A457)=YEAR(Settings!$B$3),MONTH($A457)=MONTH(Settings!$B$3)),Settings!$B$13,0))</f>
        <v/>
      </c>
      <c r="R457" s="77">
        <f>IF($A457="","",N457+P457)</f>
        <v/>
      </c>
      <c r="S457" s="78">
        <f>IF($A457="","",O457+Q457)</f>
        <v/>
      </c>
    </row>
    <row r="458">
      <c r="A458" s="67" t="n"/>
      <c r="B458" s="75" t="n"/>
      <c r="C458" s="76" t="n"/>
      <c r="D458" s="75" t="n"/>
      <c r="E458" s="76" t="n"/>
      <c r="F458" s="75" t="n"/>
      <c r="G458" s="76" t="n"/>
      <c r="H458" s="75" t="n"/>
      <c r="I458" s="76" t="n"/>
      <c r="J458" s="77">
        <f>IF($A458="","",B458+D458+F458)</f>
        <v/>
      </c>
      <c r="K458" s="78">
        <f>IF($A458="","",C458+E458+G458)</f>
        <v/>
      </c>
      <c r="L458" s="79">
        <f>IF($A458="","",J458+H458)</f>
        <v/>
      </c>
      <c r="M458" s="80">
        <f>IF($A458="","",K458+I458)</f>
        <v/>
      </c>
      <c r="N458" s="77">
        <f>IF($A458="","",SUMIFS($J$5:$J$800,$A$5:$A$800,"&gt;="&amp;DATE(YEAR($A458),MONTH($A458),1),$A$5:$A$800,"&lt;="&amp;$A458)+IF(AND(YEAR($A458)=YEAR(Settings!$B$3),MONTH($A458)=MONTH(Settings!$B$3)),Settings!$B$10,0))</f>
        <v/>
      </c>
      <c r="O458" s="78">
        <f>IF($A458="","",SUMIFS($K$5:$K$800,$A$5:$A$800,"&gt;="&amp;DATE(YEAR($A458),MONTH($A458),1),$A$5:$A$800,"&lt;="&amp;$A458)+IF(AND(YEAR($A458)=YEAR(Settings!$B$3),MONTH($A458)=MONTH(Settings!$B$3)),Settings!$B$11,0))</f>
        <v/>
      </c>
      <c r="P458" s="77">
        <f>IF($A458="","",SUMIFS($H$5:$H$800,$A$5:$A$800,"&gt;="&amp;DATE(YEAR($A458),MONTH($A458),1),$A$5:$A$800,"&lt;="&amp;$A458)+IF(AND(YEAR($A458)=YEAR(Settings!$B$3),MONTH($A458)=MONTH(Settings!$B$3)),Settings!$B$12,0))</f>
        <v/>
      </c>
      <c r="Q458" s="78">
        <f>IF($A458="","",SUMIFS($I$5:$I$800,$A$5:$A$800,"&gt;="&amp;DATE(YEAR($A458),MONTH($A458),1),$A$5:$A$800,"&lt;="&amp;$A458)+IF(AND(YEAR($A458)=YEAR(Settings!$B$3),MONTH($A458)=MONTH(Settings!$B$3)),Settings!$B$13,0))</f>
        <v/>
      </c>
      <c r="R458" s="77">
        <f>IF($A458="","",N458+P458)</f>
        <v/>
      </c>
      <c r="S458" s="78">
        <f>IF($A458="","",O458+Q458)</f>
        <v/>
      </c>
    </row>
    <row r="459">
      <c r="A459" s="67" t="n"/>
      <c r="B459" s="75" t="n"/>
      <c r="C459" s="76" t="n"/>
      <c r="D459" s="75" t="n"/>
      <c r="E459" s="76" t="n"/>
      <c r="F459" s="75" t="n"/>
      <c r="G459" s="76" t="n"/>
      <c r="H459" s="75" t="n"/>
      <c r="I459" s="76" t="n"/>
      <c r="J459" s="77">
        <f>IF($A459="","",B459+D459+F459)</f>
        <v/>
      </c>
      <c r="K459" s="78">
        <f>IF($A459="","",C459+E459+G459)</f>
        <v/>
      </c>
      <c r="L459" s="79">
        <f>IF($A459="","",J459+H459)</f>
        <v/>
      </c>
      <c r="M459" s="80">
        <f>IF($A459="","",K459+I459)</f>
        <v/>
      </c>
      <c r="N459" s="77">
        <f>IF($A459="","",SUMIFS($J$5:$J$800,$A$5:$A$800,"&gt;="&amp;DATE(YEAR($A459),MONTH($A459),1),$A$5:$A$800,"&lt;="&amp;$A459)+IF(AND(YEAR($A459)=YEAR(Settings!$B$3),MONTH($A459)=MONTH(Settings!$B$3)),Settings!$B$10,0))</f>
        <v/>
      </c>
      <c r="O459" s="78">
        <f>IF($A459="","",SUMIFS($K$5:$K$800,$A$5:$A$800,"&gt;="&amp;DATE(YEAR($A459),MONTH($A459),1),$A$5:$A$800,"&lt;="&amp;$A459)+IF(AND(YEAR($A459)=YEAR(Settings!$B$3),MONTH($A459)=MONTH(Settings!$B$3)),Settings!$B$11,0))</f>
        <v/>
      </c>
      <c r="P459" s="77">
        <f>IF($A459="","",SUMIFS($H$5:$H$800,$A$5:$A$800,"&gt;="&amp;DATE(YEAR($A459),MONTH($A459),1),$A$5:$A$800,"&lt;="&amp;$A459)+IF(AND(YEAR($A459)=YEAR(Settings!$B$3),MONTH($A459)=MONTH(Settings!$B$3)),Settings!$B$12,0))</f>
        <v/>
      </c>
      <c r="Q459" s="78">
        <f>IF($A459="","",SUMIFS($I$5:$I$800,$A$5:$A$800,"&gt;="&amp;DATE(YEAR($A459),MONTH($A459),1),$A$5:$A$800,"&lt;="&amp;$A459)+IF(AND(YEAR($A459)=YEAR(Settings!$B$3),MONTH($A459)=MONTH(Settings!$B$3)),Settings!$B$13,0))</f>
        <v/>
      </c>
      <c r="R459" s="77">
        <f>IF($A459="","",N459+P459)</f>
        <v/>
      </c>
      <c r="S459" s="78">
        <f>IF($A459="","",O459+Q459)</f>
        <v/>
      </c>
    </row>
    <row r="460">
      <c r="A460" s="67" t="n"/>
      <c r="B460" s="75" t="n"/>
      <c r="C460" s="76" t="n"/>
      <c r="D460" s="75" t="n"/>
      <c r="E460" s="76" t="n"/>
      <c r="F460" s="75" t="n"/>
      <c r="G460" s="76" t="n"/>
      <c r="H460" s="75" t="n"/>
      <c r="I460" s="76" t="n"/>
      <c r="J460" s="77">
        <f>IF($A460="","",B460+D460+F460)</f>
        <v/>
      </c>
      <c r="K460" s="78">
        <f>IF($A460="","",C460+E460+G460)</f>
        <v/>
      </c>
      <c r="L460" s="79">
        <f>IF($A460="","",J460+H460)</f>
        <v/>
      </c>
      <c r="M460" s="80">
        <f>IF($A460="","",K460+I460)</f>
        <v/>
      </c>
      <c r="N460" s="77">
        <f>IF($A460="","",SUMIFS($J$5:$J$800,$A$5:$A$800,"&gt;="&amp;DATE(YEAR($A460),MONTH($A460),1),$A$5:$A$800,"&lt;="&amp;$A460)+IF(AND(YEAR($A460)=YEAR(Settings!$B$3),MONTH($A460)=MONTH(Settings!$B$3)),Settings!$B$10,0))</f>
        <v/>
      </c>
      <c r="O460" s="78">
        <f>IF($A460="","",SUMIFS($K$5:$K$800,$A$5:$A$800,"&gt;="&amp;DATE(YEAR($A460),MONTH($A460),1),$A$5:$A$800,"&lt;="&amp;$A460)+IF(AND(YEAR($A460)=YEAR(Settings!$B$3),MONTH($A460)=MONTH(Settings!$B$3)),Settings!$B$11,0))</f>
        <v/>
      </c>
      <c r="P460" s="77">
        <f>IF($A460="","",SUMIFS($H$5:$H$800,$A$5:$A$800,"&gt;="&amp;DATE(YEAR($A460),MONTH($A460),1),$A$5:$A$800,"&lt;="&amp;$A460)+IF(AND(YEAR($A460)=YEAR(Settings!$B$3),MONTH($A460)=MONTH(Settings!$B$3)),Settings!$B$12,0))</f>
        <v/>
      </c>
      <c r="Q460" s="78">
        <f>IF($A460="","",SUMIFS($I$5:$I$800,$A$5:$A$800,"&gt;="&amp;DATE(YEAR($A460),MONTH($A460),1),$A$5:$A$800,"&lt;="&amp;$A460)+IF(AND(YEAR($A460)=YEAR(Settings!$B$3),MONTH($A460)=MONTH(Settings!$B$3)),Settings!$B$13,0))</f>
        <v/>
      </c>
      <c r="R460" s="77">
        <f>IF($A460="","",N460+P460)</f>
        <v/>
      </c>
      <c r="S460" s="78">
        <f>IF($A460="","",O460+Q460)</f>
        <v/>
      </c>
    </row>
    <row r="461">
      <c r="A461" s="67" t="n"/>
      <c r="B461" s="75" t="n"/>
      <c r="C461" s="76" t="n"/>
      <c r="D461" s="75" t="n"/>
      <c r="E461" s="76" t="n"/>
      <c r="F461" s="75" t="n"/>
      <c r="G461" s="76" t="n"/>
      <c r="H461" s="75" t="n"/>
      <c r="I461" s="76" t="n"/>
      <c r="J461" s="77">
        <f>IF($A461="","",B461+D461+F461)</f>
        <v/>
      </c>
      <c r="K461" s="78">
        <f>IF($A461="","",C461+E461+G461)</f>
        <v/>
      </c>
      <c r="L461" s="79">
        <f>IF($A461="","",J461+H461)</f>
        <v/>
      </c>
      <c r="M461" s="80">
        <f>IF($A461="","",K461+I461)</f>
        <v/>
      </c>
      <c r="N461" s="77">
        <f>IF($A461="","",SUMIFS($J$5:$J$800,$A$5:$A$800,"&gt;="&amp;DATE(YEAR($A461),MONTH($A461),1),$A$5:$A$800,"&lt;="&amp;$A461)+IF(AND(YEAR($A461)=YEAR(Settings!$B$3),MONTH($A461)=MONTH(Settings!$B$3)),Settings!$B$10,0))</f>
        <v/>
      </c>
      <c r="O461" s="78">
        <f>IF($A461="","",SUMIFS($K$5:$K$800,$A$5:$A$800,"&gt;="&amp;DATE(YEAR($A461),MONTH($A461),1),$A$5:$A$800,"&lt;="&amp;$A461)+IF(AND(YEAR($A461)=YEAR(Settings!$B$3),MONTH($A461)=MONTH(Settings!$B$3)),Settings!$B$11,0))</f>
        <v/>
      </c>
      <c r="P461" s="77">
        <f>IF($A461="","",SUMIFS($H$5:$H$800,$A$5:$A$800,"&gt;="&amp;DATE(YEAR($A461),MONTH($A461),1),$A$5:$A$800,"&lt;="&amp;$A461)+IF(AND(YEAR($A461)=YEAR(Settings!$B$3),MONTH($A461)=MONTH(Settings!$B$3)),Settings!$B$12,0))</f>
        <v/>
      </c>
      <c r="Q461" s="78">
        <f>IF($A461="","",SUMIFS($I$5:$I$800,$A$5:$A$800,"&gt;="&amp;DATE(YEAR($A461),MONTH($A461),1),$A$5:$A$800,"&lt;="&amp;$A461)+IF(AND(YEAR($A461)=YEAR(Settings!$B$3),MONTH($A461)=MONTH(Settings!$B$3)),Settings!$B$13,0))</f>
        <v/>
      </c>
      <c r="R461" s="77">
        <f>IF($A461="","",N461+P461)</f>
        <v/>
      </c>
      <c r="S461" s="78">
        <f>IF($A461="","",O461+Q461)</f>
        <v/>
      </c>
    </row>
    <row r="462">
      <c r="A462" s="67" t="n"/>
      <c r="B462" s="75" t="n"/>
      <c r="C462" s="76" t="n"/>
      <c r="D462" s="75" t="n"/>
      <c r="E462" s="76" t="n"/>
      <c r="F462" s="75" t="n"/>
      <c r="G462" s="76" t="n"/>
      <c r="H462" s="75" t="n"/>
      <c r="I462" s="76" t="n"/>
      <c r="J462" s="77">
        <f>IF($A462="","",B462+D462+F462)</f>
        <v/>
      </c>
      <c r="K462" s="78">
        <f>IF($A462="","",C462+E462+G462)</f>
        <v/>
      </c>
      <c r="L462" s="79">
        <f>IF($A462="","",J462+H462)</f>
        <v/>
      </c>
      <c r="M462" s="80">
        <f>IF($A462="","",K462+I462)</f>
        <v/>
      </c>
      <c r="N462" s="77">
        <f>IF($A462="","",SUMIFS($J$5:$J$800,$A$5:$A$800,"&gt;="&amp;DATE(YEAR($A462),MONTH($A462),1),$A$5:$A$800,"&lt;="&amp;$A462)+IF(AND(YEAR($A462)=YEAR(Settings!$B$3),MONTH($A462)=MONTH(Settings!$B$3)),Settings!$B$10,0))</f>
        <v/>
      </c>
      <c r="O462" s="78">
        <f>IF($A462="","",SUMIFS($K$5:$K$800,$A$5:$A$800,"&gt;="&amp;DATE(YEAR($A462),MONTH($A462),1),$A$5:$A$800,"&lt;="&amp;$A462)+IF(AND(YEAR($A462)=YEAR(Settings!$B$3),MONTH($A462)=MONTH(Settings!$B$3)),Settings!$B$11,0))</f>
        <v/>
      </c>
      <c r="P462" s="77">
        <f>IF($A462="","",SUMIFS($H$5:$H$800,$A$5:$A$800,"&gt;="&amp;DATE(YEAR($A462),MONTH($A462),1),$A$5:$A$800,"&lt;="&amp;$A462)+IF(AND(YEAR($A462)=YEAR(Settings!$B$3),MONTH($A462)=MONTH(Settings!$B$3)),Settings!$B$12,0))</f>
        <v/>
      </c>
      <c r="Q462" s="78">
        <f>IF($A462="","",SUMIFS($I$5:$I$800,$A$5:$A$800,"&gt;="&amp;DATE(YEAR($A462),MONTH($A462),1),$A$5:$A$800,"&lt;="&amp;$A462)+IF(AND(YEAR($A462)=YEAR(Settings!$B$3),MONTH($A462)=MONTH(Settings!$B$3)),Settings!$B$13,0))</f>
        <v/>
      </c>
      <c r="R462" s="77">
        <f>IF($A462="","",N462+P462)</f>
        <v/>
      </c>
      <c r="S462" s="78">
        <f>IF($A462="","",O462+Q462)</f>
        <v/>
      </c>
    </row>
    <row r="463">
      <c r="A463" s="67" t="n"/>
      <c r="B463" s="75" t="n"/>
      <c r="C463" s="76" t="n"/>
      <c r="D463" s="75" t="n"/>
      <c r="E463" s="76" t="n"/>
      <c r="F463" s="75" t="n"/>
      <c r="G463" s="76" t="n"/>
      <c r="H463" s="75" t="n"/>
      <c r="I463" s="76" t="n"/>
      <c r="J463" s="77">
        <f>IF($A463="","",B463+D463+F463)</f>
        <v/>
      </c>
      <c r="K463" s="78">
        <f>IF($A463="","",C463+E463+G463)</f>
        <v/>
      </c>
      <c r="L463" s="79">
        <f>IF($A463="","",J463+H463)</f>
        <v/>
      </c>
      <c r="M463" s="80">
        <f>IF($A463="","",K463+I463)</f>
        <v/>
      </c>
      <c r="N463" s="77">
        <f>IF($A463="","",SUMIFS($J$5:$J$800,$A$5:$A$800,"&gt;="&amp;DATE(YEAR($A463),MONTH($A463),1),$A$5:$A$800,"&lt;="&amp;$A463)+IF(AND(YEAR($A463)=YEAR(Settings!$B$3),MONTH($A463)=MONTH(Settings!$B$3)),Settings!$B$10,0))</f>
        <v/>
      </c>
      <c r="O463" s="78">
        <f>IF($A463="","",SUMIFS($K$5:$K$800,$A$5:$A$800,"&gt;="&amp;DATE(YEAR($A463),MONTH($A463),1),$A$5:$A$800,"&lt;="&amp;$A463)+IF(AND(YEAR($A463)=YEAR(Settings!$B$3),MONTH($A463)=MONTH(Settings!$B$3)),Settings!$B$11,0))</f>
        <v/>
      </c>
      <c r="P463" s="77">
        <f>IF($A463="","",SUMIFS($H$5:$H$800,$A$5:$A$800,"&gt;="&amp;DATE(YEAR($A463),MONTH($A463),1),$A$5:$A$800,"&lt;="&amp;$A463)+IF(AND(YEAR($A463)=YEAR(Settings!$B$3),MONTH($A463)=MONTH(Settings!$B$3)),Settings!$B$12,0))</f>
        <v/>
      </c>
      <c r="Q463" s="78">
        <f>IF($A463="","",SUMIFS($I$5:$I$800,$A$5:$A$800,"&gt;="&amp;DATE(YEAR($A463),MONTH($A463),1),$A$5:$A$800,"&lt;="&amp;$A463)+IF(AND(YEAR($A463)=YEAR(Settings!$B$3),MONTH($A463)=MONTH(Settings!$B$3)),Settings!$B$13,0))</f>
        <v/>
      </c>
      <c r="R463" s="77">
        <f>IF($A463="","",N463+P463)</f>
        <v/>
      </c>
      <c r="S463" s="78">
        <f>IF($A463="","",O463+Q463)</f>
        <v/>
      </c>
    </row>
    <row r="464">
      <c r="A464" s="67" t="n"/>
      <c r="B464" s="75" t="n"/>
      <c r="C464" s="76" t="n"/>
      <c r="D464" s="75" t="n"/>
      <c r="E464" s="76" t="n"/>
      <c r="F464" s="75" t="n"/>
      <c r="G464" s="76" t="n"/>
      <c r="H464" s="75" t="n"/>
      <c r="I464" s="76" t="n"/>
      <c r="J464" s="77">
        <f>IF($A464="","",B464+D464+F464)</f>
        <v/>
      </c>
      <c r="K464" s="78">
        <f>IF($A464="","",C464+E464+G464)</f>
        <v/>
      </c>
      <c r="L464" s="79">
        <f>IF($A464="","",J464+H464)</f>
        <v/>
      </c>
      <c r="M464" s="80">
        <f>IF($A464="","",K464+I464)</f>
        <v/>
      </c>
      <c r="N464" s="77">
        <f>IF($A464="","",SUMIFS($J$5:$J$800,$A$5:$A$800,"&gt;="&amp;DATE(YEAR($A464),MONTH($A464),1),$A$5:$A$800,"&lt;="&amp;$A464)+IF(AND(YEAR($A464)=YEAR(Settings!$B$3),MONTH($A464)=MONTH(Settings!$B$3)),Settings!$B$10,0))</f>
        <v/>
      </c>
      <c r="O464" s="78">
        <f>IF($A464="","",SUMIFS($K$5:$K$800,$A$5:$A$800,"&gt;="&amp;DATE(YEAR($A464),MONTH($A464),1),$A$5:$A$800,"&lt;="&amp;$A464)+IF(AND(YEAR($A464)=YEAR(Settings!$B$3),MONTH($A464)=MONTH(Settings!$B$3)),Settings!$B$11,0))</f>
        <v/>
      </c>
      <c r="P464" s="77">
        <f>IF($A464="","",SUMIFS($H$5:$H$800,$A$5:$A$800,"&gt;="&amp;DATE(YEAR($A464),MONTH($A464),1),$A$5:$A$800,"&lt;="&amp;$A464)+IF(AND(YEAR($A464)=YEAR(Settings!$B$3),MONTH($A464)=MONTH(Settings!$B$3)),Settings!$B$12,0))</f>
        <v/>
      </c>
      <c r="Q464" s="78">
        <f>IF($A464="","",SUMIFS($I$5:$I$800,$A$5:$A$800,"&gt;="&amp;DATE(YEAR($A464),MONTH($A464),1),$A$5:$A$800,"&lt;="&amp;$A464)+IF(AND(YEAR($A464)=YEAR(Settings!$B$3),MONTH($A464)=MONTH(Settings!$B$3)),Settings!$B$13,0))</f>
        <v/>
      </c>
      <c r="R464" s="77">
        <f>IF($A464="","",N464+P464)</f>
        <v/>
      </c>
      <c r="S464" s="78">
        <f>IF($A464="","",O464+Q464)</f>
        <v/>
      </c>
    </row>
    <row r="465">
      <c r="A465" s="67" t="n"/>
      <c r="B465" s="75" t="n"/>
      <c r="C465" s="76" t="n"/>
      <c r="D465" s="75" t="n"/>
      <c r="E465" s="76" t="n"/>
      <c r="F465" s="75" t="n"/>
      <c r="G465" s="76" t="n"/>
      <c r="H465" s="75" t="n"/>
      <c r="I465" s="76" t="n"/>
      <c r="J465" s="77">
        <f>IF($A465="","",B465+D465+F465)</f>
        <v/>
      </c>
      <c r="K465" s="78">
        <f>IF($A465="","",C465+E465+G465)</f>
        <v/>
      </c>
      <c r="L465" s="79">
        <f>IF($A465="","",J465+H465)</f>
        <v/>
      </c>
      <c r="M465" s="80">
        <f>IF($A465="","",K465+I465)</f>
        <v/>
      </c>
      <c r="N465" s="77">
        <f>IF($A465="","",SUMIFS($J$5:$J$800,$A$5:$A$800,"&gt;="&amp;DATE(YEAR($A465),MONTH($A465),1),$A$5:$A$800,"&lt;="&amp;$A465)+IF(AND(YEAR($A465)=YEAR(Settings!$B$3),MONTH($A465)=MONTH(Settings!$B$3)),Settings!$B$10,0))</f>
        <v/>
      </c>
      <c r="O465" s="78">
        <f>IF($A465="","",SUMIFS($K$5:$K$800,$A$5:$A$800,"&gt;="&amp;DATE(YEAR($A465),MONTH($A465),1),$A$5:$A$800,"&lt;="&amp;$A465)+IF(AND(YEAR($A465)=YEAR(Settings!$B$3),MONTH($A465)=MONTH(Settings!$B$3)),Settings!$B$11,0))</f>
        <v/>
      </c>
      <c r="P465" s="77">
        <f>IF($A465="","",SUMIFS($H$5:$H$800,$A$5:$A$800,"&gt;="&amp;DATE(YEAR($A465),MONTH($A465),1),$A$5:$A$800,"&lt;="&amp;$A465)+IF(AND(YEAR($A465)=YEAR(Settings!$B$3),MONTH($A465)=MONTH(Settings!$B$3)),Settings!$B$12,0))</f>
        <v/>
      </c>
      <c r="Q465" s="78">
        <f>IF($A465="","",SUMIFS($I$5:$I$800,$A$5:$A$800,"&gt;="&amp;DATE(YEAR($A465),MONTH($A465),1),$A$5:$A$800,"&lt;="&amp;$A465)+IF(AND(YEAR($A465)=YEAR(Settings!$B$3),MONTH($A465)=MONTH(Settings!$B$3)),Settings!$B$13,0))</f>
        <v/>
      </c>
      <c r="R465" s="77">
        <f>IF($A465="","",N465+P465)</f>
        <v/>
      </c>
      <c r="S465" s="78">
        <f>IF($A465="","",O465+Q465)</f>
        <v/>
      </c>
    </row>
    <row r="466">
      <c r="A466" s="67" t="n"/>
      <c r="B466" s="75" t="n"/>
      <c r="C466" s="76" t="n"/>
      <c r="D466" s="75" t="n"/>
      <c r="E466" s="76" t="n"/>
      <c r="F466" s="75" t="n"/>
      <c r="G466" s="76" t="n"/>
      <c r="H466" s="75" t="n"/>
      <c r="I466" s="76" t="n"/>
      <c r="J466" s="77">
        <f>IF($A466="","",B466+D466+F466)</f>
        <v/>
      </c>
      <c r="K466" s="78">
        <f>IF($A466="","",C466+E466+G466)</f>
        <v/>
      </c>
      <c r="L466" s="79">
        <f>IF($A466="","",J466+H466)</f>
        <v/>
      </c>
      <c r="M466" s="80">
        <f>IF($A466="","",K466+I466)</f>
        <v/>
      </c>
      <c r="N466" s="77">
        <f>IF($A466="","",SUMIFS($J$5:$J$800,$A$5:$A$800,"&gt;="&amp;DATE(YEAR($A466),MONTH($A466),1),$A$5:$A$800,"&lt;="&amp;$A466)+IF(AND(YEAR($A466)=YEAR(Settings!$B$3),MONTH($A466)=MONTH(Settings!$B$3)),Settings!$B$10,0))</f>
        <v/>
      </c>
      <c r="O466" s="78">
        <f>IF($A466="","",SUMIFS($K$5:$K$800,$A$5:$A$800,"&gt;="&amp;DATE(YEAR($A466),MONTH($A466),1),$A$5:$A$800,"&lt;="&amp;$A466)+IF(AND(YEAR($A466)=YEAR(Settings!$B$3),MONTH($A466)=MONTH(Settings!$B$3)),Settings!$B$11,0))</f>
        <v/>
      </c>
      <c r="P466" s="77">
        <f>IF($A466="","",SUMIFS($H$5:$H$800,$A$5:$A$800,"&gt;="&amp;DATE(YEAR($A466),MONTH($A466),1),$A$5:$A$800,"&lt;="&amp;$A466)+IF(AND(YEAR($A466)=YEAR(Settings!$B$3),MONTH($A466)=MONTH(Settings!$B$3)),Settings!$B$12,0))</f>
        <v/>
      </c>
      <c r="Q466" s="78">
        <f>IF($A466="","",SUMIFS($I$5:$I$800,$A$5:$A$800,"&gt;="&amp;DATE(YEAR($A466),MONTH($A466),1),$A$5:$A$800,"&lt;="&amp;$A466)+IF(AND(YEAR($A466)=YEAR(Settings!$B$3),MONTH($A466)=MONTH(Settings!$B$3)),Settings!$B$13,0))</f>
        <v/>
      </c>
      <c r="R466" s="77">
        <f>IF($A466="","",N466+P466)</f>
        <v/>
      </c>
      <c r="S466" s="78">
        <f>IF($A466="","",O466+Q466)</f>
        <v/>
      </c>
    </row>
    <row r="467">
      <c r="A467" s="67" t="n"/>
      <c r="B467" s="75" t="n"/>
      <c r="C467" s="76" t="n"/>
      <c r="D467" s="75" t="n"/>
      <c r="E467" s="76" t="n"/>
      <c r="F467" s="75" t="n"/>
      <c r="G467" s="76" t="n"/>
      <c r="H467" s="75" t="n"/>
      <c r="I467" s="76" t="n"/>
      <c r="J467" s="77">
        <f>IF($A467="","",B467+D467+F467)</f>
        <v/>
      </c>
      <c r="K467" s="78">
        <f>IF($A467="","",C467+E467+G467)</f>
        <v/>
      </c>
      <c r="L467" s="79">
        <f>IF($A467="","",J467+H467)</f>
        <v/>
      </c>
      <c r="M467" s="80">
        <f>IF($A467="","",K467+I467)</f>
        <v/>
      </c>
      <c r="N467" s="77">
        <f>IF($A467="","",SUMIFS($J$5:$J$800,$A$5:$A$800,"&gt;="&amp;DATE(YEAR($A467),MONTH($A467),1),$A$5:$A$800,"&lt;="&amp;$A467)+IF(AND(YEAR($A467)=YEAR(Settings!$B$3),MONTH($A467)=MONTH(Settings!$B$3)),Settings!$B$10,0))</f>
        <v/>
      </c>
      <c r="O467" s="78">
        <f>IF($A467="","",SUMIFS($K$5:$K$800,$A$5:$A$800,"&gt;="&amp;DATE(YEAR($A467),MONTH($A467),1),$A$5:$A$800,"&lt;="&amp;$A467)+IF(AND(YEAR($A467)=YEAR(Settings!$B$3),MONTH($A467)=MONTH(Settings!$B$3)),Settings!$B$11,0))</f>
        <v/>
      </c>
      <c r="P467" s="77">
        <f>IF($A467="","",SUMIFS($H$5:$H$800,$A$5:$A$800,"&gt;="&amp;DATE(YEAR($A467),MONTH($A467),1),$A$5:$A$800,"&lt;="&amp;$A467)+IF(AND(YEAR($A467)=YEAR(Settings!$B$3),MONTH($A467)=MONTH(Settings!$B$3)),Settings!$B$12,0))</f>
        <v/>
      </c>
      <c r="Q467" s="78">
        <f>IF($A467="","",SUMIFS($I$5:$I$800,$A$5:$A$800,"&gt;="&amp;DATE(YEAR($A467),MONTH($A467),1),$A$5:$A$800,"&lt;="&amp;$A467)+IF(AND(YEAR($A467)=YEAR(Settings!$B$3),MONTH($A467)=MONTH(Settings!$B$3)),Settings!$B$13,0))</f>
        <v/>
      </c>
      <c r="R467" s="77">
        <f>IF($A467="","",N467+P467)</f>
        <v/>
      </c>
      <c r="S467" s="78">
        <f>IF($A467="","",O467+Q467)</f>
        <v/>
      </c>
    </row>
    <row r="468">
      <c r="A468" s="67" t="n"/>
      <c r="B468" s="75" t="n"/>
      <c r="C468" s="76" t="n"/>
      <c r="D468" s="75" t="n"/>
      <c r="E468" s="76" t="n"/>
      <c r="F468" s="75" t="n"/>
      <c r="G468" s="76" t="n"/>
      <c r="H468" s="75" t="n"/>
      <c r="I468" s="76" t="n"/>
      <c r="J468" s="77">
        <f>IF($A468="","",B468+D468+F468)</f>
        <v/>
      </c>
      <c r="K468" s="78">
        <f>IF($A468="","",C468+E468+G468)</f>
        <v/>
      </c>
      <c r="L468" s="79">
        <f>IF($A468="","",J468+H468)</f>
        <v/>
      </c>
      <c r="M468" s="80">
        <f>IF($A468="","",K468+I468)</f>
        <v/>
      </c>
      <c r="N468" s="77">
        <f>IF($A468="","",SUMIFS($J$5:$J$800,$A$5:$A$800,"&gt;="&amp;DATE(YEAR($A468),MONTH($A468),1),$A$5:$A$800,"&lt;="&amp;$A468)+IF(AND(YEAR($A468)=YEAR(Settings!$B$3),MONTH($A468)=MONTH(Settings!$B$3)),Settings!$B$10,0))</f>
        <v/>
      </c>
      <c r="O468" s="78">
        <f>IF($A468="","",SUMIFS($K$5:$K$800,$A$5:$A$800,"&gt;="&amp;DATE(YEAR($A468),MONTH($A468),1),$A$5:$A$800,"&lt;="&amp;$A468)+IF(AND(YEAR($A468)=YEAR(Settings!$B$3),MONTH($A468)=MONTH(Settings!$B$3)),Settings!$B$11,0))</f>
        <v/>
      </c>
      <c r="P468" s="77">
        <f>IF($A468="","",SUMIFS($H$5:$H$800,$A$5:$A$800,"&gt;="&amp;DATE(YEAR($A468),MONTH($A468),1),$A$5:$A$800,"&lt;="&amp;$A468)+IF(AND(YEAR($A468)=YEAR(Settings!$B$3),MONTH($A468)=MONTH(Settings!$B$3)),Settings!$B$12,0))</f>
        <v/>
      </c>
      <c r="Q468" s="78">
        <f>IF($A468="","",SUMIFS($I$5:$I$800,$A$5:$A$800,"&gt;="&amp;DATE(YEAR($A468),MONTH($A468),1),$A$5:$A$800,"&lt;="&amp;$A468)+IF(AND(YEAR($A468)=YEAR(Settings!$B$3),MONTH($A468)=MONTH(Settings!$B$3)),Settings!$B$13,0))</f>
        <v/>
      </c>
      <c r="R468" s="77">
        <f>IF($A468="","",N468+P468)</f>
        <v/>
      </c>
      <c r="S468" s="78">
        <f>IF($A468="","",O468+Q468)</f>
        <v/>
      </c>
    </row>
    <row r="469">
      <c r="A469" s="67" t="n"/>
      <c r="B469" s="75" t="n"/>
      <c r="C469" s="76" t="n"/>
      <c r="D469" s="75" t="n"/>
      <c r="E469" s="76" t="n"/>
      <c r="F469" s="75" t="n"/>
      <c r="G469" s="76" t="n"/>
      <c r="H469" s="75" t="n"/>
      <c r="I469" s="76" t="n"/>
      <c r="J469" s="77">
        <f>IF($A469="","",B469+D469+F469)</f>
        <v/>
      </c>
      <c r="K469" s="78">
        <f>IF($A469="","",C469+E469+G469)</f>
        <v/>
      </c>
      <c r="L469" s="79">
        <f>IF($A469="","",J469+H469)</f>
        <v/>
      </c>
      <c r="M469" s="80">
        <f>IF($A469="","",K469+I469)</f>
        <v/>
      </c>
      <c r="N469" s="77">
        <f>IF($A469="","",SUMIFS($J$5:$J$800,$A$5:$A$800,"&gt;="&amp;DATE(YEAR($A469),MONTH($A469),1),$A$5:$A$800,"&lt;="&amp;$A469)+IF(AND(YEAR($A469)=YEAR(Settings!$B$3),MONTH($A469)=MONTH(Settings!$B$3)),Settings!$B$10,0))</f>
        <v/>
      </c>
      <c r="O469" s="78">
        <f>IF($A469="","",SUMIFS($K$5:$K$800,$A$5:$A$800,"&gt;="&amp;DATE(YEAR($A469),MONTH($A469),1),$A$5:$A$800,"&lt;="&amp;$A469)+IF(AND(YEAR($A469)=YEAR(Settings!$B$3),MONTH($A469)=MONTH(Settings!$B$3)),Settings!$B$11,0))</f>
        <v/>
      </c>
      <c r="P469" s="77">
        <f>IF($A469="","",SUMIFS($H$5:$H$800,$A$5:$A$800,"&gt;="&amp;DATE(YEAR($A469),MONTH($A469),1),$A$5:$A$800,"&lt;="&amp;$A469)+IF(AND(YEAR($A469)=YEAR(Settings!$B$3),MONTH($A469)=MONTH(Settings!$B$3)),Settings!$B$12,0))</f>
        <v/>
      </c>
      <c r="Q469" s="78">
        <f>IF($A469="","",SUMIFS($I$5:$I$800,$A$5:$A$800,"&gt;="&amp;DATE(YEAR($A469),MONTH($A469),1),$A$5:$A$800,"&lt;="&amp;$A469)+IF(AND(YEAR($A469)=YEAR(Settings!$B$3),MONTH($A469)=MONTH(Settings!$B$3)),Settings!$B$13,0))</f>
        <v/>
      </c>
      <c r="R469" s="77">
        <f>IF($A469="","",N469+P469)</f>
        <v/>
      </c>
      <c r="S469" s="78">
        <f>IF($A469="","",O469+Q469)</f>
        <v/>
      </c>
    </row>
    <row r="470">
      <c r="A470" s="67" t="n"/>
      <c r="B470" s="75" t="n"/>
      <c r="C470" s="76" t="n"/>
      <c r="D470" s="75" t="n"/>
      <c r="E470" s="76" t="n"/>
      <c r="F470" s="75" t="n"/>
      <c r="G470" s="76" t="n"/>
      <c r="H470" s="75" t="n"/>
      <c r="I470" s="76" t="n"/>
      <c r="J470" s="77">
        <f>IF($A470="","",B470+D470+F470)</f>
        <v/>
      </c>
      <c r="K470" s="78">
        <f>IF($A470="","",C470+E470+G470)</f>
        <v/>
      </c>
      <c r="L470" s="79">
        <f>IF($A470="","",J470+H470)</f>
        <v/>
      </c>
      <c r="M470" s="80">
        <f>IF($A470="","",K470+I470)</f>
        <v/>
      </c>
      <c r="N470" s="77">
        <f>IF($A470="","",SUMIFS($J$5:$J$800,$A$5:$A$800,"&gt;="&amp;DATE(YEAR($A470),MONTH($A470),1),$A$5:$A$800,"&lt;="&amp;$A470)+IF(AND(YEAR($A470)=YEAR(Settings!$B$3),MONTH($A470)=MONTH(Settings!$B$3)),Settings!$B$10,0))</f>
        <v/>
      </c>
      <c r="O470" s="78">
        <f>IF($A470="","",SUMIFS($K$5:$K$800,$A$5:$A$800,"&gt;="&amp;DATE(YEAR($A470),MONTH($A470),1),$A$5:$A$800,"&lt;="&amp;$A470)+IF(AND(YEAR($A470)=YEAR(Settings!$B$3),MONTH($A470)=MONTH(Settings!$B$3)),Settings!$B$11,0))</f>
        <v/>
      </c>
      <c r="P470" s="77">
        <f>IF($A470="","",SUMIFS($H$5:$H$800,$A$5:$A$800,"&gt;="&amp;DATE(YEAR($A470),MONTH($A470),1),$A$5:$A$800,"&lt;="&amp;$A470)+IF(AND(YEAR($A470)=YEAR(Settings!$B$3),MONTH($A470)=MONTH(Settings!$B$3)),Settings!$B$12,0))</f>
        <v/>
      </c>
      <c r="Q470" s="78">
        <f>IF($A470="","",SUMIFS($I$5:$I$800,$A$5:$A$800,"&gt;="&amp;DATE(YEAR($A470),MONTH($A470),1),$A$5:$A$800,"&lt;="&amp;$A470)+IF(AND(YEAR($A470)=YEAR(Settings!$B$3),MONTH($A470)=MONTH(Settings!$B$3)),Settings!$B$13,0))</f>
        <v/>
      </c>
      <c r="R470" s="77">
        <f>IF($A470="","",N470+P470)</f>
        <v/>
      </c>
      <c r="S470" s="78">
        <f>IF($A470="","",O470+Q470)</f>
        <v/>
      </c>
    </row>
    <row r="471">
      <c r="A471" s="67" t="n"/>
      <c r="B471" s="75" t="n"/>
      <c r="C471" s="76" t="n"/>
      <c r="D471" s="75" t="n"/>
      <c r="E471" s="76" t="n"/>
      <c r="F471" s="75" t="n"/>
      <c r="G471" s="76" t="n"/>
      <c r="H471" s="75" t="n"/>
      <c r="I471" s="76" t="n"/>
      <c r="J471" s="77">
        <f>IF($A471="","",B471+D471+F471)</f>
        <v/>
      </c>
      <c r="K471" s="78">
        <f>IF($A471="","",C471+E471+G471)</f>
        <v/>
      </c>
      <c r="L471" s="79">
        <f>IF($A471="","",J471+H471)</f>
        <v/>
      </c>
      <c r="M471" s="80">
        <f>IF($A471="","",K471+I471)</f>
        <v/>
      </c>
      <c r="N471" s="77">
        <f>IF($A471="","",SUMIFS($J$5:$J$800,$A$5:$A$800,"&gt;="&amp;DATE(YEAR($A471),MONTH($A471),1),$A$5:$A$800,"&lt;="&amp;$A471)+IF(AND(YEAR($A471)=YEAR(Settings!$B$3),MONTH($A471)=MONTH(Settings!$B$3)),Settings!$B$10,0))</f>
        <v/>
      </c>
      <c r="O471" s="78">
        <f>IF($A471="","",SUMIFS($K$5:$K$800,$A$5:$A$800,"&gt;="&amp;DATE(YEAR($A471),MONTH($A471),1),$A$5:$A$800,"&lt;="&amp;$A471)+IF(AND(YEAR($A471)=YEAR(Settings!$B$3),MONTH($A471)=MONTH(Settings!$B$3)),Settings!$B$11,0))</f>
        <v/>
      </c>
      <c r="P471" s="77">
        <f>IF($A471="","",SUMIFS($H$5:$H$800,$A$5:$A$800,"&gt;="&amp;DATE(YEAR($A471),MONTH($A471),1),$A$5:$A$800,"&lt;="&amp;$A471)+IF(AND(YEAR($A471)=YEAR(Settings!$B$3),MONTH($A471)=MONTH(Settings!$B$3)),Settings!$B$12,0))</f>
        <v/>
      </c>
      <c r="Q471" s="78">
        <f>IF($A471="","",SUMIFS($I$5:$I$800,$A$5:$A$800,"&gt;="&amp;DATE(YEAR($A471),MONTH($A471),1),$A$5:$A$800,"&lt;="&amp;$A471)+IF(AND(YEAR($A471)=YEAR(Settings!$B$3),MONTH($A471)=MONTH(Settings!$B$3)),Settings!$B$13,0))</f>
        <v/>
      </c>
      <c r="R471" s="77">
        <f>IF($A471="","",N471+P471)</f>
        <v/>
      </c>
      <c r="S471" s="78">
        <f>IF($A471="","",O471+Q471)</f>
        <v/>
      </c>
    </row>
    <row r="472">
      <c r="A472" s="67" t="n"/>
      <c r="B472" s="75" t="n"/>
      <c r="C472" s="76" t="n"/>
      <c r="D472" s="75" t="n"/>
      <c r="E472" s="76" t="n"/>
      <c r="F472" s="75" t="n"/>
      <c r="G472" s="76" t="n"/>
      <c r="H472" s="75" t="n"/>
      <c r="I472" s="76" t="n"/>
      <c r="J472" s="77">
        <f>IF($A472="","",B472+D472+F472)</f>
        <v/>
      </c>
      <c r="K472" s="78">
        <f>IF($A472="","",C472+E472+G472)</f>
        <v/>
      </c>
      <c r="L472" s="79">
        <f>IF($A472="","",J472+H472)</f>
        <v/>
      </c>
      <c r="M472" s="80">
        <f>IF($A472="","",K472+I472)</f>
        <v/>
      </c>
      <c r="N472" s="77">
        <f>IF($A472="","",SUMIFS($J$5:$J$800,$A$5:$A$800,"&gt;="&amp;DATE(YEAR($A472),MONTH($A472),1),$A$5:$A$800,"&lt;="&amp;$A472)+IF(AND(YEAR($A472)=YEAR(Settings!$B$3),MONTH($A472)=MONTH(Settings!$B$3)),Settings!$B$10,0))</f>
        <v/>
      </c>
      <c r="O472" s="78">
        <f>IF($A472="","",SUMIFS($K$5:$K$800,$A$5:$A$800,"&gt;="&amp;DATE(YEAR($A472),MONTH($A472),1),$A$5:$A$800,"&lt;="&amp;$A472)+IF(AND(YEAR($A472)=YEAR(Settings!$B$3),MONTH($A472)=MONTH(Settings!$B$3)),Settings!$B$11,0))</f>
        <v/>
      </c>
      <c r="P472" s="77">
        <f>IF($A472="","",SUMIFS($H$5:$H$800,$A$5:$A$800,"&gt;="&amp;DATE(YEAR($A472),MONTH($A472),1),$A$5:$A$800,"&lt;="&amp;$A472)+IF(AND(YEAR($A472)=YEAR(Settings!$B$3),MONTH($A472)=MONTH(Settings!$B$3)),Settings!$B$12,0))</f>
        <v/>
      </c>
      <c r="Q472" s="78">
        <f>IF($A472="","",SUMIFS($I$5:$I$800,$A$5:$A$800,"&gt;="&amp;DATE(YEAR($A472),MONTH($A472),1),$A$5:$A$800,"&lt;="&amp;$A472)+IF(AND(YEAR($A472)=YEAR(Settings!$B$3),MONTH($A472)=MONTH(Settings!$B$3)),Settings!$B$13,0))</f>
        <v/>
      </c>
      <c r="R472" s="77">
        <f>IF($A472="","",N472+P472)</f>
        <v/>
      </c>
      <c r="S472" s="78">
        <f>IF($A472="","",O472+Q472)</f>
        <v/>
      </c>
    </row>
    <row r="473">
      <c r="A473" s="67" t="n"/>
      <c r="B473" s="75" t="n"/>
      <c r="C473" s="76" t="n"/>
      <c r="D473" s="75" t="n"/>
      <c r="E473" s="76" t="n"/>
      <c r="F473" s="75" t="n"/>
      <c r="G473" s="76" t="n"/>
      <c r="H473" s="75" t="n"/>
      <c r="I473" s="76" t="n"/>
      <c r="J473" s="77">
        <f>IF($A473="","",B473+D473+F473)</f>
        <v/>
      </c>
      <c r="K473" s="78">
        <f>IF($A473="","",C473+E473+G473)</f>
        <v/>
      </c>
      <c r="L473" s="79">
        <f>IF($A473="","",J473+H473)</f>
        <v/>
      </c>
      <c r="M473" s="80">
        <f>IF($A473="","",K473+I473)</f>
        <v/>
      </c>
      <c r="N473" s="77">
        <f>IF($A473="","",SUMIFS($J$5:$J$800,$A$5:$A$800,"&gt;="&amp;DATE(YEAR($A473),MONTH($A473),1),$A$5:$A$800,"&lt;="&amp;$A473)+IF(AND(YEAR($A473)=YEAR(Settings!$B$3),MONTH($A473)=MONTH(Settings!$B$3)),Settings!$B$10,0))</f>
        <v/>
      </c>
      <c r="O473" s="78">
        <f>IF($A473="","",SUMIFS($K$5:$K$800,$A$5:$A$800,"&gt;="&amp;DATE(YEAR($A473),MONTH($A473),1),$A$5:$A$800,"&lt;="&amp;$A473)+IF(AND(YEAR($A473)=YEAR(Settings!$B$3),MONTH($A473)=MONTH(Settings!$B$3)),Settings!$B$11,0))</f>
        <v/>
      </c>
      <c r="P473" s="77">
        <f>IF($A473="","",SUMIFS($H$5:$H$800,$A$5:$A$800,"&gt;="&amp;DATE(YEAR($A473),MONTH($A473),1),$A$5:$A$800,"&lt;="&amp;$A473)+IF(AND(YEAR($A473)=YEAR(Settings!$B$3),MONTH($A473)=MONTH(Settings!$B$3)),Settings!$B$12,0))</f>
        <v/>
      </c>
      <c r="Q473" s="78">
        <f>IF($A473="","",SUMIFS($I$5:$I$800,$A$5:$A$800,"&gt;="&amp;DATE(YEAR($A473),MONTH($A473),1),$A$5:$A$800,"&lt;="&amp;$A473)+IF(AND(YEAR($A473)=YEAR(Settings!$B$3),MONTH($A473)=MONTH(Settings!$B$3)),Settings!$B$13,0))</f>
        <v/>
      </c>
      <c r="R473" s="77">
        <f>IF($A473="","",N473+P473)</f>
        <v/>
      </c>
      <c r="S473" s="78">
        <f>IF($A473="","",O473+Q473)</f>
        <v/>
      </c>
    </row>
    <row r="474">
      <c r="A474" s="67" t="n"/>
      <c r="B474" s="75" t="n"/>
      <c r="C474" s="76" t="n"/>
      <c r="D474" s="75" t="n"/>
      <c r="E474" s="76" t="n"/>
      <c r="F474" s="75" t="n"/>
      <c r="G474" s="76" t="n"/>
      <c r="H474" s="75" t="n"/>
      <c r="I474" s="76" t="n"/>
      <c r="J474" s="77">
        <f>IF($A474="","",B474+D474+F474)</f>
        <v/>
      </c>
      <c r="K474" s="78">
        <f>IF($A474="","",C474+E474+G474)</f>
        <v/>
      </c>
      <c r="L474" s="79">
        <f>IF($A474="","",J474+H474)</f>
        <v/>
      </c>
      <c r="M474" s="80">
        <f>IF($A474="","",K474+I474)</f>
        <v/>
      </c>
      <c r="N474" s="77">
        <f>IF($A474="","",SUMIFS($J$5:$J$800,$A$5:$A$800,"&gt;="&amp;DATE(YEAR($A474),MONTH($A474),1),$A$5:$A$800,"&lt;="&amp;$A474)+IF(AND(YEAR($A474)=YEAR(Settings!$B$3),MONTH($A474)=MONTH(Settings!$B$3)),Settings!$B$10,0))</f>
        <v/>
      </c>
      <c r="O474" s="78">
        <f>IF($A474="","",SUMIFS($K$5:$K$800,$A$5:$A$800,"&gt;="&amp;DATE(YEAR($A474),MONTH($A474),1),$A$5:$A$800,"&lt;="&amp;$A474)+IF(AND(YEAR($A474)=YEAR(Settings!$B$3),MONTH($A474)=MONTH(Settings!$B$3)),Settings!$B$11,0))</f>
        <v/>
      </c>
      <c r="P474" s="77">
        <f>IF($A474="","",SUMIFS($H$5:$H$800,$A$5:$A$800,"&gt;="&amp;DATE(YEAR($A474),MONTH($A474),1),$A$5:$A$800,"&lt;="&amp;$A474)+IF(AND(YEAR($A474)=YEAR(Settings!$B$3),MONTH($A474)=MONTH(Settings!$B$3)),Settings!$B$12,0))</f>
        <v/>
      </c>
      <c r="Q474" s="78">
        <f>IF($A474="","",SUMIFS($I$5:$I$800,$A$5:$A$800,"&gt;="&amp;DATE(YEAR($A474),MONTH($A474),1),$A$5:$A$800,"&lt;="&amp;$A474)+IF(AND(YEAR($A474)=YEAR(Settings!$B$3),MONTH($A474)=MONTH(Settings!$B$3)),Settings!$B$13,0))</f>
        <v/>
      </c>
      <c r="R474" s="77">
        <f>IF($A474="","",N474+P474)</f>
        <v/>
      </c>
      <c r="S474" s="78">
        <f>IF($A474="","",O474+Q474)</f>
        <v/>
      </c>
    </row>
    <row r="475">
      <c r="A475" s="67" t="n"/>
      <c r="B475" s="75" t="n"/>
      <c r="C475" s="76" t="n"/>
      <c r="D475" s="75" t="n"/>
      <c r="E475" s="76" t="n"/>
      <c r="F475" s="75" t="n"/>
      <c r="G475" s="76" t="n"/>
      <c r="H475" s="75" t="n"/>
      <c r="I475" s="76" t="n"/>
      <c r="J475" s="77">
        <f>IF($A475="","",B475+D475+F475)</f>
        <v/>
      </c>
      <c r="K475" s="78">
        <f>IF($A475="","",C475+E475+G475)</f>
        <v/>
      </c>
      <c r="L475" s="79">
        <f>IF($A475="","",J475+H475)</f>
        <v/>
      </c>
      <c r="M475" s="80">
        <f>IF($A475="","",K475+I475)</f>
        <v/>
      </c>
      <c r="N475" s="77">
        <f>IF($A475="","",SUMIFS($J$5:$J$800,$A$5:$A$800,"&gt;="&amp;DATE(YEAR($A475),MONTH($A475),1),$A$5:$A$800,"&lt;="&amp;$A475)+IF(AND(YEAR($A475)=YEAR(Settings!$B$3),MONTH($A475)=MONTH(Settings!$B$3)),Settings!$B$10,0))</f>
        <v/>
      </c>
      <c r="O475" s="78">
        <f>IF($A475="","",SUMIFS($K$5:$K$800,$A$5:$A$800,"&gt;="&amp;DATE(YEAR($A475),MONTH($A475),1),$A$5:$A$800,"&lt;="&amp;$A475)+IF(AND(YEAR($A475)=YEAR(Settings!$B$3),MONTH($A475)=MONTH(Settings!$B$3)),Settings!$B$11,0))</f>
        <v/>
      </c>
      <c r="P475" s="77">
        <f>IF($A475="","",SUMIFS($H$5:$H$800,$A$5:$A$800,"&gt;="&amp;DATE(YEAR($A475),MONTH($A475),1),$A$5:$A$800,"&lt;="&amp;$A475)+IF(AND(YEAR($A475)=YEAR(Settings!$B$3),MONTH($A475)=MONTH(Settings!$B$3)),Settings!$B$12,0))</f>
        <v/>
      </c>
      <c r="Q475" s="78">
        <f>IF($A475="","",SUMIFS($I$5:$I$800,$A$5:$A$800,"&gt;="&amp;DATE(YEAR($A475),MONTH($A475),1),$A$5:$A$800,"&lt;="&amp;$A475)+IF(AND(YEAR($A475)=YEAR(Settings!$B$3),MONTH($A475)=MONTH(Settings!$B$3)),Settings!$B$13,0))</f>
        <v/>
      </c>
      <c r="R475" s="77">
        <f>IF($A475="","",N475+P475)</f>
        <v/>
      </c>
      <c r="S475" s="78">
        <f>IF($A475="","",O475+Q475)</f>
        <v/>
      </c>
    </row>
    <row r="476">
      <c r="A476" s="67" t="n"/>
      <c r="B476" s="75" t="n"/>
      <c r="C476" s="76" t="n"/>
      <c r="D476" s="75" t="n"/>
      <c r="E476" s="76" t="n"/>
      <c r="F476" s="75" t="n"/>
      <c r="G476" s="76" t="n"/>
      <c r="H476" s="75" t="n"/>
      <c r="I476" s="76" t="n"/>
      <c r="J476" s="77">
        <f>IF($A476="","",B476+D476+F476)</f>
        <v/>
      </c>
      <c r="K476" s="78">
        <f>IF($A476="","",C476+E476+G476)</f>
        <v/>
      </c>
      <c r="L476" s="79">
        <f>IF($A476="","",J476+H476)</f>
        <v/>
      </c>
      <c r="M476" s="80">
        <f>IF($A476="","",K476+I476)</f>
        <v/>
      </c>
      <c r="N476" s="77">
        <f>IF($A476="","",SUMIFS($J$5:$J$800,$A$5:$A$800,"&gt;="&amp;DATE(YEAR($A476),MONTH($A476),1),$A$5:$A$800,"&lt;="&amp;$A476)+IF(AND(YEAR($A476)=YEAR(Settings!$B$3),MONTH($A476)=MONTH(Settings!$B$3)),Settings!$B$10,0))</f>
        <v/>
      </c>
      <c r="O476" s="78">
        <f>IF($A476="","",SUMIFS($K$5:$K$800,$A$5:$A$800,"&gt;="&amp;DATE(YEAR($A476),MONTH($A476),1),$A$5:$A$800,"&lt;="&amp;$A476)+IF(AND(YEAR($A476)=YEAR(Settings!$B$3),MONTH($A476)=MONTH(Settings!$B$3)),Settings!$B$11,0))</f>
        <v/>
      </c>
      <c r="P476" s="77">
        <f>IF($A476="","",SUMIFS($H$5:$H$800,$A$5:$A$800,"&gt;="&amp;DATE(YEAR($A476),MONTH($A476),1),$A$5:$A$800,"&lt;="&amp;$A476)+IF(AND(YEAR($A476)=YEAR(Settings!$B$3),MONTH($A476)=MONTH(Settings!$B$3)),Settings!$B$12,0))</f>
        <v/>
      </c>
      <c r="Q476" s="78">
        <f>IF($A476="","",SUMIFS($I$5:$I$800,$A$5:$A$800,"&gt;="&amp;DATE(YEAR($A476),MONTH($A476),1),$A$5:$A$800,"&lt;="&amp;$A476)+IF(AND(YEAR($A476)=YEAR(Settings!$B$3),MONTH($A476)=MONTH(Settings!$B$3)),Settings!$B$13,0))</f>
        <v/>
      </c>
      <c r="R476" s="77">
        <f>IF($A476="","",N476+P476)</f>
        <v/>
      </c>
      <c r="S476" s="78">
        <f>IF($A476="","",O476+Q476)</f>
        <v/>
      </c>
    </row>
    <row r="477">
      <c r="A477" s="67" t="n"/>
      <c r="B477" s="75" t="n"/>
      <c r="C477" s="76" t="n"/>
      <c r="D477" s="75" t="n"/>
      <c r="E477" s="76" t="n"/>
      <c r="F477" s="75" t="n"/>
      <c r="G477" s="76" t="n"/>
      <c r="H477" s="75" t="n"/>
      <c r="I477" s="76" t="n"/>
      <c r="J477" s="77">
        <f>IF($A477="","",B477+D477+F477)</f>
        <v/>
      </c>
      <c r="K477" s="78">
        <f>IF($A477="","",C477+E477+G477)</f>
        <v/>
      </c>
      <c r="L477" s="79">
        <f>IF($A477="","",J477+H477)</f>
        <v/>
      </c>
      <c r="M477" s="80">
        <f>IF($A477="","",K477+I477)</f>
        <v/>
      </c>
      <c r="N477" s="77">
        <f>IF($A477="","",SUMIFS($J$5:$J$800,$A$5:$A$800,"&gt;="&amp;DATE(YEAR($A477),MONTH($A477),1),$A$5:$A$800,"&lt;="&amp;$A477)+IF(AND(YEAR($A477)=YEAR(Settings!$B$3),MONTH($A477)=MONTH(Settings!$B$3)),Settings!$B$10,0))</f>
        <v/>
      </c>
      <c r="O477" s="78">
        <f>IF($A477="","",SUMIFS($K$5:$K$800,$A$5:$A$800,"&gt;="&amp;DATE(YEAR($A477),MONTH($A477),1),$A$5:$A$800,"&lt;="&amp;$A477)+IF(AND(YEAR($A477)=YEAR(Settings!$B$3),MONTH($A477)=MONTH(Settings!$B$3)),Settings!$B$11,0))</f>
        <v/>
      </c>
      <c r="P477" s="77">
        <f>IF($A477="","",SUMIFS($H$5:$H$800,$A$5:$A$800,"&gt;="&amp;DATE(YEAR($A477),MONTH($A477),1),$A$5:$A$800,"&lt;="&amp;$A477)+IF(AND(YEAR($A477)=YEAR(Settings!$B$3),MONTH($A477)=MONTH(Settings!$B$3)),Settings!$B$12,0))</f>
        <v/>
      </c>
      <c r="Q477" s="78">
        <f>IF($A477="","",SUMIFS($I$5:$I$800,$A$5:$A$800,"&gt;="&amp;DATE(YEAR($A477),MONTH($A477),1),$A$5:$A$800,"&lt;="&amp;$A477)+IF(AND(YEAR($A477)=YEAR(Settings!$B$3),MONTH($A477)=MONTH(Settings!$B$3)),Settings!$B$13,0))</f>
        <v/>
      </c>
      <c r="R477" s="77">
        <f>IF($A477="","",N477+P477)</f>
        <v/>
      </c>
      <c r="S477" s="78">
        <f>IF($A477="","",O477+Q477)</f>
        <v/>
      </c>
    </row>
    <row r="478">
      <c r="A478" s="67" t="n"/>
      <c r="B478" s="75" t="n"/>
      <c r="C478" s="76" t="n"/>
      <c r="D478" s="75" t="n"/>
      <c r="E478" s="76" t="n"/>
      <c r="F478" s="75" t="n"/>
      <c r="G478" s="76" t="n"/>
      <c r="H478" s="75" t="n"/>
      <c r="I478" s="76" t="n"/>
      <c r="J478" s="77">
        <f>IF($A478="","",B478+D478+F478)</f>
        <v/>
      </c>
      <c r="K478" s="78">
        <f>IF($A478="","",C478+E478+G478)</f>
        <v/>
      </c>
      <c r="L478" s="79">
        <f>IF($A478="","",J478+H478)</f>
        <v/>
      </c>
      <c r="M478" s="80">
        <f>IF($A478="","",K478+I478)</f>
        <v/>
      </c>
      <c r="N478" s="77">
        <f>IF($A478="","",SUMIFS($J$5:$J$800,$A$5:$A$800,"&gt;="&amp;DATE(YEAR($A478),MONTH($A478),1),$A$5:$A$800,"&lt;="&amp;$A478)+IF(AND(YEAR($A478)=YEAR(Settings!$B$3),MONTH($A478)=MONTH(Settings!$B$3)),Settings!$B$10,0))</f>
        <v/>
      </c>
      <c r="O478" s="78">
        <f>IF($A478="","",SUMIFS($K$5:$K$800,$A$5:$A$800,"&gt;="&amp;DATE(YEAR($A478),MONTH($A478),1),$A$5:$A$800,"&lt;="&amp;$A478)+IF(AND(YEAR($A478)=YEAR(Settings!$B$3),MONTH($A478)=MONTH(Settings!$B$3)),Settings!$B$11,0))</f>
        <v/>
      </c>
      <c r="P478" s="77">
        <f>IF($A478="","",SUMIFS($H$5:$H$800,$A$5:$A$800,"&gt;="&amp;DATE(YEAR($A478),MONTH($A478),1),$A$5:$A$800,"&lt;="&amp;$A478)+IF(AND(YEAR($A478)=YEAR(Settings!$B$3),MONTH($A478)=MONTH(Settings!$B$3)),Settings!$B$12,0))</f>
        <v/>
      </c>
      <c r="Q478" s="78">
        <f>IF($A478="","",SUMIFS($I$5:$I$800,$A$5:$A$800,"&gt;="&amp;DATE(YEAR($A478),MONTH($A478),1),$A$5:$A$800,"&lt;="&amp;$A478)+IF(AND(YEAR($A478)=YEAR(Settings!$B$3),MONTH($A478)=MONTH(Settings!$B$3)),Settings!$B$13,0))</f>
        <v/>
      </c>
      <c r="R478" s="77">
        <f>IF($A478="","",N478+P478)</f>
        <v/>
      </c>
      <c r="S478" s="78">
        <f>IF($A478="","",O478+Q478)</f>
        <v/>
      </c>
    </row>
    <row r="479">
      <c r="A479" s="67" t="n"/>
      <c r="B479" s="75" t="n"/>
      <c r="C479" s="76" t="n"/>
      <c r="D479" s="75" t="n"/>
      <c r="E479" s="76" t="n"/>
      <c r="F479" s="75" t="n"/>
      <c r="G479" s="76" t="n"/>
      <c r="H479" s="75" t="n"/>
      <c r="I479" s="76" t="n"/>
      <c r="J479" s="77">
        <f>IF($A479="","",B479+D479+F479)</f>
        <v/>
      </c>
      <c r="K479" s="78">
        <f>IF($A479="","",C479+E479+G479)</f>
        <v/>
      </c>
      <c r="L479" s="79">
        <f>IF($A479="","",J479+H479)</f>
        <v/>
      </c>
      <c r="M479" s="80">
        <f>IF($A479="","",K479+I479)</f>
        <v/>
      </c>
      <c r="N479" s="77">
        <f>IF($A479="","",SUMIFS($J$5:$J$800,$A$5:$A$800,"&gt;="&amp;DATE(YEAR($A479),MONTH($A479),1),$A$5:$A$800,"&lt;="&amp;$A479)+IF(AND(YEAR($A479)=YEAR(Settings!$B$3),MONTH($A479)=MONTH(Settings!$B$3)),Settings!$B$10,0))</f>
        <v/>
      </c>
      <c r="O479" s="78">
        <f>IF($A479="","",SUMIFS($K$5:$K$800,$A$5:$A$800,"&gt;="&amp;DATE(YEAR($A479),MONTH($A479),1),$A$5:$A$800,"&lt;="&amp;$A479)+IF(AND(YEAR($A479)=YEAR(Settings!$B$3),MONTH($A479)=MONTH(Settings!$B$3)),Settings!$B$11,0))</f>
        <v/>
      </c>
      <c r="P479" s="77">
        <f>IF($A479="","",SUMIFS($H$5:$H$800,$A$5:$A$800,"&gt;="&amp;DATE(YEAR($A479),MONTH($A479),1),$A$5:$A$800,"&lt;="&amp;$A479)+IF(AND(YEAR($A479)=YEAR(Settings!$B$3),MONTH($A479)=MONTH(Settings!$B$3)),Settings!$B$12,0))</f>
        <v/>
      </c>
      <c r="Q479" s="78">
        <f>IF($A479="","",SUMIFS($I$5:$I$800,$A$5:$A$800,"&gt;="&amp;DATE(YEAR($A479),MONTH($A479),1),$A$5:$A$800,"&lt;="&amp;$A479)+IF(AND(YEAR($A479)=YEAR(Settings!$B$3),MONTH($A479)=MONTH(Settings!$B$3)),Settings!$B$13,0))</f>
        <v/>
      </c>
      <c r="R479" s="77">
        <f>IF($A479="","",N479+P479)</f>
        <v/>
      </c>
      <c r="S479" s="78">
        <f>IF($A479="","",O479+Q479)</f>
        <v/>
      </c>
    </row>
    <row r="480">
      <c r="A480" s="67" t="n"/>
      <c r="B480" s="75" t="n"/>
      <c r="C480" s="76" t="n"/>
      <c r="D480" s="75" t="n"/>
      <c r="E480" s="76" t="n"/>
      <c r="F480" s="75" t="n"/>
      <c r="G480" s="76" t="n"/>
      <c r="H480" s="75" t="n"/>
      <c r="I480" s="76" t="n"/>
      <c r="J480" s="77">
        <f>IF($A480="","",B480+D480+F480)</f>
        <v/>
      </c>
      <c r="K480" s="78">
        <f>IF($A480="","",C480+E480+G480)</f>
        <v/>
      </c>
      <c r="L480" s="79">
        <f>IF($A480="","",J480+H480)</f>
        <v/>
      </c>
      <c r="M480" s="80">
        <f>IF($A480="","",K480+I480)</f>
        <v/>
      </c>
      <c r="N480" s="77">
        <f>IF($A480="","",SUMIFS($J$5:$J$800,$A$5:$A$800,"&gt;="&amp;DATE(YEAR($A480),MONTH($A480),1),$A$5:$A$800,"&lt;="&amp;$A480)+IF(AND(YEAR($A480)=YEAR(Settings!$B$3),MONTH($A480)=MONTH(Settings!$B$3)),Settings!$B$10,0))</f>
        <v/>
      </c>
      <c r="O480" s="78">
        <f>IF($A480="","",SUMIFS($K$5:$K$800,$A$5:$A$800,"&gt;="&amp;DATE(YEAR($A480),MONTH($A480),1),$A$5:$A$800,"&lt;="&amp;$A480)+IF(AND(YEAR($A480)=YEAR(Settings!$B$3),MONTH($A480)=MONTH(Settings!$B$3)),Settings!$B$11,0))</f>
        <v/>
      </c>
      <c r="P480" s="77">
        <f>IF($A480="","",SUMIFS($H$5:$H$800,$A$5:$A$800,"&gt;="&amp;DATE(YEAR($A480),MONTH($A480),1),$A$5:$A$800,"&lt;="&amp;$A480)+IF(AND(YEAR($A480)=YEAR(Settings!$B$3),MONTH($A480)=MONTH(Settings!$B$3)),Settings!$B$12,0))</f>
        <v/>
      </c>
      <c r="Q480" s="78">
        <f>IF($A480="","",SUMIFS($I$5:$I$800,$A$5:$A$800,"&gt;="&amp;DATE(YEAR($A480),MONTH($A480),1),$A$5:$A$800,"&lt;="&amp;$A480)+IF(AND(YEAR($A480)=YEAR(Settings!$B$3),MONTH($A480)=MONTH(Settings!$B$3)),Settings!$B$13,0))</f>
        <v/>
      </c>
      <c r="R480" s="77">
        <f>IF($A480="","",N480+P480)</f>
        <v/>
      </c>
      <c r="S480" s="78">
        <f>IF($A480="","",O480+Q480)</f>
        <v/>
      </c>
    </row>
    <row r="481">
      <c r="A481" s="67" t="n"/>
      <c r="B481" s="75" t="n"/>
      <c r="C481" s="76" t="n"/>
      <c r="D481" s="75" t="n"/>
      <c r="E481" s="76" t="n"/>
      <c r="F481" s="75" t="n"/>
      <c r="G481" s="76" t="n"/>
      <c r="H481" s="75" t="n"/>
      <c r="I481" s="76" t="n"/>
      <c r="J481" s="77">
        <f>IF($A481="","",B481+D481+F481)</f>
        <v/>
      </c>
      <c r="K481" s="78">
        <f>IF($A481="","",C481+E481+G481)</f>
        <v/>
      </c>
      <c r="L481" s="79">
        <f>IF($A481="","",J481+H481)</f>
        <v/>
      </c>
      <c r="M481" s="80">
        <f>IF($A481="","",K481+I481)</f>
        <v/>
      </c>
      <c r="N481" s="77">
        <f>IF($A481="","",SUMIFS($J$5:$J$800,$A$5:$A$800,"&gt;="&amp;DATE(YEAR($A481),MONTH($A481),1),$A$5:$A$800,"&lt;="&amp;$A481)+IF(AND(YEAR($A481)=YEAR(Settings!$B$3),MONTH($A481)=MONTH(Settings!$B$3)),Settings!$B$10,0))</f>
        <v/>
      </c>
      <c r="O481" s="78">
        <f>IF($A481="","",SUMIFS($K$5:$K$800,$A$5:$A$800,"&gt;="&amp;DATE(YEAR($A481),MONTH($A481),1),$A$5:$A$800,"&lt;="&amp;$A481)+IF(AND(YEAR($A481)=YEAR(Settings!$B$3),MONTH($A481)=MONTH(Settings!$B$3)),Settings!$B$11,0))</f>
        <v/>
      </c>
      <c r="P481" s="77">
        <f>IF($A481="","",SUMIFS($H$5:$H$800,$A$5:$A$800,"&gt;="&amp;DATE(YEAR($A481),MONTH($A481),1),$A$5:$A$800,"&lt;="&amp;$A481)+IF(AND(YEAR($A481)=YEAR(Settings!$B$3),MONTH($A481)=MONTH(Settings!$B$3)),Settings!$B$12,0))</f>
        <v/>
      </c>
      <c r="Q481" s="78">
        <f>IF($A481="","",SUMIFS($I$5:$I$800,$A$5:$A$800,"&gt;="&amp;DATE(YEAR($A481),MONTH($A481),1),$A$5:$A$800,"&lt;="&amp;$A481)+IF(AND(YEAR($A481)=YEAR(Settings!$B$3),MONTH($A481)=MONTH(Settings!$B$3)),Settings!$B$13,0))</f>
        <v/>
      </c>
      <c r="R481" s="77">
        <f>IF($A481="","",N481+P481)</f>
        <v/>
      </c>
      <c r="S481" s="78">
        <f>IF($A481="","",O481+Q481)</f>
        <v/>
      </c>
    </row>
    <row r="482">
      <c r="A482" s="67" t="n"/>
      <c r="B482" s="75" t="n"/>
      <c r="C482" s="76" t="n"/>
      <c r="D482" s="75" t="n"/>
      <c r="E482" s="76" t="n"/>
      <c r="F482" s="75" t="n"/>
      <c r="G482" s="76" t="n"/>
      <c r="H482" s="75" t="n"/>
      <c r="I482" s="76" t="n"/>
      <c r="J482" s="77">
        <f>IF($A482="","",B482+D482+F482)</f>
        <v/>
      </c>
      <c r="K482" s="78">
        <f>IF($A482="","",C482+E482+G482)</f>
        <v/>
      </c>
      <c r="L482" s="79">
        <f>IF($A482="","",J482+H482)</f>
        <v/>
      </c>
      <c r="M482" s="80">
        <f>IF($A482="","",K482+I482)</f>
        <v/>
      </c>
      <c r="N482" s="77">
        <f>IF($A482="","",SUMIFS($J$5:$J$800,$A$5:$A$800,"&gt;="&amp;DATE(YEAR($A482),MONTH($A482),1),$A$5:$A$800,"&lt;="&amp;$A482)+IF(AND(YEAR($A482)=YEAR(Settings!$B$3),MONTH($A482)=MONTH(Settings!$B$3)),Settings!$B$10,0))</f>
        <v/>
      </c>
      <c r="O482" s="78">
        <f>IF($A482="","",SUMIFS($K$5:$K$800,$A$5:$A$800,"&gt;="&amp;DATE(YEAR($A482),MONTH($A482),1),$A$5:$A$800,"&lt;="&amp;$A482)+IF(AND(YEAR($A482)=YEAR(Settings!$B$3),MONTH($A482)=MONTH(Settings!$B$3)),Settings!$B$11,0))</f>
        <v/>
      </c>
      <c r="P482" s="77">
        <f>IF($A482="","",SUMIFS($H$5:$H$800,$A$5:$A$800,"&gt;="&amp;DATE(YEAR($A482),MONTH($A482),1),$A$5:$A$800,"&lt;="&amp;$A482)+IF(AND(YEAR($A482)=YEAR(Settings!$B$3),MONTH($A482)=MONTH(Settings!$B$3)),Settings!$B$12,0))</f>
        <v/>
      </c>
      <c r="Q482" s="78">
        <f>IF($A482="","",SUMIFS($I$5:$I$800,$A$5:$A$800,"&gt;="&amp;DATE(YEAR($A482),MONTH($A482),1),$A$5:$A$800,"&lt;="&amp;$A482)+IF(AND(YEAR($A482)=YEAR(Settings!$B$3),MONTH($A482)=MONTH(Settings!$B$3)),Settings!$B$13,0))</f>
        <v/>
      </c>
      <c r="R482" s="77">
        <f>IF($A482="","",N482+P482)</f>
        <v/>
      </c>
      <c r="S482" s="78">
        <f>IF($A482="","",O482+Q482)</f>
        <v/>
      </c>
    </row>
    <row r="483">
      <c r="A483" s="67" t="n"/>
      <c r="B483" s="75" t="n"/>
      <c r="C483" s="76" t="n"/>
      <c r="D483" s="75" t="n"/>
      <c r="E483" s="76" t="n"/>
      <c r="F483" s="75" t="n"/>
      <c r="G483" s="76" t="n"/>
      <c r="H483" s="75" t="n"/>
      <c r="I483" s="76" t="n"/>
      <c r="J483" s="77">
        <f>IF($A483="","",B483+D483+F483)</f>
        <v/>
      </c>
      <c r="K483" s="78">
        <f>IF($A483="","",C483+E483+G483)</f>
        <v/>
      </c>
      <c r="L483" s="79">
        <f>IF($A483="","",J483+H483)</f>
        <v/>
      </c>
      <c r="M483" s="80">
        <f>IF($A483="","",K483+I483)</f>
        <v/>
      </c>
      <c r="N483" s="77">
        <f>IF($A483="","",SUMIFS($J$5:$J$800,$A$5:$A$800,"&gt;="&amp;DATE(YEAR($A483),MONTH($A483),1),$A$5:$A$800,"&lt;="&amp;$A483)+IF(AND(YEAR($A483)=YEAR(Settings!$B$3),MONTH($A483)=MONTH(Settings!$B$3)),Settings!$B$10,0))</f>
        <v/>
      </c>
      <c r="O483" s="78">
        <f>IF($A483="","",SUMIFS($K$5:$K$800,$A$5:$A$800,"&gt;="&amp;DATE(YEAR($A483),MONTH($A483),1),$A$5:$A$800,"&lt;="&amp;$A483)+IF(AND(YEAR($A483)=YEAR(Settings!$B$3),MONTH($A483)=MONTH(Settings!$B$3)),Settings!$B$11,0))</f>
        <v/>
      </c>
      <c r="P483" s="77">
        <f>IF($A483="","",SUMIFS($H$5:$H$800,$A$5:$A$800,"&gt;="&amp;DATE(YEAR($A483),MONTH($A483),1),$A$5:$A$800,"&lt;="&amp;$A483)+IF(AND(YEAR($A483)=YEAR(Settings!$B$3),MONTH($A483)=MONTH(Settings!$B$3)),Settings!$B$12,0))</f>
        <v/>
      </c>
      <c r="Q483" s="78">
        <f>IF($A483="","",SUMIFS($I$5:$I$800,$A$5:$A$800,"&gt;="&amp;DATE(YEAR($A483),MONTH($A483),1),$A$5:$A$800,"&lt;="&amp;$A483)+IF(AND(YEAR($A483)=YEAR(Settings!$B$3),MONTH($A483)=MONTH(Settings!$B$3)),Settings!$B$13,0))</f>
        <v/>
      </c>
      <c r="R483" s="77">
        <f>IF($A483="","",N483+P483)</f>
        <v/>
      </c>
      <c r="S483" s="78">
        <f>IF($A483="","",O483+Q483)</f>
        <v/>
      </c>
    </row>
    <row r="484">
      <c r="A484" s="67" t="n"/>
      <c r="B484" s="75" t="n"/>
      <c r="C484" s="76" t="n"/>
      <c r="D484" s="75" t="n"/>
      <c r="E484" s="76" t="n"/>
      <c r="F484" s="75" t="n"/>
      <c r="G484" s="76" t="n"/>
      <c r="H484" s="75" t="n"/>
      <c r="I484" s="76" t="n"/>
      <c r="J484" s="77">
        <f>IF($A484="","",B484+D484+F484)</f>
        <v/>
      </c>
      <c r="K484" s="78">
        <f>IF($A484="","",C484+E484+G484)</f>
        <v/>
      </c>
      <c r="L484" s="79">
        <f>IF($A484="","",J484+H484)</f>
        <v/>
      </c>
      <c r="M484" s="80">
        <f>IF($A484="","",K484+I484)</f>
        <v/>
      </c>
      <c r="N484" s="77">
        <f>IF($A484="","",SUMIFS($J$5:$J$800,$A$5:$A$800,"&gt;="&amp;DATE(YEAR($A484),MONTH($A484),1),$A$5:$A$800,"&lt;="&amp;$A484)+IF(AND(YEAR($A484)=YEAR(Settings!$B$3),MONTH($A484)=MONTH(Settings!$B$3)),Settings!$B$10,0))</f>
        <v/>
      </c>
      <c r="O484" s="78">
        <f>IF($A484="","",SUMIFS($K$5:$K$800,$A$5:$A$800,"&gt;="&amp;DATE(YEAR($A484),MONTH($A484),1),$A$5:$A$800,"&lt;="&amp;$A484)+IF(AND(YEAR($A484)=YEAR(Settings!$B$3),MONTH($A484)=MONTH(Settings!$B$3)),Settings!$B$11,0))</f>
        <v/>
      </c>
      <c r="P484" s="77">
        <f>IF($A484="","",SUMIFS($H$5:$H$800,$A$5:$A$800,"&gt;="&amp;DATE(YEAR($A484),MONTH($A484),1),$A$5:$A$800,"&lt;="&amp;$A484)+IF(AND(YEAR($A484)=YEAR(Settings!$B$3),MONTH($A484)=MONTH(Settings!$B$3)),Settings!$B$12,0))</f>
        <v/>
      </c>
      <c r="Q484" s="78">
        <f>IF($A484="","",SUMIFS($I$5:$I$800,$A$5:$A$800,"&gt;="&amp;DATE(YEAR($A484),MONTH($A484),1),$A$5:$A$800,"&lt;="&amp;$A484)+IF(AND(YEAR($A484)=YEAR(Settings!$B$3),MONTH($A484)=MONTH(Settings!$B$3)),Settings!$B$13,0))</f>
        <v/>
      </c>
      <c r="R484" s="77">
        <f>IF($A484="","",N484+P484)</f>
        <v/>
      </c>
      <c r="S484" s="78">
        <f>IF($A484="","",O484+Q484)</f>
        <v/>
      </c>
    </row>
    <row r="485">
      <c r="A485" s="67" t="n"/>
      <c r="B485" s="75" t="n"/>
      <c r="C485" s="76" t="n"/>
      <c r="D485" s="75" t="n"/>
      <c r="E485" s="76" t="n"/>
      <c r="F485" s="75" t="n"/>
      <c r="G485" s="76" t="n"/>
      <c r="H485" s="75" t="n"/>
      <c r="I485" s="76" t="n"/>
      <c r="J485" s="77">
        <f>IF($A485="","",B485+D485+F485)</f>
        <v/>
      </c>
      <c r="K485" s="78">
        <f>IF($A485="","",C485+E485+G485)</f>
        <v/>
      </c>
      <c r="L485" s="79">
        <f>IF($A485="","",J485+H485)</f>
        <v/>
      </c>
      <c r="M485" s="80">
        <f>IF($A485="","",K485+I485)</f>
        <v/>
      </c>
      <c r="N485" s="77">
        <f>IF($A485="","",SUMIFS($J$5:$J$800,$A$5:$A$800,"&gt;="&amp;DATE(YEAR($A485),MONTH($A485),1),$A$5:$A$800,"&lt;="&amp;$A485)+IF(AND(YEAR($A485)=YEAR(Settings!$B$3),MONTH($A485)=MONTH(Settings!$B$3)),Settings!$B$10,0))</f>
        <v/>
      </c>
      <c r="O485" s="78">
        <f>IF($A485="","",SUMIFS($K$5:$K$800,$A$5:$A$800,"&gt;="&amp;DATE(YEAR($A485),MONTH($A485),1),$A$5:$A$800,"&lt;="&amp;$A485)+IF(AND(YEAR($A485)=YEAR(Settings!$B$3),MONTH($A485)=MONTH(Settings!$B$3)),Settings!$B$11,0))</f>
        <v/>
      </c>
      <c r="P485" s="77">
        <f>IF($A485="","",SUMIFS($H$5:$H$800,$A$5:$A$800,"&gt;="&amp;DATE(YEAR($A485),MONTH($A485),1),$A$5:$A$800,"&lt;="&amp;$A485)+IF(AND(YEAR($A485)=YEAR(Settings!$B$3),MONTH($A485)=MONTH(Settings!$B$3)),Settings!$B$12,0))</f>
        <v/>
      </c>
      <c r="Q485" s="78">
        <f>IF($A485="","",SUMIFS($I$5:$I$800,$A$5:$A$800,"&gt;="&amp;DATE(YEAR($A485),MONTH($A485),1),$A$5:$A$800,"&lt;="&amp;$A485)+IF(AND(YEAR($A485)=YEAR(Settings!$B$3),MONTH($A485)=MONTH(Settings!$B$3)),Settings!$B$13,0))</f>
        <v/>
      </c>
      <c r="R485" s="77">
        <f>IF($A485="","",N485+P485)</f>
        <v/>
      </c>
      <c r="S485" s="78">
        <f>IF($A485="","",O485+Q485)</f>
        <v/>
      </c>
    </row>
    <row r="486">
      <c r="A486" s="67" t="n"/>
      <c r="B486" s="75" t="n"/>
      <c r="C486" s="76" t="n"/>
      <c r="D486" s="75" t="n"/>
      <c r="E486" s="76" t="n"/>
      <c r="F486" s="75" t="n"/>
      <c r="G486" s="76" t="n"/>
      <c r="H486" s="75" t="n"/>
      <c r="I486" s="76" t="n"/>
      <c r="J486" s="77">
        <f>IF($A486="","",B486+D486+F486)</f>
        <v/>
      </c>
      <c r="K486" s="78">
        <f>IF($A486="","",C486+E486+G486)</f>
        <v/>
      </c>
      <c r="L486" s="79">
        <f>IF($A486="","",J486+H486)</f>
        <v/>
      </c>
      <c r="M486" s="80">
        <f>IF($A486="","",K486+I486)</f>
        <v/>
      </c>
      <c r="N486" s="77">
        <f>IF($A486="","",SUMIFS($J$5:$J$800,$A$5:$A$800,"&gt;="&amp;DATE(YEAR($A486),MONTH($A486),1),$A$5:$A$800,"&lt;="&amp;$A486)+IF(AND(YEAR($A486)=YEAR(Settings!$B$3),MONTH($A486)=MONTH(Settings!$B$3)),Settings!$B$10,0))</f>
        <v/>
      </c>
      <c r="O486" s="78">
        <f>IF($A486="","",SUMIFS($K$5:$K$800,$A$5:$A$800,"&gt;="&amp;DATE(YEAR($A486),MONTH($A486),1),$A$5:$A$800,"&lt;="&amp;$A486)+IF(AND(YEAR($A486)=YEAR(Settings!$B$3),MONTH($A486)=MONTH(Settings!$B$3)),Settings!$B$11,0))</f>
        <v/>
      </c>
      <c r="P486" s="77">
        <f>IF($A486="","",SUMIFS($H$5:$H$800,$A$5:$A$800,"&gt;="&amp;DATE(YEAR($A486),MONTH($A486),1),$A$5:$A$800,"&lt;="&amp;$A486)+IF(AND(YEAR($A486)=YEAR(Settings!$B$3),MONTH($A486)=MONTH(Settings!$B$3)),Settings!$B$12,0))</f>
        <v/>
      </c>
      <c r="Q486" s="78">
        <f>IF($A486="","",SUMIFS($I$5:$I$800,$A$5:$A$800,"&gt;="&amp;DATE(YEAR($A486),MONTH($A486),1),$A$5:$A$800,"&lt;="&amp;$A486)+IF(AND(YEAR($A486)=YEAR(Settings!$B$3),MONTH($A486)=MONTH(Settings!$B$3)),Settings!$B$13,0))</f>
        <v/>
      </c>
      <c r="R486" s="77">
        <f>IF($A486="","",N486+P486)</f>
        <v/>
      </c>
      <c r="S486" s="78">
        <f>IF($A486="","",O486+Q486)</f>
        <v/>
      </c>
    </row>
    <row r="487">
      <c r="A487" s="67" t="n"/>
      <c r="B487" s="75" t="n"/>
      <c r="C487" s="76" t="n"/>
      <c r="D487" s="75" t="n"/>
      <c r="E487" s="76" t="n"/>
      <c r="F487" s="75" t="n"/>
      <c r="G487" s="76" t="n"/>
      <c r="H487" s="75" t="n"/>
      <c r="I487" s="76" t="n"/>
      <c r="J487" s="77">
        <f>IF($A487="","",B487+D487+F487)</f>
        <v/>
      </c>
      <c r="K487" s="78">
        <f>IF($A487="","",C487+E487+G487)</f>
        <v/>
      </c>
      <c r="L487" s="79">
        <f>IF($A487="","",J487+H487)</f>
        <v/>
      </c>
      <c r="M487" s="80">
        <f>IF($A487="","",K487+I487)</f>
        <v/>
      </c>
      <c r="N487" s="77">
        <f>IF($A487="","",SUMIFS($J$5:$J$800,$A$5:$A$800,"&gt;="&amp;DATE(YEAR($A487),MONTH($A487),1),$A$5:$A$800,"&lt;="&amp;$A487)+IF(AND(YEAR($A487)=YEAR(Settings!$B$3),MONTH($A487)=MONTH(Settings!$B$3)),Settings!$B$10,0))</f>
        <v/>
      </c>
      <c r="O487" s="78">
        <f>IF($A487="","",SUMIFS($K$5:$K$800,$A$5:$A$800,"&gt;="&amp;DATE(YEAR($A487),MONTH($A487),1),$A$5:$A$800,"&lt;="&amp;$A487)+IF(AND(YEAR($A487)=YEAR(Settings!$B$3),MONTH($A487)=MONTH(Settings!$B$3)),Settings!$B$11,0))</f>
        <v/>
      </c>
      <c r="P487" s="77">
        <f>IF($A487="","",SUMIFS($H$5:$H$800,$A$5:$A$800,"&gt;="&amp;DATE(YEAR($A487),MONTH($A487),1),$A$5:$A$800,"&lt;="&amp;$A487)+IF(AND(YEAR($A487)=YEAR(Settings!$B$3),MONTH($A487)=MONTH(Settings!$B$3)),Settings!$B$12,0))</f>
        <v/>
      </c>
      <c r="Q487" s="78">
        <f>IF($A487="","",SUMIFS($I$5:$I$800,$A$5:$A$800,"&gt;="&amp;DATE(YEAR($A487),MONTH($A487),1),$A$5:$A$800,"&lt;="&amp;$A487)+IF(AND(YEAR($A487)=YEAR(Settings!$B$3),MONTH($A487)=MONTH(Settings!$B$3)),Settings!$B$13,0))</f>
        <v/>
      </c>
      <c r="R487" s="77">
        <f>IF($A487="","",N487+P487)</f>
        <v/>
      </c>
      <c r="S487" s="78">
        <f>IF($A487="","",O487+Q487)</f>
        <v/>
      </c>
    </row>
    <row r="488">
      <c r="A488" s="67" t="n"/>
      <c r="B488" s="75" t="n"/>
      <c r="C488" s="76" t="n"/>
      <c r="D488" s="75" t="n"/>
      <c r="E488" s="76" t="n"/>
      <c r="F488" s="75" t="n"/>
      <c r="G488" s="76" t="n"/>
      <c r="H488" s="75" t="n"/>
      <c r="I488" s="76" t="n"/>
      <c r="J488" s="77">
        <f>IF($A488="","",B488+D488+F488)</f>
        <v/>
      </c>
      <c r="K488" s="78">
        <f>IF($A488="","",C488+E488+G488)</f>
        <v/>
      </c>
      <c r="L488" s="79">
        <f>IF($A488="","",J488+H488)</f>
        <v/>
      </c>
      <c r="M488" s="80">
        <f>IF($A488="","",K488+I488)</f>
        <v/>
      </c>
      <c r="N488" s="77">
        <f>IF($A488="","",SUMIFS($J$5:$J$800,$A$5:$A$800,"&gt;="&amp;DATE(YEAR($A488),MONTH($A488),1),$A$5:$A$800,"&lt;="&amp;$A488)+IF(AND(YEAR($A488)=YEAR(Settings!$B$3),MONTH($A488)=MONTH(Settings!$B$3)),Settings!$B$10,0))</f>
        <v/>
      </c>
      <c r="O488" s="78">
        <f>IF($A488="","",SUMIFS($K$5:$K$800,$A$5:$A$800,"&gt;="&amp;DATE(YEAR($A488),MONTH($A488),1),$A$5:$A$800,"&lt;="&amp;$A488)+IF(AND(YEAR($A488)=YEAR(Settings!$B$3),MONTH($A488)=MONTH(Settings!$B$3)),Settings!$B$11,0))</f>
        <v/>
      </c>
      <c r="P488" s="77">
        <f>IF($A488="","",SUMIFS($H$5:$H$800,$A$5:$A$800,"&gt;="&amp;DATE(YEAR($A488),MONTH($A488),1),$A$5:$A$800,"&lt;="&amp;$A488)+IF(AND(YEAR($A488)=YEAR(Settings!$B$3),MONTH($A488)=MONTH(Settings!$B$3)),Settings!$B$12,0))</f>
        <v/>
      </c>
      <c r="Q488" s="78">
        <f>IF($A488="","",SUMIFS($I$5:$I$800,$A$5:$A$800,"&gt;="&amp;DATE(YEAR($A488),MONTH($A488),1),$A$5:$A$800,"&lt;="&amp;$A488)+IF(AND(YEAR($A488)=YEAR(Settings!$B$3),MONTH($A488)=MONTH(Settings!$B$3)),Settings!$B$13,0))</f>
        <v/>
      </c>
      <c r="R488" s="77">
        <f>IF($A488="","",N488+P488)</f>
        <v/>
      </c>
      <c r="S488" s="78">
        <f>IF($A488="","",O488+Q488)</f>
        <v/>
      </c>
    </row>
    <row r="489">
      <c r="A489" s="67" t="n"/>
      <c r="B489" s="75" t="n"/>
      <c r="C489" s="76" t="n"/>
      <c r="D489" s="75" t="n"/>
      <c r="E489" s="76" t="n"/>
      <c r="F489" s="75" t="n"/>
      <c r="G489" s="76" t="n"/>
      <c r="H489" s="75" t="n"/>
      <c r="I489" s="76" t="n"/>
      <c r="J489" s="77">
        <f>IF($A489="","",B489+D489+F489)</f>
        <v/>
      </c>
      <c r="K489" s="78">
        <f>IF($A489="","",C489+E489+G489)</f>
        <v/>
      </c>
      <c r="L489" s="79">
        <f>IF($A489="","",J489+H489)</f>
        <v/>
      </c>
      <c r="M489" s="80">
        <f>IF($A489="","",K489+I489)</f>
        <v/>
      </c>
      <c r="N489" s="77">
        <f>IF($A489="","",SUMIFS($J$5:$J$800,$A$5:$A$800,"&gt;="&amp;DATE(YEAR($A489),MONTH($A489),1),$A$5:$A$800,"&lt;="&amp;$A489)+IF(AND(YEAR($A489)=YEAR(Settings!$B$3),MONTH($A489)=MONTH(Settings!$B$3)),Settings!$B$10,0))</f>
        <v/>
      </c>
      <c r="O489" s="78">
        <f>IF($A489="","",SUMIFS($K$5:$K$800,$A$5:$A$800,"&gt;="&amp;DATE(YEAR($A489),MONTH($A489),1),$A$5:$A$800,"&lt;="&amp;$A489)+IF(AND(YEAR($A489)=YEAR(Settings!$B$3),MONTH($A489)=MONTH(Settings!$B$3)),Settings!$B$11,0))</f>
        <v/>
      </c>
      <c r="P489" s="77">
        <f>IF($A489="","",SUMIFS($H$5:$H$800,$A$5:$A$800,"&gt;="&amp;DATE(YEAR($A489),MONTH($A489),1),$A$5:$A$800,"&lt;="&amp;$A489)+IF(AND(YEAR($A489)=YEAR(Settings!$B$3),MONTH($A489)=MONTH(Settings!$B$3)),Settings!$B$12,0))</f>
        <v/>
      </c>
      <c r="Q489" s="78">
        <f>IF($A489="","",SUMIFS($I$5:$I$800,$A$5:$A$800,"&gt;="&amp;DATE(YEAR($A489),MONTH($A489),1),$A$5:$A$800,"&lt;="&amp;$A489)+IF(AND(YEAR($A489)=YEAR(Settings!$B$3),MONTH($A489)=MONTH(Settings!$B$3)),Settings!$B$13,0))</f>
        <v/>
      </c>
      <c r="R489" s="77">
        <f>IF($A489="","",N489+P489)</f>
        <v/>
      </c>
      <c r="S489" s="78">
        <f>IF($A489="","",O489+Q489)</f>
        <v/>
      </c>
    </row>
    <row r="490">
      <c r="A490" s="67" t="n"/>
      <c r="B490" s="75" t="n"/>
      <c r="C490" s="76" t="n"/>
      <c r="D490" s="75" t="n"/>
      <c r="E490" s="76" t="n"/>
      <c r="F490" s="75" t="n"/>
      <c r="G490" s="76" t="n"/>
      <c r="H490" s="75" t="n"/>
      <c r="I490" s="76" t="n"/>
      <c r="J490" s="77">
        <f>IF($A490="","",B490+D490+F490)</f>
        <v/>
      </c>
      <c r="K490" s="78">
        <f>IF($A490="","",C490+E490+G490)</f>
        <v/>
      </c>
      <c r="L490" s="79">
        <f>IF($A490="","",J490+H490)</f>
        <v/>
      </c>
      <c r="M490" s="80">
        <f>IF($A490="","",K490+I490)</f>
        <v/>
      </c>
      <c r="N490" s="77">
        <f>IF($A490="","",SUMIFS($J$5:$J$800,$A$5:$A$800,"&gt;="&amp;DATE(YEAR($A490),MONTH($A490),1),$A$5:$A$800,"&lt;="&amp;$A490)+IF(AND(YEAR($A490)=YEAR(Settings!$B$3),MONTH($A490)=MONTH(Settings!$B$3)),Settings!$B$10,0))</f>
        <v/>
      </c>
      <c r="O490" s="78">
        <f>IF($A490="","",SUMIFS($K$5:$K$800,$A$5:$A$800,"&gt;="&amp;DATE(YEAR($A490),MONTH($A490),1),$A$5:$A$800,"&lt;="&amp;$A490)+IF(AND(YEAR($A490)=YEAR(Settings!$B$3),MONTH($A490)=MONTH(Settings!$B$3)),Settings!$B$11,0))</f>
        <v/>
      </c>
      <c r="P490" s="77">
        <f>IF($A490="","",SUMIFS($H$5:$H$800,$A$5:$A$800,"&gt;="&amp;DATE(YEAR($A490),MONTH($A490),1),$A$5:$A$800,"&lt;="&amp;$A490)+IF(AND(YEAR($A490)=YEAR(Settings!$B$3),MONTH($A490)=MONTH(Settings!$B$3)),Settings!$B$12,0))</f>
        <v/>
      </c>
      <c r="Q490" s="78">
        <f>IF($A490="","",SUMIFS($I$5:$I$800,$A$5:$A$800,"&gt;="&amp;DATE(YEAR($A490),MONTH($A490),1),$A$5:$A$800,"&lt;="&amp;$A490)+IF(AND(YEAR($A490)=YEAR(Settings!$B$3),MONTH($A490)=MONTH(Settings!$B$3)),Settings!$B$13,0))</f>
        <v/>
      </c>
      <c r="R490" s="77">
        <f>IF($A490="","",N490+P490)</f>
        <v/>
      </c>
      <c r="S490" s="78">
        <f>IF($A490="","",O490+Q490)</f>
        <v/>
      </c>
    </row>
    <row r="491">
      <c r="A491" s="67" t="n"/>
      <c r="B491" s="75" t="n"/>
      <c r="C491" s="76" t="n"/>
      <c r="D491" s="75" t="n"/>
      <c r="E491" s="76" t="n"/>
      <c r="F491" s="75" t="n"/>
      <c r="G491" s="76" t="n"/>
      <c r="H491" s="75" t="n"/>
      <c r="I491" s="76" t="n"/>
      <c r="J491" s="77">
        <f>IF($A491="","",B491+D491+F491)</f>
        <v/>
      </c>
      <c r="K491" s="78">
        <f>IF($A491="","",C491+E491+G491)</f>
        <v/>
      </c>
      <c r="L491" s="79">
        <f>IF($A491="","",J491+H491)</f>
        <v/>
      </c>
      <c r="M491" s="80">
        <f>IF($A491="","",K491+I491)</f>
        <v/>
      </c>
      <c r="N491" s="77">
        <f>IF($A491="","",SUMIFS($J$5:$J$800,$A$5:$A$800,"&gt;="&amp;DATE(YEAR($A491),MONTH($A491),1),$A$5:$A$800,"&lt;="&amp;$A491)+IF(AND(YEAR($A491)=YEAR(Settings!$B$3),MONTH($A491)=MONTH(Settings!$B$3)),Settings!$B$10,0))</f>
        <v/>
      </c>
      <c r="O491" s="78">
        <f>IF($A491="","",SUMIFS($K$5:$K$800,$A$5:$A$800,"&gt;="&amp;DATE(YEAR($A491),MONTH($A491),1),$A$5:$A$800,"&lt;="&amp;$A491)+IF(AND(YEAR($A491)=YEAR(Settings!$B$3),MONTH($A491)=MONTH(Settings!$B$3)),Settings!$B$11,0))</f>
        <v/>
      </c>
      <c r="P491" s="77">
        <f>IF($A491="","",SUMIFS($H$5:$H$800,$A$5:$A$800,"&gt;="&amp;DATE(YEAR($A491),MONTH($A491),1),$A$5:$A$800,"&lt;="&amp;$A491)+IF(AND(YEAR($A491)=YEAR(Settings!$B$3),MONTH($A491)=MONTH(Settings!$B$3)),Settings!$B$12,0))</f>
        <v/>
      </c>
      <c r="Q491" s="78">
        <f>IF($A491="","",SUMIFS($I$5:$I$800,$A$5:$A$800,"&gt;="&amp;DATE(YEAR($A491),MONTH($A491),1),$A$5:$A$800,"&lt;="&amp;$A491)+IF(AND(YEAR($A491)=YEAR(Settings!$B$3),MONTH($A491)=MONTH(Settings!$B$3)),Settings!$B$13,0))</f>
        <v/>
      </c>
      <c r="R491" s="77">
        <f>IF($A491="","",N491+P491)</f>
        <v/>
      </c>
      <c r="S491" s="78">
        <f>IF($A491="","",O491+Q491)</f>
        <v/>
      </c>
    </row>
    <row r="492">
      <c r="A492" s="67" t="n"/>
      <c r="B492" s="75" t="n"/>
      <c r="C492" s="76" t="n"/>
      <c r="D492" s="75" t="n"/>
      <c r="E492" s="76" t="n"/>
      <c r="F492" s="75" t="n"/>
      <c r="G492" s="76" t="n"/>
      <c r="H492" s="75" t="n"/>
      <c r="I492" s="76" t="n"/>
      <c r="J492" s="77">
        <f>IF($A492="","",B492+D492+F492)</f>
        <v/>
      </c>
      <c r="K492" s="78">
        <f>IF($A492="","",C492+E492+G492)</f>
        <v/>
      </c>
      <c r="L492" s="79">
        <f>IF($A492="","",J492+H492)</f>
        <v/>
      </c>
      <c r="M492" s="80">
        <f>IF($A492="","",K492+I492)</f>
        <v/>
      </c>
      <c r="N492" s="77">
        <f>IF($A492="","",SUMIFS($J$5:$J$800,$A$5:$A$800,"&gt;="&amp;DATE(YEAR($A492),MONTH($A492),1),$A$5:$A$800,"&lt;="&amp;$A492)+IF(AND(YEAR($A492)=YEAR(Settings!$B$3),MONTH($A492)=MONTH(Settings!$B$3)),Settings!$B$10,0))</f>
        <v/>
      </c>
      <c r="O492" s="78">
        <f>IF($A492="","",SUMIFS($K$5:$K$800,$A$5:$A$800,"&gt;="&amp;DATE(YEAR($A492),MONTH($A492),1),$A$5:$A$800,"&lt;="&amp;$A492)+IF(AND(YEAR($A492)=YEAR(Settings!$B$3),MONTH($A492)=MONTH(Settings!$B$3)),Settings!$B$11,0))</f>
        <v/>
      </c>
      <c r="P492" s="77">
        <f>IF($A492="","",SUMIFS($H$5:$H$800,$A$5:$A$800,"&gt;="&amp;DATE(YEAR($A492),MONTH($A492),1),$A$5:$A$800,"&lt;="&amp;$A492)+IF(AND(YEAR($A492)=YEAR(Settings!$B$3),MONTH($A492)=MONTH(Settings!$B$3)),Settings!$B$12,0))</f>
        <v/>
      </c>
      <c r="Q492" s="78">
        <f>IF($A492="","",SUMIFS($I$5:$I$800,$A$5:$A$800,"&gt;="&amp;DATE(YEAR($A492),MONTH($A492),1),$A$5:$A$800,"&lt;="&amp;$A492)+IF(AND(YEAR($A492)=YEAR(Settings!$B$3),MONTH($A492)=MONTH(Settings!$B$3)),Settings!$B$13,0))</f>
        <v/>
      </c>
      <c r="R492" s="77">
        <f>IF($A492="","",N492+P492)</f>
        <v/>
      </c>
      <c r="S492" s="78">
        <f>IF($A492="","",O492+Q492)</f>
        <v/>
      </c>
    </row>
    <row r="493">
      <c r="A493" s="67" t="n"/>
      <c r="B493" s="75" t="n"/>
      <c r="C493" s="76" t="n"/>
      <c r="D493" s="75" t="n"/>
      <c r="E493" s="76" t="n"/>
      <c r="F493" s="75" t="n"/>
      <c r="G493" s="76" t="n"/>
      <c r="H493" s="75" t="n"/>
      <c r="I493" s="76" t="n"/>
      <c r="J493" s="77">
        <f>IF($A493="","",B493+D493+F493)</f>
        <v/>
      </c>
      <c r="K493" s="78">
        <f>IF($A493="","",C493+E493+G493)</f>
        <v/>
      </c>
      <c r="L493" s="79">
        <f>IF($A493="","",J493+H493)</f>
        <v/>
      </c>
      <c r="M493" s="80">
        <f>IF($A493="","",K493+I493)</f>
        <v/>
      </c>
      <c r="N493" s="77">
        <f>IF($A493="","",SUMIFS($J$5:$J$800,$A$5:$A$800,"&gt;="&amp;DATE(YEAR($A493),MONTH($A493),1),$A$5:$A$800,"&lt;="&amp;$A493)+IF(AND(YEAR($A493)=YEAR(Settings!$B$3),MONTH($A493)=MONTH(Settings!$B$3)),Settings!$B$10,0))</f>
        <v/>
      </c>
      <c r="O493" s="78">
        <f>IF($A493="","",SUMIFS($K$5:$K$800,$A$5:$A$800,"&gt;="&amp;DATE(YEAR($A493),MONTH($A493),1),$A$5:$A$800,"&lt;="&amp;$A493)+IF(AND(YEAR($A493)=YEAR(Settings!$B$3),MONTH($A493)=MONTH(Settings!$B$3)),Settings!$B$11,0))</f>
        <v/>
      </c>
      <c r="P493" s="77">
        <f>IF($A493="","",SUMIFS($H$5:$H$800,$A$5:$A$800,"&gt;="&amp;DATE(YEAR($A493),MONTH($A493),1),$A$5:$A$800,"&lt;="&amp;$A493)+IF(AND(YEAR($A493)=YEAR(Settings!$B$3),MONTH($A493)=MONTH(Settings!$B$3)),Settings!$B$12,0))</f>
        <v/>
      </c>
      <c r="Q493" s="78">
        <f>IF($A493="","",SUMIFS($I$5:$I$800,$A$5:$A$800,"&gt;="&amp;DATE(YEAR($A493),MONTH($A493),1),$A$5:$A$800,"&lt;="&amp;$A493)+IF(AND(YEAR($A493)=YEAR(Settings!$B$3),MONTH($A493)=MONTH(Settings!$B$3)),Settings!$B$13,0))</f>
        <v/>
      </c>
      <c r="R493" s="77">
        <f>IF($A493="","",N493+P493)</f>
        <v/>
      </c>
      <c r="S493" s="78">
        <f>IF($A493="","",O493+Q493)</f>
        <v/>
      </c>
    </row>
    <row r="494">
      <c r="A494" s="67" t="n"/>
      <c r="B494" s="75" t="n"/>
      <c r="C494" s="76" t="n"/>
      <c r="D494" s="75" t="n"/>
      <c r="E494" s="76" t="n"/>
      <c r="F494" s="75" t="n"/>
      <c r="G494" s="76" t="n"/>
      <c r="H494" s="75" t="n"/>
      <c r="I494" s="76" t="n"/>
      <c r="J494" s="77">
        <f>IF($A494="","",B494+D494+F494)</f>
        <v/>
      </c>
      <c r="K494" s="78">
        <f>IF($A494="","",C494+E494+G494)</f>
        <v/>
      </c>
      <c r="L494" s="79">
        <f>IF($A494="","",J494+H494)</f>
        <v/>
      </c>
      <c r="M494" s="80">
        <f>IF($A494="","",K494+I494)</f>
        <v/>
      </c>
      <c r="N494" s="77">
        <f>IF($A494="","",SUMIFS($J$5:$J$800,$A$5:$A$800,"&gt;="&amp;DATE(YEAR($A494),MONTH($A494),1),$A$5:$A$800,"&lt;="&amp;$A494)+IF(AND(YEAR($A494)=YEAR(Settings!$B$3),MONTH($A494)=MONTH(Settings!$B$3)),Settings!$B$10,0))</f>
        <v/>
      </c>
      <c r="O494" s="78">
        <f>IF($A494="","",SUMIFS($K$5:$K$800,$A$5:$A$800,"&gt;="&amp;DATE(YEAR($A494),MONTH($A494),1),$A$5:$A$800,"&lt;="&amp;$A494)+IF(AND(YEAR($A494)=YEAR(Settings!$B$3),MONTH($A494)=MONTH(Settings!$B$3)),Settings!$B$11,0))</f>
        <v/>
      </c>
      <c r="P494" s="77">
        <f>IF($A494="","",SUMIFS($H$5:$H$800,$A$5:$A$800,"&gt;="&amp;DATE(YEAR($A494),MONTH($A494),1),$A$5:$A$800,"&lt;="&amp;$A494)+IF(AND(YEAR($A494)=YEAR(Settings!$B$3),MONTH($A494)=MONTH(Settings!$B$3)),Settings!$B$12,0))</f>
        <v/>
      </c>
      <c r="Q494" s="78">
        <f>IF($A494="","",SUMIFS($I$5:$I$800,$A$5:$A$800,"&gt;="&amp;DATE(YEAR($A494),MONTH($A494),1),$A$5:$A$800,"&lt;="&amp;$A494)+IF(AND(YEAR($A494)=YEAR(Settings!$B$3),MONTH($A494)=MONTH(Settings!$B$3)),Settings!$B$13,0))</f>
        <v/>
      </c>
      <c r="R494" s="77">
        <f>IF($A494="","",N494+P494)</f>
        <v/>
      </c>
      <c r="S494" s="78">
        <f>IF($A494="","",O494+Q494)</f>
        <v/>
      </c>
    </row>
    <row r="495">
      <c r="A495" s="67" t="n"/>
      <c r="B495" s="75" t="n"/>
      <c r="C495" s="76" t="n"/>
      <c r="D495" s="75" t="n"/>
      <c r="E495" s="76" t="n"/>
      <c r="F495" s="75" t="n"/>
      <c r="G495" s="76" t="n"/>
      <c r="H495" s="75" t="n"/>
      <c r="I495" s="76" t="n"/>
      <c r="J495" s="77">
        <f>IF($A495="","",B495+D495+F495)</f>
        <v/>
      </c>
      <c r="K495" s="78">
        <f>IF($A495="","",C495+E495+G495)</f>
        <v/>
      </c>
      <c r="L495" s="79">
        <f>IF($A495="","",J495+H495)</f>
        <v/>
      </c>
      <c r="M495" s="80">
        <f>IF($A495="","",K495+I495)</f>
        <v/>
      </c>
      <c r="N495" s="77">
        <f>IF($A495="","",SUMIFS($J$5:$J$800,$A$5:$A$800,"&gt;="&amp;DATE(YEAR($A495),MONTH($A495),1),$A$5:$A$800,"&lt;="&amp;$A495)+IF(AND(YEAR($A495)=YEAR(Settings!$B$3),MONTH($A495)=MONTH(Settings!$B$3)),Settings!$B$10,0))</f>
        <v/>
      </c>
      <c r="O495" s="78">
        <f>IF($A495="","",SUMIFS($K$5:$K$800,$A$5:$A$800,"&gt;="&amp;DATE(YEAR($A495),MONTH($A495),1),$A$5:$A$800,"&lt;="&amp;$A495)+IF(AND(YEAR($A495)=YEAR(Settings!$B$3),MONTH($A495)=MONTH(Settings!$B$3)),Settings!$B$11,0))</f>
        <v/>
      </c>
      <c r="P495" s="77">
        <f>IF($A495="","",SUMIFS($H$5:$H$800,$A$5:$A$800,"&gt;="&amp;DATE(YEAR($A495),MONTH($A495),1),$A$5:$A$800,"&lt;="&amp;$A495)+IF(AND(YEAR($A495)=YEAR(Settings!$B$3),MONTH($A495)=MONTH(Settings!$B$3)),Settings!$B$12,0))</f>
        <v/>
      </c>
      <c r="Q495" s="78">
        <f>IF($A495="","",SUMIFS($I$5:$I$800,$A$5:$A$800,"&gt;="&amp;DATE(YEAR($A495),MONTH($A495),1),$A$5:$A$800,"&lt;="&amp;$A495)+IF(AND(YEAR($A495)=YEAR(Settings!$B$3),MONTH($A495)=MONTH(Settings!$B$3)),Settings!$B$13,0))</f>
        <v/>
      </c>
      <c r="R495" s="77">
        <f>IF($A495="","",N495+P495)</f>
        <v/>
      </c>
      <c r="S495" s="78">
        <f>IF($A495="","",O495+Q495)</f>
        <v/>
      </c>
    </row>
    <row r="496">
      <c r="A496" s="67" t="n"/>
      <c r="B496" s="75" t="n"/>
      <c r="C496" s="76" t="n"/>
      <c r="D496" s="75" t="n"/>
      <c r="E496" s="76" t="n"/>
      <c r="F496" s="75" t="n"/>
      <c r="G496" s="76" t="n"/>
      <c r="H496" s="75" t="n"/>
      <c r="I496" s="76" t="n"/>
      <c r="J496" s="77">
        <f>IF($A496="","",B496+D496+F496)</f>
        <v/>
      </c>
      <c r="K496" s="78">
        <f>IF($A496="","",C496+E496+G496)</f>
        <v/>
      </c>
      <c r="L496" s="79">
        <f>IF($A496="","",J496+H496)</f>
        <v/>
      </c>
      <c r="M496" s="80">
        <f>IF($A496="","",K496+I496)</f>
        <v/>
      </c>
      <c r="N496" s="77">
        <f>IF($A496="","",SUMIFS($J$5:$J$800,$A$5:$A$800,"&gt;="&amp;DATE(YEAR($A496),MONTH($A496),1),$A$5:$A$800,"&lt;="&amp;$A496)+IF(AND(YEAR($A496)=YEAR(Settings!$B$3),MONTH($A496)=MONTH(Settings!$B$3)),Settings!$B$10,0))</f>
        <v/>
      </c>
      <c r="O496" s="78">
        <f>IF($A496="","",SUMIFS($K$5:$K$800,$A$5:$A$800,"&gt;="&amp;DATE(YEAR($A496),MONTH($A496),1),$A$5:$A$800,"&lt;="&amp;$A496)+IF(AND(YEAR($A496)=YEAR(Settings!$B$3),MONTH($A496)=MONTH(Settings!$B$3)),Settings!$B$11,0))</f>
        <v/>
      </c>
      <c r="P496" s="77">
        <f>IF($A496="","",SUMIFS($H$5:$H$800,$A$5:$A$800,"&gt;="&amp;DATE(YEAR($A496),MONTH($A496),1),$A$5:$A$800,"&lt;="&amp;$A496)+IF(AND(YEAR($A496)=YEAR(Settings!$B$3),MONTH($A496)=MONTH(Settings!$B$3)),Settings!$B$12,0))</f>
        <v/>
      </c>
      <c r="Q496" s="78">
        <f>IF($A496="","",SUMIFS($I$5:$I$800,$A$5:$A$800,"&gt;="&amp;DATE(YEAR($A496),MONTH($A496),1),$A$5:$A$800,"&lt;="&amp;$A496)+IF(AND(YEAR($A496)=YEAR(Settings!$B$3),MONTH($A496)=MONTH(Settings!$B$3)),Settings!$B$13,0))</f>
        <v/>
      </c>
      <c r="R496" s="77">
        <f>IF($A496="","",N496+P496)</f>
        <v/>
      </c>
      <c r="S496" s="78">
        <f>IF($A496="","",O496+Q496)</f>
        <v/>
      </c>
    </row>
    <row r="497">
      <c r="A497" s="67" t="n"/>
      <c r="B497" s="75" t="n"/>
      <c r="C497" s="76" t="n"/>
      <c r="D497" s="75" t="n"/>
      <c r="E497" s="76" t="n"/>
      <c r="F497" s="75" t="n"/>
      <c r="G497" s="76" t="n"/>
      <c r="H497" s="75" t="n"/>
      <c r="I497" s="76" t="n"/>
      <c r="J497" s="77">
        <f>IF($A497="","",B497+D497+F497)</f>
        <v/>
      </c>
      <c r="K497" s="78">
        <f>IF($A497="","",C497+E497+G497)</f>
        <v/>
      </c>
      <c r="L497" s="79">
        <f>IF($A497="","",J497+H497)</f>
        <v/>
      </c>
      <c r="M497" s="80">
        <f>IF($A497="","",K497+I497)</f>
        <v/>
      </c>
      <c r="N497" s="77">
        <f>IF($A497="","",SUMIFS($J$5:$J$800,$A$5:$A$800,"&gt;="&amp;DATE(YEAR($A497),MONTH($A497),1),$A$5:$A$800,"&lt;="&amp;$A497)+IF(AND(YEAR($A497)=YEAR(Settings!$B$3),MONTH($A497)=MONTH(Settings!$B$3)),Settings!$B$10,0))</f>
        <v/>
      </c>
      <c r="O497" s="78">
        <f>IF($A497="","",SUMIFS($K$5:$K$800,$A$5:$A$800,"&gt;="&amp;DATE(YEAR($A497),MONTH($A497),1),$A$5:$A$800,"&lt;="&amp;$A497)+IF(AND(YEAR($A497)=YEAR(Settings!$B$3),MONTH($A497)=MONTH(Settings!$B$3)),Settings!$B$11,0))</f>
        <v/>
      </c>
      <c r="P497" s="77">
        <f>IF($A497="","",SUMIFS($H$5:$H$800,$A$5:$A$800,"&gt;="&amp;DATE(YEAR($A497),MONTH($A497),1),$A$5:$A$800,"&lt;="&amp;$A497)+IF(AND(YEAR($A497)=YEAR(Settings!$B$3),MONTH($A497)=MONTH(Settings!$B$3)),Settings!$B$12,0))</f>
        <v/>
      </c>
      <c r="Q497" s="78">
        <f>IF($A497="","",SUMIFS($I$5:$I$800,$A$5:$A$800,"&gt;="&amp;DATE(YEAR($A497),MONTH($A497),1),$A$5:$A$800,"&lt;="&amp;$A497)+IF(AND(YEAR($A497)=YEAR(Settings!$B$3),MONTH($A497)=MONTH(Settings!$B$3)),Settings!$B$13,0))</f>
        <v/>
      </c>
      <c r="R497" s="77">
        <f>IF($A497="","",N497+P497)</f>
        <v/>
      </c>
      <c r="S497" s="78">
        <f>IF($A497="","",O497+Q497)</f>
        <v/>
      </c>
    </row>
    <row r="498">
      <c r="A498" s="67" t="n"/>
      <c r="B498" s="75" t="n"/>
      <c r="C498" s="76" t="n"/>
      <c r="D498" s="75" t="n"/>
      <c r="E498" s="76" t="n"/>
      <c r="F498" s="75" t="n"/>
      <c r="G498" s="76" t="n"/>
      <c r="H498" s="75" t="n"/>
      <c r="I498" s="76" t="n"/>
      <c r="J498" s="77">
        <f>IF($A498="","",B498+D498+F498)</f>
        <v/>
      </c>
      <c r="K498" s="78">
        <f>IF($A498="","",C498+E498+G498)</f>
        <v/>
      </c>
      <c r="L498" s="79">
        <f>IF($A498="","",J498+H498)</f>
        <v/>
      </c>
      <c r="M498" s="80">
        <f>IF($A498="","",K498+I498)</f>
        <v/>
      </c>
      <c r="N498" s="77">
        <f>IF($A498="","",SUMIFS($J$5:$J$800,$A$5:$A$800,"&gt;="&amp;DATE(YEAR($A498),MONTH($A498),1),$A$5:$A$800,"&lt;="&amp;$A498)+IF(AND(YEAR($A498)=YEAR(Settings!$B$3),MONTH($A498)=MONTH(Settings!$B$3)),Settings!$B$10,0))</f>
        <v/>
      </c>
      <c r="O498" s="78">
        <f>IF($A498="","",SUMIFS($K$5:$K$800,$A$5:$A$800,"&gt;="&amp;DATE(YEAR($A498),MONTH($A498),1),$A$5:$A$800,"&lt;="&amp;$A498)+IF(AND(YEAR($A498)=YEAR(Settings!$B$3),MONTH($A498)=MONTH(Settings!$B$3)),Settings!$B$11,0))</f>
        <v/>
      </c>
      <c r="P498" s="77">
        <f>IF($A498="","",SUMIFS($H$5:$H$800,$A$5:$A$800,"&gt;="&amp;DATE(YEAR($A498),MONTH($A498),1),$A$5:$A$800,"&lt;="&amp;$A498)+IF(AND(YEAR($A498)=YEAR(Settings!$B$3),MONTH($A498)=MONTH(Settings!$B$3)),Settings!$B$12,0))</f>
        <v/>
      </c>
      <c r="Q498" s="78">
        <f>IF($A498="","",SUMIFS($I$5:$I$800,$A$5:$A$800,"&gt;="&amp;DATE(YEAR($A498),MONTH($A498),1),$A$5:$A$800,"&lt;="&amp;$A498)+IF(AND(YEAR($A498)=YEAR(Settings!$B$3),MONTH($A498)=MONTH(Settings!$B$3)),Settings!$B$13,0))</f>
        <v/>
      </c>
      <c r="R498" s="77">
        <f>IF($A498="","",N498+P498)</f>
        <v/>
      </c>
      <c r="S498" s="78">
        <f>IF($A498="","",O498+Q498)</f>
        <v/>
      </c>
    </row>
    <row r="499">
      <c r="A499" s="67" t="n"/>
      <c r="B499" s="75" t="n"/>
      <c r="C499" s="76" t="n"/>
      <c r="D499" s="75" t="n"/>
      <c r="E499" s="76" t="n"/>
      <c r="F499" s="75" t="n"/>
      <c r="G499" s="76" t="n"/>
      <c r="H499" s="75" t="n"/>
      <c r="I499" s="76" t="n"/>
      <c r="J499" s="77">
        <f>IF($A499="","",B499+D499+F499)</f>
        <v/>
      </c>
      <c r="K499" s="78">
        <f>IF($A499="","",C499+E499+G499)</f>
        <v/>
      </c>
      <c r="L499" s="79">
        <f>IF($A499="","",J499+H499)</f>
        <v/>
      </c>
      <c r="M499" s="80">
        <f>IF($A499="","",K499+I499)</f>
        <v/>
      </c>
      <c r="N499" s="77">
        <f>IF($A499="","",SUMIFS($J$5:$J$800,$A$5:$A$800,"&gt;="&amp;DATE(YEAR($A499),MONTH($A499),1),$A$5:$A$800,"&lt;="&amp;$A499)+IF(AND(YEAR($A499)=YEAR(Settings!$B$3),MONTH($A499)=MONTH(Settings!$B$3)),Settings!$B$10,0))</f>
        <v/>
      </c>
      <c r="O499" s="78">
        <f>IF($A499="","",SUMIFS($K$5:$K$800,$A$5:$A$800,"&gt;="&amp;DATE(YEAR($A499),MONTH($A499),1),$A$5:$A$800,"&lt;="&amp;$A499)+IF(AND(YEAR($A499)=YEAR(Settings!$B$3),MONTH($A499)=MONTH(Settings!$B$3)),Settings!$B$11,0))</f>
        <v/>
      </c>
      <c r="P499" s="77">
        <f>IF($A499="","",SUMIFS($H$5:$H$800,$A$5:$A$800,"&gt;="&amp;DATE(YEAR($A499),MONTH($A499),1),$A$5:$A$800,"&lt;="&amp;$A499)+IF(AND(YEAR($A499)=YEAR(Settings!$B$3),MONTH($A499)=MONTH(Settings!$B$3)),Settings!$B$12,0))</f>
        <v/>
      </c>
      <c r="Q499" s="78">
        <f>IF($A499="","",SUMIFS($I$5:$I$800,$A$5:$A$800,"&gt;="&amp;DATE(YEAR($A499),MONTH($A499),1),$A$5:$A$800,"&lt;="&amp;$A499)+IF(AND(YEAR($A499)=YEAR(Settings!$B$3),MONTH($A499)=MONTH(Settings!$B$3)),Settings!$B$13,0))</f>
        <v/>
      </c>
      <c r="R499" s="77">
        <f>IF($A499="","",N499+P499)</f>
        <v/>
      </c>
      <c r="S499" s="78">
        <f>IF($A499="","",O499+Q499)</f>
        <v/>
      </c>
    </row>
    <row r="500">
      <c r="A500" s="67" t="n"/>
      <c r="B500" s="75" t="n"/>
      <c r="C500" s="76" t="n"/>
      <c r="D500" s="75" t="n"/>
      <c r="E500" s="76" t="n"/>
      <c r="F500" s="75" t="n"/>
      <c r="G500" s="76" t="n"/>
      <c r="H500" s="75" t="n"/>
      <c r="I500" s="76" t="n"/>
      <c r="J500" s="77">
        <f>IF($A500="","",B500+D500+F500)</f>
        <v/>
      </c>
      <c r="K500" s="78">
        <f>IF($A500="","",C500+E500+G500)</f>
        <v/>
      </c>
      <c r="L500" s="79">
        <f>IF($A500="","",J500+H500)</f>
        <v/>
      </c>
      <c r="M500" s="80">
        <f>IF($A500="","",K500+I500)</f>
        <v/>
      </c>
      <c r="N500" s="77">
        <f>IF($A500="","",SUMIFS($J$5:$J$800,$A$5:$A$800,"&gt;="&amp;DATE(YEAR($A500),MONTH($A500),1),$A$5:$A$800,"&lt;="&amp;$A500)+IF(AND(YEAR($A500)=YEAR(Settings!$B$3),MONTH($A500)=MONTH(Settings!$B$3)),Settings!$B$10,0))</f>
        <v/>
      </c>
      <c r="O500" s="78">
        <f>IF($A500="","",SUMIFS($K$5:$K$800,$A$5:$A$800,"&gt;="&amp;DATE(YEAR($A500),MONTH($A500),1),$A$5:$A$800,"&lt;="&amp;$A500)+IF(AND(YEAR($A500)=YEAR(Settings!$B$3),MONTH($A500)=MONTH(Settings!$B$3)),Settings!$B$11,0))</f>
        <v/>
      </c>
      <c r="P500" s="77">
        <f>IF($A500="","",SUMIFS($H$5:$H$800,$A$5:$A$800,"&gt;="&amp;DATE(YEAR($A500),MONTH($A500),1),$A$5:$A$800,"&lt;="&amp;$A500)+IF(AND(YEAR($A500)=YEAR(Settings!$B$3),MONTH($A500)=MONTH(Settings!$B$3)),Settings!$B$12,0))</f>
        <v/>
      </c>
      <c r="Q500" s="78">
        <f>IF($A500="","",SUMIFS($I$5:$I$800,$A$5:$A$800,"&gt;="&amp;DATE(YEAR($A500),MONTH($A500),1),$A$5:$A$800,"&lt;="&amp;$A500)+IF(AND(YEAR($A500)=YEAR(Settings!$B$3),MONTH($A500)=MONTH(Settings!$B$3)),Settings!$B$13,0))</f>
        <v/>
      </c>
      <c r="R500" s="77">
        <f>IF($A500="","",N500+P500)</f>
        <v/>
      </c>
      <c r="S500" s="78">
        <f>IF($A500="","",O500+Q500)</f>
        <v/>
      </c>
    </row>
    <row r="501">
      <c r="A501" s="67" t="n"/>
      <c r="B501" s="75" t="n"/>
      <c r="C501" s="76" t="n"/>
      <c r="D501" s="75" t="n"/>
      <c r="E501" s="76" t="n"/>
      <c r="F501" s="75" t="n"/>
      <c r="G501" s="76" t="n"/>
      <c r="H501" s="75" t="n"/>
      <c r="I501" s="76" t="n"/>
      <c r="J501" s="77">
        <f>IF($A501="","",B501+D501+F501)</f>
        <v/>
      </c>
      <c r="K501" s="78">
        <f>IF($A501="","",C501+E501+G501)</f>
        <v/>
      </c>
      <c r="L501" s="79">
        <f>IF($A501="","",J501+H501)</f>
        <v/>
      </c>
      <c r="M501" s="80">
        <f>IF($A501="","",K501+I501)</f>
        <v/>
      </c>
      <c r="N501" s="77">
        <f>IF($A501="","",SUMIFS($J$5:$J$800,$A$5:$A$800,"&gt;="&amp;DATE(YEAR($A501),MONTH($A501),1),$A$5:$A$800,"&lt;="&amp;$A501)+IF(AND(YEAR($A501)=YEAR(Settings!$B$3),MONTH($A501)=MONTH(Settings!$B$3)),Settings!$B$10,0))</f>
        <v/>
      </c>
      <c r="O501" s="78">
        <f>IF($A501="","",SUMIFS($K$5:$K$800,$A$5:$A$800,"&gt;="&amp;DATE(YEAR($A501),MONTH($A501),1),$A$5:$A$800,"&lt;="&amp;$A501)+IF(AND(YEAR($A501)=YEAR(Settings!$B$3),MONTH($A501)=MONTH(Settings!$B$3)),Settings!$B$11,0))</f>
        <v/>
      </c>
      <c r="P501" s="77">
        <f>IF($A501="","",SUMIFS($H$5:$H$800,$A$5:$A$800,"&gt;="&amp;DATE(YEAR($A501),MONTH($A501),1),$A$5:$A$800,"&lt;="&amp;$A501)+IF(AND(YEAR($A501)=YEAR(Settings!$B$3),MONTH($A501)=MONTH(Settings!$B$3)),Settings!$B$12,0))</f>
        <v/>
      </c>
      <c r="Q501" s="78">
        <f>IF($A501="","",SUMIFS($I$5:$I$800,$A$5:$A$800,"&gt;="&amp;DATE(YEAR($A501),MONTH($A501),1),$A$5:$A$800,"&lt;="&amp;$A501)+IF(AND(YEAR($A501)=YEAR(Settings!$B$3),MONTH($A501)=MONTH(Settings!$B$3)),Settings!$B$13,0))</f>
        <v/>
      </c>
      <c r="R501" s="77">
        <f>IF($A501="","",N501+P501)</f>
        <v/>
      </c>
      <c r="S501" s="78">
        <f>IF($A501="","",O501+Q501)</f>
        <v/>
      </c>
    </row>
    <row r="502">
      <c r="A502" s="67" t="n"/>
      <c r="B502" s="75" t="n"/>
      <c r="C502" s="76" t="n"/>
      <c r="D502" s="75" t="n"/>
      <c r="E502" s="76" t="n"/>
      <c r="F502" s="75" t="n"/>
      <c r="G502" s="76" t="n"/>
      <c r="H502" s="75" t="n"/>
      <c r="I502" s="76" t="n"/>
      <c r="J502" s="77">
        <f>IF($A502="","",B502+D502+F502)</f>
        <v/>
      </c>
      <c r="K502" s="78">
        <f>IF($A502="","",C502+E502+G502)</f>
        <v/>
      </c>
      <c r="L502" s="79">
        <f>IF($A502="","",J502+H502)</f>
        <v/>
      </c>
      <c r="M502" s="80">
        <f>IF($A502="","",K502+I502)</f>
        <v/>
      </c>
      <c r="N502" s="77">
        <f>IF($A502="","",SUMIFS($J$5:$J$800,$A$5:$A$800,"&gt;="&amp;DATE(YEAR($A502),MONTH($A502),1),$A$5:$A$800,"&lt;="&amp;$A502)+IF(AND(YEAR($A502)=YEAR(Settings!$B$3),MONTH($A502)=MONTH(Settings!$B$3)),Settings!$B$10,0))</f>
        <v/>
      </c>
      <c r="O502" s="78">
        <f>IF($A502="","",SUMIFS($K$5:$K$800,$A$5:$A$800,"&gt;="&amp;DATE(YEAR($A502),MONTH($A502),1),$A$5:$A$800,"&lt;="&amp;$A502)+IF(AND(YEAR($A502)=YEAR(Settings!$B$3),MONTH($A502)=MONTH(Settings!$B$3)),Settings!$B$11,0))</f>
        <v/>
      </c>
      <c r="P502" s="77">
        <f>IF($A502="","",SUMIFS($H$5:$H$800,$A$5:$A$800,"&gt;="&amp;DATE(YEAR($A502),MONTH($A502),1),$A$5:$A$800,"&lt;="&amp;$A502)+IF(AND(YEAR($A502)=YEAR(Settings!$B$3),MONTH($A502)=MONTH(Settings!$B$3)),Settings!$B$12,0))</f>
        <v/>
      </c>
      <c r="Q502" s="78">
        <f>IF($A502="","",SUMIFS($I$5:$I$800,$A$5:$A$800,"&gt;="&amp;DATE(YEAR($A502),MONTH($A502),1),$A$5:$A$800,"&lt;="&amp;$A502)+IF(AND(YEAR($A502)=YEAR(Settings!$B$3),MONTH($A502)=MONTH(Settings!$B$3)),Settings!$B$13,0))</f>
        <v/>
      </c>
      <c r="R502" s="77">
        <f>IF($A502="","",N502+P502)</f>
        <v/>
      </c>
      <c r="S502" s="78">
        <f>IF($A502="","",O502+Q502)</f>
        <v/>
      </c>
    </row>
    <row r="503">
      <c r="A503" s="67" t="n"/>
      <c r="B503" s="75" t="n"/>
      <c r="C503" s="76" t="n"/>
      <c r="D503" s="75" t="n"/>
      <c r="E503" s="76" t="n"/>
      <c r="F503" s="75" t="n"/>
      <c r="G503" s="76" t="n"/>
      <c r="H503" s="75" t="n"/>
      <c r="I503" s="76" t="n"/>
      <c r="J503" s="77">
        <f>IF($A503="","",B503+D503+F503)</f>
        <v/>
      </c>
      <c r="K503" s="78">
        <f>IF($A503="","",C503+E503+G503)</f>
        <v/>
      </c>
      <c r="L503" s="79">
        <f>IF($A503="","",J503+H503)</f>
        <v/>
      </c>
      <c r="M503" s="80">
        <f>IF($A503="","",K503+I503)</f>
        <v/>
      </c>
      <c r="N503" s="77">
        <f>IF($A503="","",SUMIFS($J$5:$J$800,$A$5:$A$800,"&gt;="&amp;DATE(YEAR($A503),MONTH($A503),1),$A$5:$A$800,"&lt;="&amp;$A503)+IF(AND(YEAR($A503)=YEAR(Settings!$B$3),MONTH($A503)=MONTH(Settings!$B$3)),Settings!$B$10,0))</f>
        <v/>
      </c>
      <c r="O503" s="78">
        <f>IF($A503="","",SUMIFS($K$5:$K$800,$A$5:$A$800,"&gt;="&amp;DATE(YEAR($A503),MONTH($A503),1),$A$5:$A$800,"&lt;="&amp;$A503)+IF(AND(YEAR($A503)=YEAR(Settings!$B$3),MONTH($A503)=MONTH(Settings!$B$3)),Settings!$B$11,0))</f>
        <v/>
      </c>
      <c r="P503" s="77">
        <f>IF($A503="","",SUMIFS($H$5:$H$800,$A$5:$A$800,"&gt;="&amp;DATE(YEAR($A503),MONTH($A503),1),$A$5:$A$800,"&lt;="&amp;$A503)+IF(AND(YEAR($A503)=YEAR(Settings!$B$3),MONTH($A503)=MONTH(Settings!$B$3)),Settings!$B$12,0))</f>
        <v/>
      </c>
      <c r="Q503" s="78">
        <f>IF($A503="","",SUMIFS($I$5:$I$800,$A$5:$A$800,"&gt;="&amp;DATE(YEAR($A503),MONTH($A503),1),$A$5:$A$800,"&lt;="&amp;$A503)+IF(AND(YEAR($A503)=YEAR(Settings!$B$3),MONTH($A503)=MONTH(Settings!$B$3)),Settings!$B$13,0))</f>
        <v/>
      </c>
      <c r="R503" s="77">
        <f>IF($A503="","",N503+P503)</f>
        <v/>
      </c>
      <c r="S503" s="78">
        <f>IF($A503="","",O503+Q503)</f>
        <v/>
      </c>
    </row>
    <row r="504">
      <c r="A504" s="67" t="n"/>
      <c r="B504" s="75" t="n"/>
      <c r="C504" s="76" t="n"/>
      <c r="D504" s="75" t="n"/>
      <c r="E504" s="76" t="n"/>
      <c r="F504" s="75" t="n"/>
      <c r="G504" s="76" t="n"/>
      <c r="H504" s="75" t="n"/>
      <c r="I504" s="76" t="n"/>
      <c r="J504" s="77">
        <f>IF($A504="","",B504+D504+F504)</f>
        <v/>
      </c>
      <c r="K504" s="78">
        <f>IF($A504="","",C504+E504+G504)</f>
        <v/>
      </c>
      <c r="L504" s="79">
        <f>IF($A504="","",J504+H504)</f>
        <v/>
      </c>
      <c r="M504" s="80">
        <f>IF($A504="","",K504+I504)</f>
        <v/>
      </c>
      <c r="N504" s="77">
        <f>IF($A504="","",SUMIFS($J$5:$J$800,$A$5:$A$800,"&gt;="&amp;DATE(YEAR($A504),MONTH($A504),1),$A$5:$A$800,"&lt;="&amp;$A504)+IF(AND(YEAR($A504)=YEAR(Settings!$B$3),MONTH($A504)=MONTH(Settings!$B$3)),Settings!$B$10,0))</f>
        <v/>
      </c>
      <c r="O504" s="78">
        <f>IF($A504="","",SUMIFS($K$5:$K$800,$A$5:$A$800,"&gt;="&amp;DATE(YEAR($A504),MONTH($A504),1),$A$5:$A$800,"&lt;="&amp;$A504)+IF(AND(YEAR($A504)=YEAR(Settings!$B$3),MONTH($A504)=MONTH(Settings!$B$3)),Settings!$B$11,0))</f>
        <v/>
      </c>
      <c r="P504" s="77">
        <f>IF($A504="","",SUMIFS($H$5:$H$800,$A$5:$A$800,"&gt;="&amp;DATE(YEAR($A504),MONTH($A504),1),$A$5:$A$800,"&lt;="&amp;$A504)+IF(AND(YEAR($A504)=YEAR(Settings!$B$3),MONTH($A504)=MONTH(Settings!$B$3)),Settings!$B$12,0))</f>
        <v/>
      </c>
      <c r="Q504" s="78">
        <f>IF($A504="","",SUMIFS($I$5:$I$800,$A$5:$A$800,"&gt;="&amp;DATE(YEAR($A504),MONTH($A504),1),$A$5:$A$800,"&lt;="&amp;$A504)+IF(AND(YEAR($A504)=YEAR(Settings!$B$3),MONTH($A504)=MONTH(Settings!$B$3)),Settings!$B$13,0))</f>
        <v/>
      </c>
      <c r="R504" s="77">
        <f>IF($A504="","",N504+P504)</f>
        <v/>
      </c>
      <c r="S504" s="78">
        <f>IF($A504="","",O504+Q504)</f>
        <v/>
      </c>
    </row>
    <row r="505">
      <c r="A505" s="67" t="n"/>
      <c r="B505" s="75" t="n"/>
      <c r="C505" s="76" t="n"/>
      <c r="D505" s="75" t="n"/>
      <c r="E505" s="76" t="n"/>
      <c r="F505" s="75" t="n"/>
      <c r="G505" s="76" t="n"/>
      <c r="H505" s="75" t="n"/>
      <c r="I505" s="76" t="n"/>
      <c r="J505" s="77">
        <f>IF($A505="","",B505+D505+F505)</f>
        <v/>
      </c>
      <c r="K505" s="78">
        <f>IF($A505="","",C505+E505+G505)</f>
        <v/>
      </c>
      <c r="L505" s="79">
        <f>IF($A505="","",J505+H505)</f>
        <v/>
      </c>
      <c r="M505" s="80">
        <f>IF($A505="","",K505+I505)</f>
        <v/>
      </c>
      <c r="N505" s="77">
        <f>IF($A505="","",SUMIFS($J$5:$J$800,$A$5:$A$800,"&gt;="&amp;DATE(YEAR($A505),MONTH($A505),1),$A$5:$A$800,"&lt;="&amp;$A505)+IF(AND(YEAR($A505)=YEAR(Settings!$B$3),MONTH($A505)=MONTH(Settings!$B$3)),Settings!$B$10,0))</f>
        <v/>
      </c>
      <c r="O505" s="78">
        <f>IF($A505="","",SUMIFS($K$5:$K$800,$A$5:$A$800,"&gt;="&amp;DATE(YEAR($A505),MONTH($A505),1),$A$5:$A$800,"&lt;="&amp;$A505)+IF(AND(YEAR($A505)=YEAR(Settings!$B$3),MONTH($A505)=MONTH(Settings!$B$3)),Settings!$B$11,0))</f>
        <v/>
      </c>
      <c r="P505" s="77">
        <f>IF($A505="","",SUMIFS($H$5:$H$800,$A$5:$A$800,"&gt;="&amp;DATE(YEAR($A505),MONTH($A505),1),$A$5:$A$800,"&lt;="&amp;$A505)+IF(AND(YEAR($A505)=YEAR(Settings!$B$3),MONTH($A505)=MONTH(Settings!$B$3)),Settings!$B$12,0))</f>
        <v/>
      </c>
      <c r="Q505" s="78">
        <f>IF($A505="","",SUMIFS($I$5:$I$800,$A$5:$A$800,"&gt;="&amp;DATE(YEAR($A505),MONTH($A505),1),$A$5:$A$800,"&lt;="&amp;$A505)+IF(AND(YEAR($A505)=YEAR(Settings!$B$3),MONTH($A505)=MONTH(Settings!$B$3)),Settings!$B$13,0))</f>
        <v/>
      </c>
      <c r="R505" s="77">
        <f>IF($A505="","",N505+P505)</f>
        <v/>
      </c>
      <c r="S505" s="78">
        <f>IF($A505="","",O505+Q505)</f>
        <v/>
      </c>
    </row>
    <row r="506">
      <c r="A506" s="67" t="n"/>
      <c r="B506" s="75" t="n"/>
      <c r="C506" s="76" t="n"/>
      <c r="D506" s="75" t="n"/>
      <c r="E506" s="76" t="n"/>
      <c r="F506" s="75" t="n"/>
      <c r="G506" s="76" t="n"/>
      <c r="H506" s="75" t="n"/>
      <c r="I506" s="76" t="n"/>
      <c r="J506" s="77">
        <f>IF($A506="","",B506+D506+F506)</f>
        <v/>
      </c>
      <c r="K506" s="78">
        <f>IF($A506="","",C506+E506+G506)</f>
        <v/>
      </c>
      <c r="L506" s="79">
        <f>IF($A506="","",J506+H506)</f>
        <v/>
      </c>
      <c r="M506" s="80">
        <f>IF($A506="","",K506+I506)</f>
        <v/>
      </c>
      <c r="N506" s="77">
        <f>IF($A506="","",SUMIFS($J$5:$J$800,$A$5:$A$800,"&gt;="&amp;DATE(YEAR($A506),MONTH($A506),1),$A$5:$A$800,"&lt;="&amp;$A506)+IF(AND(YEAR($A506)=YEAR(Settings!$B$3),MONTH($A506)=MONTH(Settings!$B$3)),Settings!$B$10,0))</f>
        <v/>
      </c>
      <c r="O506" s="78">
        <f>IF($A506="","",SUMIFS($K$5:$K$800,$A$5:$A$800,"&gt;="&amp;DATE(YEAR($A506),MONTH($A506),1),$A$5:$A$800,"&lt;="&amp;$A506)+IF(AND(YEAR($A506)=YEAR(Settings!$B$3),MONTH($A506)=MONTH(Settings!$B$3)),Settings!$B$11,0))</f>
        <v/>
      </c>
      <c r="P506" s="77">
        <f>IF($A506="","",SUMIFS($H$5:$H$800,$A$5:$A$800,"&gt;="&amp;DATE(YEAR($A506),MONTH($A506),1),$A$5:$A$800,"&lt;="&amp;$A506)+IF(AND(YEAR($A506)=YEAR(Settings!$B$3),MONTH($A506)=MONTH(Settings!$B$3)),Settings!$B$12,0))</f>
        <v/>
      </c>
      <c r="Q506" s="78">
        <f>IF($A506="","",SUMIFS($I$5:$I$800,$A$5:$A$800,"&gt;="&amp;DATE(YEAR($A506),MONTH($A506),1),$A$5:$A$800,"&lt;="&amp;$A506)+IF(AND(YEAR($A506)=YEAR(Settings!$B$3),MONTH($A506)=MONTH(Settings!$B$3)),Settings!$B$13,0))</f>
        <v/>
      </c>
      <c r="R506" s="77">
        <f>IF($A506="","",N506+P506)</f>
        <v/>
      </c>
      <c r="S506" s="78">
        <f>IF($A506="","",O506+Q506)</f>
        <v/>
      </c>
    </row>
    <row r="507">
      <c r="A507" s="67" t="n"/>
      <c r="B507" s="75" t="n"/>
      <c r="C507" s="76" t="n"/>
      <c r="D507" s="75" t="n"/>
      <c r="E507" s="76" t="n"/>
      <c r="F507" s="75" t="n"/>
      <c r="G507" s="76" t="n"/>
      <c r="H507" s="75" t="n"/>
      <c r="I507" s="76" t="n"/>
      <c r="J507" s="77">
        <f>IF($A507="","",B507+D507+F507)</f>
        <v/>
      </c>
      <c r="K507" s="78">
        <f>IF($A507="","",C507+E507+G507)</f>
        <v/>
      </c>
      <c r="L507" s="79">
        <f>IF($A507="","",J507+H507)</f>
        <v/>
      </c>
      <c r="M507" s="80">
        <f>IF($A507="","",K507+I507)</f>
        <v/>
      </c>
      <c r="N507" s="77">
        <f>IF($A507="","",SUMIFS($J$5:$J$800,$A$5:$A$800,"&gt;="&amp;DATE(YEAR($A507),MONTH($A507),1),$A$5:$A$800,"&lt;="&amp;$A507)+IF(AND(YEAR($A507)=YEAR(Settings!$B$3),MONTH($A507)=MONTH(Settings!$B$3)),Settings!$B$10,0))</f>
        <v/>
      </c>
      <c r="O507" s="78">
        <f>IF($A507="","",SUMIFS($K$5:$K$800,$A$5:$A$800,"&gt;="&amp;DATE(YEAR($A507),MONTH($A507),1),$A$5:$A$800,"&lt;="&amp;$A507)+IF(AND(YEAR($A507)=YEAR(Settings!$B$3),MONTH($A507)=MONTH(Settings!$B$3)),Settings!$B$11,0))</f>
        <v/>
      </c>
      <c r="P507" s="77">
        <f>IF($A507="","",SUMIFS($H$5:$H$800,$A$5:$A$800,"&gt;="&amp;DATE(YEAR($A507),MONTH($A507),1),$A$5:$A$800,"&lt;="&amp;$A507)+IF(AND(YEAR($A507)=YEAR(Settings!$B$3),MONTH($A507)=MONTH(Settings!$B$3)),Settings!$B$12,0))</f>
        <v/>
      </c>
      <c r="Q507" s="78">
        <f>IF($A507="","",SUMIFS($I$5:$I$800,$A$5:$A$800,"&gt;="&amp;DATE(YEAR($A507),MONTH($A507),1),$A$5:$A$800,"&lt;="&amp;$A507)+IF(AND(YEAR($A507)=YEAR(Settings!$B$3),MONTH($A507)=MONTH(Settings!$B$3)),Settings!$B$13,0))</f>
        <v/>
      </c>
      <c r="R507" s="77">
        <f>IF($A507="","",N507+P507)</f>
        <v/>
      </c>
      <c r="S507" s="78">
        <f>IF($A507="","",O507+Q507)</f>
        <v/>
      </c>
    </row>
    <row r="508">
      <c r="A508" s="67" t="n"/>
      <c r="B508" s="75" t="n"/>
      <c r="C508" s="76" t="n"/>
      <c r="D508" s="75" t="n"/>
      <c r="E508" s="76" t="n"/>
      <c r="F508" s="75" t="n"/>
      <c r="G508" s="76" t="n"/>
      <c r="H508" s="75" t="n"/>
      <c r="I508" s="76" t="n"/>
      <c r="J508" s="77">
        <f>IF($A508="","",B508+D508+F508)</f>
        <v/>
      </c>
      <c r="K508" s="78">
        <f>IF($A508="","",C508+E508+G508)</f>
        <v/>
      </c>
      <c r="L508" s="79">
        <f>IF($A508="","",J508+H508)</f>
        <v/>
      </c>
      <c r="M508" s="80">
        <f>IF($A508="","",K508+I508)</f>
        <v/>
      </c>
      <c r="N508" s="77">
        <f>IF($A508="","",SUMIFS($J$5:$J$800,$A$5:$A$800,"&gt;="&amp;DATE(YEAR($A508),MONTH($A508),1),$A$5:$A$800,"&lt;="&amp;$A508)+IF(AND(YEAR($A508)=YEAR(Settings!$B$3),MONTH($A508)=MONTH(Settings!$B$3)),Settings!$B$10,0))</f>
        <v/>
      </c>
      <c r="O508" s="78">
        <f>IF($A508="","",SUMIFS($K$5:$K$800,$A$5:$A$800,"&gt;="&amp;DATE(YEAR($A508),MONTH($A508),1),$A$5:$A$800,"&lt;="&amp;$A508)+IF(AND(YEAR($A508)=YEAR(Settings!$B$3),MONTH($A508)=MONTH(Settings!$B$3)),Settings!$B$11,0))</f>
        <v/>
      </c>
      <c r="P508" s="77">
        <f>IF($A508="","",SUMIFS($H$5:$H$800,$A$5:$A$800,"&gt;="&amp;DATE(YEAR($A508),MONTH($A508),1),$A$5:$A$800,"&lt;="&amp;$A508)+IF(AND(YEAR($A508)=YEAR(Settings!$B$3),MONTH($A508)=MONTH(Settings!$B$3)),Settings!$B$12,0))</f>
        <v/>
      </c>
      <c r="Q508" s="78">
        <f>IF($A508="","",SUMIFS($I$5:$I$800,$A$5:$A$800,"&gt;="&amp;DATE(YEAR($A508),MONTH($A508),1),$A$5:$A$800,"&lt;="&amp;$A508)+IF(AND(YEAR($A508)=YEAR(Settings!$B$3),MONTH($A508)=MONTH(Settings!$B$3)),Settings!$B$13,0))</f>
        <v/>
      </c>
      <c r="R508" s="77">
        <f>IF($A508="","",N508+P508)</f>
        <v/>
      </c>
      <c r="S508" s="78">
        <f>IF($A508="","",O508+Q508)</f>
        <v/>
      </c>
    </row>
    <row r="509">
      <c r="A509" s="67" t="n"/>
      <c r="B509" s="75" t="n"/>
      <c r="C509" s="76" t="n"/>
      <c r="D509" s="75" t="n"/>
      <c r="E509" s="76" t="n"/>
      <c r="F509" s="75" t="n"/>
      <c r="G509" s="76" t="n"/>
      <c r="H509" s="75" t="n"/>
      <c r="I509" s="76" t="n"/>
      <c r="J509" s="77">
        <f>IF($A509="","",B509+D509+F509)</f>
        <v/>
      </c>
      <c r="K509" s="78">
        <f>IF($A509="","",C509+E509+G509)</f>
        <v/>
      </c>
      <c r="L509" s="79">
        <f>IF($A509="","",J509+H509)</f>
        <v/>
      </c>
      <c r="M509" s="80">
        <f>IF($A509="","",K509+I509)</f>
        <v/>
      </c>
      <c r="N509" s="77">
        <f>IF($A509="","",SUMIFS($J$5:$J$800,$A$5:$A$800,"&gt;="&amp;DATE(YEAR($A509),MONTH($A509),1),$A$5:$A$800,"&lt;="&amp;$A509)+IF(AND(YEAR($A509)=YEAR(Settings!$B$3),MONTH($A509)=MONTH(Settings!$B$3)),Settings!$B$10,0))</f>
        <v/>
      </c>
      <c r="O509" s="78">
        <f>IF($A509="","",SUMIFS($K$5:$K$800,$A$5:$A$800,"&gt;="&amp;DATE(YEAR($A509),MONTH($A509),1),$A$5:$A$800,"&lt;="&amp;$A509)+IF(AND(YEAR($A509)=YEAR(Settings!$B$3),MONTH($A509)=MONTH(Settings!$B$3)),Settings!$B$11,0))</f>
        <v/>
      </c>
      <c r="P509" s="77">
        <f>IF($A509="","",SUMIFS($H$5:$H$800,$A$5:$A$800,"&gt;="&amp;DATE(YEAR($A509),MONTH($A509),1),$A$5:$A$800,"&lt;="&amp;$A509)+IF(AND(YEAR($A509)=YEAR(Settings!$B$3),MONTH($A509)=MONTH(Settings!$B$3)),Settings!$B$12,0))</f>
        <v/>
      </c>
      <c r="Q509" s="78">
        <f>IF($A509="","",SUMIFS($I$5:$I$800,$A$5:$A$800,"&gt;="&amp;DATE(YEAR($A509),MONTH($A509),1),$A$5:$A$800,"&lt;="&amp;$A509)+IF(AND(YEAR($A509)=YEAR(Settings!$B$3),MONTH($A509)=MONTH(Settings!$B$3)),Settings!$B$13,0))</f>
        <v/>
      </c>
      <c r="R509" s="77">
        <f>IF($A509="","",N509+P509)</f>
        <v/>
      </c>
      <c r="S509" s="78">
        <f>IF($A509="","",O509+Q509)</f>
        <v/>
      </c>
    </row>
    <row r="510">
      <c r="A510" s="67" t="n"/>
      <c r="B510" s="75" t="n"/>
      <c r="C510" s="76" t="n"/>
      <c r="D510" s="75" t="n"/>
      <c r="E510" s="76" t="n"/>
      <c r="F510" s="75" t="n"/>
      <c r="G510" s="76" t="n"/>
      <c r="H510" s="75" t="n"/>
      <c r="I510" s="76" t="n"/>
      <c r="J510" s="77">
        <f>IF($A510="","",B510+D510+F510)</f>
        <v/>
      </c>
      <c r="K510" s="78">
        <f>IF($A510="","",C510+E510+G510)</f>
        <v/>
      </c>
      <c r="L510" s="79">
        <f>IF($A510="","",J510+H510)</f>
        <v/>
      </c>
      <c r="M510" s="80">
        <f>IF($A510="","",K510+I510)</f>
        <v/>
      </c>
      <c r="N510" s="77">
        <f>IF($A510="","",SUMIFS($J$5:$J$800,$A$5:$A$800,"&gt;="&amp;DATE(YEAR($A510),MONTH($A510),1),$A$5:$A$800,"&lt;="&amp;$A510)+IF(AND(YEAR($A510)=YEAR(Settings!$B$3),MONTH($A510)=MONTH(Settings!$B$3)),Settings!$B$10,0))</f>
        <v/>
      </c>
      <c r="O510" s="78">
        <f>IF($A510="","",SUMIFS($K$5:$K$800,$A$5:$A$800,"&gt;="&amp;DATE(YEAR($A510),MONTH($A510),1),$A$5:$A$800,"&lt;="&amp;$A510)+IF(AND(YEAR($A510)=YEAR(Settings!$B$3),MONTH($A510)=MONTH(Settings!$B$3)),Settings!$B$11,0))</f>
        <v/>
      </c>
      <c r="P510" s="77">
        <f>IF($A510="","",SUMIFS($H$5:$H$800,$A$5:$A$800,"&gt;="&amp;DATE(YEAR($A510),MONTH($A510),1),$A$5:$A$800,"&lt;="&amp;$A510)+IF(AND(YEAR($A510)=YEAR(Settings!$B$3),MONTH($A510)=MONTH(Settings!$B$3)),Settings!$B$12,0))</f>
        <v/>
      </c>
      <c r="Q510" s="78">
        <f>IF($A510="","",SUMIFS($I$5:$I$800,$A$5:$A$800,"&gt;="&amp;DATE(YEAR($A510),MONTH($A510),1),$A$5:$A$800,"&lt;="&amp;$A510)+IF(AND(YEAR($A510)=YEAR(Settings!$B$3),MONTH($A510)=MONTH(Settings!$B$3)),Settings!$B$13,0))</f>
        <v/>
      </c>
      <c r="R510" s="77">
        <f>IF($A510="","",N510+P510)</f>
        <v/>
      </c>
      <c r="S510" s="78">
        <f>IF($A510="","",O510+Q510)</f>
        <v/>
      </c>
    </row>
    <row r="511">
      <c r="A511" s="67" t="n"/>
      <c r="B511" s="75" t="n"/>
      <c r="C511" s="76" t="n"/>
      <c r="D511" s="75" t="n"/>
      <c r="E511" s="76" t="n"/>
      <c r="F511" s="75" t="n"/>
      <c r="G511" s="76" t="n"/>
      <c r="H511" s="75" t="n"/>
      <c r="I511" s="76" t="n"/>
      <c r="J511" s="77">
        <f>IF($A511="","",B511+D511+F511)</f>
        <v/>
      </c>
      <c r="K511" s="78">
        <f>IF($A511="","",C511+E511+G511)</f>
        <v/>
      </c>
      <c r="L511" s="79">
        <f>IF($A511="","",J511+H511)</f>
        <v/>
      </c>
      <c r="M511" s="80">
        <f>IF($A511="","",K511+I511)</f>
        <v/>
      </c>
      <c r="N511" s="77">
        <f>IF($A511="","",SUMIFS($J$5:$J$800,$A$5:$A$800,"&gt;="&amp;DATE(YEAR($A511),MONTH($A511),1),$A$5:$A$800,"&lt;="&amp;$A511)+IF(AND(YEAR($A511)=YEAR(Settings!$B$3),MONTH($A511)=MONTH(Settings!$B$3)),Settings!$B$10,0))</f>
        <v/>
      </c>
      <c r="O511" s="78">
        <f>IF($A511="","",SUMIFS($K$5:$K$800,$A$5:$A$800,"&gt;="&amp;DATE(YEAR($A511),MONTH($A511),1),$A$5:$A$800,"&lt;="&amp;$A511)+IF(AND(YEAR($A511)=YEAR(Settings!$B$3),MONTH($A511)=MONTH(Settings!$B$3)),Settings!$B$11,0))</f>
        <v/>
      </c>
      <c r="P511" s="77">
        <f>IF($A511="","",SUMIFS($H$5:$H$800,$A$5:$A$800,"&gt;="&amp;DATE(YEAR($A511),MONTH($A511),1),$A$5:$A$800,"&lt;="&amp;$A511)+IF(AND(YEAR($A511)=YEAR(Settings!$B$3),MONTH($A511)=MONTH(Settings!$B$3)),Settings!$B$12,0))</f>
        <v/>
      </c>
      <c r="Q511" s="78">
        <f>IF($A511="","",SUMIFS($I$5:$I$800,$A$5:$A$800,"&gt;="&amp;DATE(YEAR($A511),MONTH($A511),1),$A$5:$A$800,"&lt;="&amp;$A511)+IF(AND(YEAR($A511)=YEAR(Settings!$B$3),MONTH($A511)=MONTH(Settings!$B$3)),Settings!$B$13,0))</f>
        <v/>
      </c>
      <c r="R511" s="77">
        <f>IF($A511="","",N511+P511)</f>
        <v/>
      </c>
      <c r="S511" s="78">
        <f>IF($A511="","",O511+Q511)</f>
        <v/>
      </c>
    </row>
    <row r="512">
      <c r="A512" s="67" t="n"/>
      <c r="B512" s="75" t="n"/>
      <c r="C512" s="76" t="n"/>
      <c r="D512" s="75" t="n"/>
      <c r="E512" s="76" t="n"/>
      <c r="F512" s="75" t="n"/>
      <c r="G512" s="76" t="n"/>
      <c r="H512" s="75" t="n"/>
      <c r="I512" s="76" t="n"/>
      <c r="J512" s="77">
        <f>IF($A512="","",B512+D512+F512)</f>
        <v/>
      </c>
      <c r="K512" s="78">
        <f>IF($A512="","",C512+E512+G512)</f>
        <v/>
      </c>
      <c r="L512" s="79">
        <f>IF($A512="","",J512+H512)</f>
        <v/>
      </c>
      <c r="M512" s="80">
        <f>IF($A512="","",K512+I512)</f>
        <v/>
      </c>
      <c r="N512" s="77">
        <f>IF($A512="","",SUMIFS($J$5:$J$800,$A$5:$A$800,"&gt;="&amp;DATE(YEAR($A512),MONTH($A512),1),$A$5:$A$800,"&lt;="&amp;$A512)+IF(AND(YEAR($A512)=YEAR(Settings!$B$3),MONTH($A512)=MONTH(Settings!$B$3)),Settings!$B$10,0))</f>
        <v/>
      </c>
      <c r="O512" s="78">
        <f>IF($A512="","",SUMIFS($K$5:$K$800,$A$5:$A$800,"&gt;="&amp;DATE(YEAR($A512),MONTH($A512),1),$A$5:$A$800,"&lt;="&amp;$A512)+IF(AND(YEAR($A512)=YEAR(Settings!$B$3),MONTH($A512)=MONTH(Settings!$B$3)),Settings!$B$11,0))</f>
        <v/>
      </c>
      <c r="P512" s="77">
        <f>IF($A512="","",SUMIFS($H$5:$H$800,$A$5:$A$800,"&gt;="&amp;DATE(YEAR($A512),MONTH($A512),1),$A$5:$A$800,"&lt;="&amp;$A512)+IF(AND(YEAR($A512)=YEAR(Settings!$B$3),MONTH($A512)=MONTH(Settings!$B$3)),Settings!$B$12,0))</f>
        <v/>
      </c>
      <c r="Q512" s="78">
        <f>IF($A512="","",SUMIFS($I$5:$I$800,$A$5:$A$800,"&gt;="&amp;DATE(YEAR($A512),MONTH($A512),1),$A$5:$A$800,"&lt;="&amp;$A512)+IF(AND(YEAR($A512)=YEAR(Settings!$B$3),MONTH($A512)=MONTH(Settings!$B$3)),Settings!$B$13,0))</f>
        <v/>
      </c>
      <c r="R512" s="77">
        <f>IF($A512="","",N512+P512)</f>
        <v/>
      </c>
      <c r="S512" s="78">
        <f>IF($A512="","",O512+Q512)</f>
        <v/>
      </c>
    </row>
    <row r="513">
      <c r="A513" s="67" t="n"/>
      <c r="B513" s="75" t="n"/>
      <c r="C513" s="76" t="n"/>
      <c r="D513" s="75" t="n"/>
      <c r="E513" s="76" t="n"/>
      <c r="F513" s="75" t="n"/>
      <c r="G513" s="76" t="n"/>
      <c r="H513" s="75" t="n"/>
      <c r="I513" s="76" t="n"/>
      <c r="J513" s="77">
        <f>IF($A513="","",B513+D513+F513)</f>
        <v/>
      </c>
      <c r="K513" s="78">
        <f>IF($A513="","",C513+E513+G513)</f>
        <v/>
      </c>
      <c r="L513" s="79">
        <f>IF($A513="","",J513+H513)</f>
        <v/>
      </c>
      <c r="M513" s="80">
        <f>IF($A513="","",K513+I513)</f>
        <v/>
      </c>
      <c r="N513" s="77">
        <f>IF($A513="","",SUMIFS($J$5:$J$800,$A$5:$A$800,"&gt;="&amp;DATE(YEAR($A513),MONTH($A513),1),$A$5:$A$800,"&lt;="&amp;$A513)+IF(AND(YEAR($A513)=YEAR(Settings!$B$3),MONTH($A513)=MONTH(Settings!$B$3)),Settings!$B$10,0))</f>
        <v/>
      </c>
      <c r="O513" s="78">
        <f>IF($A513="","",SUMIFS($K$5:$K$800,$A$5:$A$800,"&gt;="&amp;DATE(YEAR($A513),MONTH($A513),1),$A$5:$A$800,"&lt;="&amp;$A513)+IF(AND(YEAR($A513)=YEAR(Settings!$B$3),MONTH($A513)=MONTH(Settings!$B$3)),Settings!$B$11,0))</f>
        <v/>
      </c>
      <c r="P513" s="77">
        <f>IF($A513="","",SUMIFS($H$5:$H$800,$A$5:$A$800,"&gt;="&amp;DATE(YEAR($A513),MONTH($A513),1),$A$5:$A$800,"&lt;="&amp;$A513)+IF(AND(YEAR($A513)=YEAR(Settings!$B$3),MONTH($A513)=MONTH(Settings!$B$3)),Settings!$B$12,0))</f>
        <v/>
      </c>
      <c r="Q513" s="78">
        <f>IF($A513="","",SUMIFS($I$5:$I$800,$A$5:$A$800,"&gt;="&amp;DATE(YEAR($A513),MONTH($A513),1),$A$5:$A$800,"&lt;="&amp;$A513)+IF(AND(YEAR($A513)=YEAR(Settings!$B$3),MONTH($A513)=MONTH(Settings!$B$3)),Settings!$B$13,0))</f>
        <v/>
      </c>
      <c r="R513" s="77">
        <f>IF($A513="","",N513+P513)</f>
        <v/>
      </c>
      <c r="S513" s="78">
        <f>IF($A513="","",O513+Q513)</f>
        <v/>
      </c>
    </row>
    <row r="514">
      <c r="A514" s="67" t="n"/>
      <c r="B514" s="75" t="n"/>
      <c r="C514" s="76" t="n"/>
      <c r="D514" s="75" t="n"/>
      <c r="E514" s="76" t="n"/>
      <c r="F514" s="75" t="n"/>
      <c r="G514" s="76" t="n"/>
      <c r="H514" s="75" t="n"/>
      <c r="I514" s="76" t="n"/>
      <c r="J514" s="77">
        <f>IF($A514="","",B514+D514+F514)</f>
        <v/>
      </c>
      <c r="K514" s="78">
        <f>IF($A514="","",C514+E514+G514)</f>
        <v/>
      </c>
      <c r="L514" s="79">
        <f>IF($A514="","",J514+H514)</f>
        <v/>
      </c>
      <c r="M514" s="80">
        <f>IF($A514="","",K514+I514)</f>
        <v/>
      </c>
      <c r="N514" s="77">
        <f>IF($A514="","",SUMIFS($J$5:$J$800,$A$5:$A$800,"&gt;="&amp;DATE(YEAR($A514),MONTH($A514),1),$A$5:$A$800,"&lt;="&amp;$A514)+IF(AND(YEAR($A514)=YEAR(Settings!$B$3),MONTH($A514)=MONTH(Settings!$B$3)),Settings!$B$10,0))</f>
        <v/>
      </c>
      <c r="O514" s="78">
        <f>IF($A514="","",SUMIFS($K$5:$K$800,$A$5:$A$800,"&gt;="&amp;DATE(YEAR($A514),MONTH($A514),1),$A$5:$A$800,"&lt;="&amp;$A514)+IF(AND(YEAR($A514)=YEAR(Settings!$B$3),MONTH($A514)=MONTH(Settings!$B$3)),Settings!$B$11,0))</f>
        <v/>
      </c>
      <c r="P514" s="77">
        <f>IF($A514="","",SUMIFS($H$5:$H$800,$A$5:$A$800,"&gt;="&amp;DATE(YEAR($A514),MONTH($A514),1),$A$5:$A$800,"&lt;="&amp;$A514)+IF(AND(YEAR($A514)=YEAR(Settings!$B$3),MONTH($A514)=MONTH(Settings!$B$3)),Settings!$B$12,0))</f>
        <v/>
      </c>
      <c r="Q514" s="78">
        <f>IF($A514="","",SUMIFS($I$5:$I$800,$A$5:$A$800,"&gt;="&amp;DATE(YEAR($A514),MONTH($A514),1),$A$5:$A$800,"&lt;="&amp;$A514)+IF(AND(YEAR($A514)=YEAR(Settings!$B$3),MONTH($A514)=MONTH(Settings!$B$3)),Settings!$B$13,0))</f>
        <v/>
      </c>
      <c r="R514" s="77">
        <f>IF($A514="","",N514+P514)</f>
        <v/>
      </c>
      <c r="S514" s="78">
        <f>IF($A514="","",O514+Q514)</f>
        <v/>
      </c>
    </row>
    <row r="515">
      <c r="A515" s="67" t="n"/>
      <c r="B515" s="75" t="n"/>
      <c r="C515" s="76" t="n"/>
      <c r="D515" s="75" t="n"/>
      <c r="E515" s="76" t="n"/>
      <c r="F515" s="75" t="n"/>
      <c r="G515" s="76" t="n"/>
      <c r="H515" s="75" t="n"/>
      <c r="I515" s="76" t="n"/>
      <c r="J515" s="77">
        <f>IF($A515="","",B515+D515+F515)</f>
        <v/>
      </c>
      <c r="K515" s="78">
        <f>IF($A515="","",C515+E515+G515)</f>
        <v/>
      </c>
      <c r="L515" s="79">
        <f>IF($A515="","",J515+H515)</f>
        <v/>
      </c>
      <c r="M515" s="80">
        <f>IF($A515="","",K515+I515)</f>
        <v/>
      </c>
      <c r="N515" s="77">
        <f>IF($A515="","",SUMIFS($J$5:$J$800,$A$5:$A$800,"&gt;="&amp;DATE(YEAR($A515),MONTH($A515),1),$A$5:$A$800,"&lt;="&amp;$A515)+IF(AND(YEAR($A515)=YEAR(Settings!$B$3),MONTH($A515)=MONTH(Settings!$B$3)),Settings!$B$10,0))</f>
        <v/>
      </c>
      <c r="O515" s="78">
        <f>IF($A515="","",SUMIFS($K$5:$K$800,$A$5:$A$800,"&gt;="&amp;DATE(YEAR($A515),MONTH($A515),1),$A$5:$A$800,"&lt;="&amp;$A515)+IF(AND(YEAR($A515)=YEAR(Settings!$B$3),MONTH($A515)=MONTH(Settings!$B$3)),Settings!$B$11,0))</f>
        <v/>
      </c>
      <c r="P515" s="77">
        <f>IF($A515="","",SUMIFS($H$5:$H$800,$A$5:$A$800,"&gt;="&amp;DATE(YEAR($A515),MONTH($A515),1),$A$5:$A$800,"&lt;="&amp;$A515)+IF(AND(YEAR($A515)=YEAR(Settings!$B$3),MONTH($A515)=MONTH(Settings!$B$3)),Settings!$B$12,0))</f>
        <v/>
      </c>
      <c r="Q515" s="78">
        <f>IF($A515="","",SUMIFS($I$5:$I$800,$A$5:$A$800,"&gt;="&amp;DATE(YEAR($A515),MONTH($A515),1),$A$5:$A$800,"&lt;="&amp;$A515)+IF(AND(YEAR($A515)=YEAR(Settings!$B$3),MONTH($A515)=MONTH(Settings!$B$3)),Settings!$B$13,0))</f>
        <v/>
      </c>
      <c r="R515" s="77">
        <f>IF($A515="","",N515+P515)</f>
        <v/>
      </c>
      <c r="S515" s="78">
        <f>IF($A515="","",O515+Q515)</f>
        <v/>
      </c>
    </row>
    <row r="516">
      <c r="A516" s="67" t="n"/>
      <c r="B516" s="75" t="n"/>
      <c r="C516" s="76" t="n"/>
      <c r="D516" s="75" t="n"/>
      <c r="E516" s="76" t="n"/>
      <c r="F516" s="75" t="n"/>
      <c r="G516" s="76" t="n"/>
      <c r="H516" s="75" t="n"/>
      <c r="I516" s="76" t="n"/>
      <c r="J516" s="77">
        <f>IF($A516="","",B516+D516+F516)</f>
        <v/>
      </c>
      <c r="K516" s="78">
        <f>IF($A516="","",C516+E516+G516)</f>
        <v/>
      </c>
      <c r="L516" s="79">
        <f>IF($A516="","",J516+H516)</f>
        <v/>
      </c>
      <c r="M516" s="80">
        <f>IF($A516="","",K516+I516)</f>
        <v/>
      </c>
      <c r="N516" s="77">
        <f>IF($A516="","",SUMIFS($J$5:$J$800,$A$5:$A$800,"&gt;="&amp;DATE(YEAR($A516),MONTH($A516),1),$A$5:$A$800,"&lt;="&amp;$A516)+IF(AND(YEAR($A516)=YEAR(Settings!$B$3),MONTH($A516)=MONTH(Settings!$B$3)),Settings!$B$10,0))</f>
        <v/>
      </c>
      <c r="O516" s="78">
        <f>IF($A516="","",SUMIFS($K$5:$K$800,$A$5:$A$800,"&gt;="&amp;DATE(YEAR($A516),MONTH($A516),1),$A$5:$A$800,"&lt;="&amp;$A516)+IF(AND(YEAR($A516)=YEAR(Settings!$B$3),MONTH($A516)=MONTH(Settings!$B$3)),Settings!$B$11,0))</f>
        <v/>
      </c>
      <c r="P516" s="77">
        <f>IF($A516="","",SUMIFS($H$5:$H$800,$A$5:$A$800,"&gt;="&amp;DATE(YEAR($A516),MONTH($A516),1),$A$5:$A$800,"&lt;="&amp;$A516)+IF(AND(YEAR($A516)=YEAR(Settings!$B$3),MONTH($A516)=MONTH(Settings!$B$3)),Settings!$B$12,0))</f>
        <v/>
      </c>
      <c r="Q516" s="78">
        <f>IF($A516="","",SUMIFS($I$5:$I$800,$A$5:$A$800,"&gt;="&amp;DATE(YEAR($A516),MONTH($A516),1),$A$5:$A$800,"&lt;="&amp;$A516)+IF(AND(YEAR($A516)=YEAR(Settings!$B$3),MONTH($A516)=MONTH(Settings!$B$3)),Settings!$B$13,0))</f>
        <v/>
      </c>
      <c r="R516" s="77">
        <f>IF($A516="","",N516+P516)</f>
        <v/>
      </c>
      <c r="S516" s="78">
        <f>IF($A516="","",O516+Q516)</f>
        <v/>
      </c>
    </row>
    <row r="517">
      <c r="A517" s="67" t="n"/>
      <c r="B517" s="75" t="n"/>
      <c r="C517" s="76" t="n"/>
      <c r="D517" s="75" t="n"/>
      <c r="E517" s="76" t="n"/>
      <c r="F517" s="75" t="n"/>
      <c r="G517" s="76" t="n"/>
      <c r="H517" s="75" t="n"/>
      <c r="I517" s="76" t="n"/>
      <c r="J517" s="77">
        <f>IF($A517="","",B517+D517+F517)</f>
        <v/>
      </c>
      <c r="K517" s="78">
        <f>IF($A517="","",C517+E517+G517)</f>
        <v/>
      </c>
      <c r="L517" s="79">
        <f>IF($A517="","",J517+H517)</f>
        <v/>
      </c>
      <c r="M517" s="80">
        <f>IF($A517="","",K517+I517)</f>
        <v/>
      </c>
      <c r="N517" s="77">
        <f>IF($A517="","",SUMIFS($J$5:$J$800,$A$5:$A$800,"&gt;="&amp;DATE(YEAR($A517),MONTH($A517),1),$A$5:$A$800,"&lt;="&amp;$A517)+IF(AND(YEAR($A517)=YEAR(Settings!$B$3),MONTH($A517)=MONTH(Settings!$B$3)),Settings!$B$10,0))</f>
        <v/>
      </c>
      <c r="O517" s="78">
        <f>IF($A517="","",SUMIFS($K$5:$K$800,$A$5:$A$800,"&gt;="&amp;DATE(YEAR($A517),MONTH($A517),1),$A$5:$A$800,"&lt;="&amp;$A517)+IF(AND(YEAR($A517)=YEAR(Settings!$B$3),MONTH($A517)=MONTH(Settings!$B$3)),Settings!$B$11,0))</f>
        <v/>
      </c>
      <c r="P517" s="77">
        <f>IF($A517="","",SUMIFS($H$5:$H$800,$A$5:$A$800,"&gt;="&amp;DATE(YEAR($A517),MONTH($A517),1),$A$5:$A$800,"&lt;="&amp;$A517)+IF(AND(YEAR($A517)=YEAR(Settings!$B$3),MONTH($A517)=MONTH(Settings!$B$3)),Settings!$B$12,0))</f>
        <v/>
      </c>
      <c r="Q517" s="78">
        <f>IF($A517="","",SUMIFS($I$5:$I$800,$A$5:$A$800,"&gt;="&amp;DATE(YEAR($A517),MONTH($A517),1),$A$5:$A$800,"&lt;="&amp;$A517)+IF(AND(YEAR($A517)=YEAR(Settings!$B$3),MONTH($A517)=MONTH(Settings!$B$3)),Settings!$B$13,0))</f>
        <v/>
      </c>
      <c r="R517" s="77">
        <f>IF($A517="","",N517+P517)</f>
        <v/>
      </c>
      <c r="S517" s="78">
        <f>IF($A517="","",O517+Q517)</f>
        <v/>
      </c>
    </row>
    <row r="518">
      <c r="A518" s="67" t="n"/>
      <c r="B518" s="75" t="n"/>
      <c r="C518" s="76" t="n"/>
      <c r="D518" s="75" t="n"/>
      <c r="E518" s="76" t="n"/>
      <c r="F518" s="75" t="n"/>
      <c r="G518" s="76" t="n"/>
      <c r="H518" s="75" t="n"/>
      <c r="I518" s="76" t="n"/>
      <c r="J518" s="77">
        <f>IF($A518="","",B518+D518+F518)</f>
        <v/>
      </c>
      <c r="K518" s="78">
        <f>IF($A518="","",C518+E518+G518)</f>
        <v/>
      </c>
      <c r="L518" s="79">
        <f>IF($A518="","",J518+H518)</f>
        <v/>
      </c>
      <c r="M518" s="80">
        <f>IF($A518="","",K518+I518)</f>
        <v/>
      </c>
      <c r="N518" s="77">
        <f>IF($A518="","",SUMIFS($J$5:$J$800,$A$5:$A$800,"&gt;="&amp;DATE(YEAR($A518),MONTH($A518),1),$A$5:$A$800,"&lt;="&amp;$A518)+IF(AND(YEAR($A518)=YEAR(Settings!$B$3),MONTH($A518)=MONTH(Settings!$B$3)),Settings!$B$10,0))</f>
        <v/>
      </c>
      <c r="O518" s="78">
        <f>IF($A518="","",SUMIFS($K$5:$K$800,$A$5:$A$800,"&gt;="&amp;DATE(YEAR($A518),MONTH($A518),1),$A$5:$A$800,"&lt;="&amp;$A518)+IF(AND(YEAR($A518)=YEAR(Settings!$B$3),MONTH($A518)=MONTH(Settings!$B$3)),Settings!$B$11,0))</f>
        <v/>
      </c>
      <c r="P518" s="77">
        <f>IF($A518="","",SUMIFS($H$5:$H$800,$A$5:$A$800,"&gt;="&amp;DATE(YEAR($A518),MONTH($A518),1),$A$5:$A$800,"&lt;="&amp;$A518)+IF(AND(YEAR($A518)=YEAR(Settings!$B$3),MONTH($A518)=MONTH(Settings!$B$3)),Settings!$B$12,0))</f>
        <v/>
      </c>
      <c r="Q518" s="78">
        <f>IF($A518="","",SUMIFS($I$5:$I$800,$A$5:$A$800,"&gt;="&amp;DATE(YEAR($A518),MONTH($A518),1),$A$5:$A$800,"&lt;="&amp;$A518)+IF(AND(YEAR($A518)=YEAR(Settings!$B$3),MONTH($A518)=MONTH(Settings!$B$3)),Settings!$B$13,0))</f>
        <v/>
      </c>
      <c r="R518" s="77">
        <f>IF($A518="","",N518+P518)</f>
        <v/>
      </c>
      <c r="S518" s="78">
        <f>IF($A518="","",O518+Q518)</f>
        <v/>
      </c>
    </row>
    <row r="519">
      <c r="A519" s="67" t="n"/>
      <c r="B519" s="75" t="n"/>
      <c r="C519" s="76" t="n"/>
      <c r="D519" s="75" t="n"/>
      <c r="E519" s="76" t="n"/>
      <c r="F519" s="75" t="n"/>
      <c r="G519" s="76" t="n"/>
      <c r="H519" s="75" t="n"/>
      <c r="I519" s="76" t="n"/>
      <c r="J519" s="77">
        <f>IF($A519="","",B519+D519+F519)</f>
        <v/>
      </c>
      <c r="K519" s="78">
        <f>IF($A519="","",C519+E519+G519)</f>
        <v/>
      </c>
      <c r="L519" s="79">
        <f>IF($A519="","",J519+H519)</f>
        <v/>
      </c>
      <c r="M519" s="80">
        <f>IF($A519="","",K519+I519)</f>
        <v/>
      </c>
      <c r="N519" s="77">
        <f>IF($A519="","",SUMIFS($J$5:$J$800,$A$5:$A$800,"&gt;="&amp;DATE(YEAR($A519),MONTH($A519),1),$A$5:$A$800,"&lt;="&amp;$A519)+IF(AND(YEAR($A519)=YEAR(Settings!$B$3),MONTH($A519)=MONTH(Settings!$B$3)),Settings!$B$10,0))</f>
        <v/>
      </c>
      <c r="O519" s="78">
        <f>IF($A519="","",SUMIFS($K$5:$K$800,$A$5:$A$800,"&gt;="&amp;DATE(YEAR($A519),MONTH($A519),1),$A$5:$A$800,"&lt;="&amp;$A519)+IF(AND(YEAR($A519)=YEAR(Settings!$B$3),MONTH($A519)=MONTH(Settings!$B$3)),Settings!$B$11,0))</f>
        <v/>
      </c>
      <c r="P519" s="77">
        <f>IF($A519="","",SUMIFS($H$5:$H$800,$A$5:$A$800,"&gt;="&amp;DATE(YEAR($A519),MONTH($A519),1),$A$5:$A$800,"&lt;="&amp;$A519)+IF(AND(YEAR($A519)=YEAR(Settings!$B$3),MONTH($A519)=MONTH(Settings!$B$3)),Settings!$B$12,0))</f>
        <v/>
      </c>
      <c r="Q519" s="78">
        <f>IF($A519="","",SUMIFS($I$5:$I$800,$A$5:$A$800,"&gt;="&amp;DATE(YEAR($A519),MONTH($A519),1),$A$5:$A$800,"&lt;="&amp;$A519)+IF(AND(YEAR($A519)=YEAR(Settings!$B$3),MONTH($A519)=MONTH(Settings!$B$3)),Settings!$B$13,0))</f>
        <v/>
      </c>
      <c r="R519" s="77">
        <f>IF($A519="","",N519+P519)</f>
        <v/>
      </c>
      <c r="S519" s="78">
        <f>IF($A519="","",O519+Q519)</f>
        <v/>
      </c>
    </row>
    <row r="520">
      <c r="A520" s="67" t="n"/>
      <c r="B520" s="75" t="n"/>
      <c r="C520" s="76" t="n"/>
      <c r="D520" s="75" t="n"/>
      <c r="E520" s="76" t="n"/>
      <c r="F520" s="75" t="n"/>
      <c r="G520" s="76" t="n"/>
      <c r="H520" s="75" t="n"/>
      <c r="I520" s="76" t="n"/>
      <c r="J520" s="77">
        <f>IF($A520="","",B520+D520+F520)</f>
        <v/>
      </c>
      <c r="K520" s="78">
        <f>IF($A520="","",C520+E520+G520)</f>
        <v/>
      </c>
      <c r="L520" s="79">
        <f>IF($A520="","",J520+H520)</f>
        <v/>
      </c>
      <c r="M520" s="80">
        <f>IF($A520="","",K520+I520)</f>
        <v/>
      </c>
      <c r="N520" s="77">
        <f>IF($A520="","",SUMIFS($J$5:$J$800,$A$5:$A$800,"&gt;="&amp;DATE(YEAR($A520),MONTH($A520),1),$A$5:$A$800,"&lt;="&amp;$A520)+IF(AND(YEAR($A520)=YEAR(Settings!$B$3),MONTH($A520)=MONTH(Settings!$B$3)),Settings!$B$10,0))</f>
        <v/>
      </c>
      <c r="O520" s="78">
        <f>IF($A520="","",SUMIFS($K$5:$K$800,$A$5:$A$800,"&gt;="&amp;DATE(YEAR($A520),MONTH($A520),1),$A$5:$A$800,"&lt;="&amp;$A520)+IF(AND(YEAR($A520)=YEAR(Settings!$B$3),MONTH($A520)=MONTH(Settings!$B$3)),Settings!$B$11,0))</f>
        <v/>
      </c>
      <c r="P520" s="77">
        <f>IF($A520="","",SUMIFS($H$5:$H$800,$A$5:$A$800,"&gt;="&amp;DATE(YEAR($A520),MONTH($A520),1),$A$5:$A$800,"&lt;="&amp;$A520)+IF(AND(YEAR($A520)=YEAR(Settings!$B$3),MONTH($A520)=MONTH(Settings!$B$3)),Settings!$B$12,0))</f>
        <v/>
      </c>
      <c r="Q520" s="78">
        <f>IF($A520="","",SUMIFS($I$5:$I$800,$A$5:$A$800,"&gt;="&amp;DATE(YEAR($A520),MONTH($A520),1),$A$5:$A$800,"&lt;="&amp;$A520)+IF(AND(YEAR($A520)=YEAR(Settings!$B$3),MONTH($A520)=MONTH(Settings!$B$3)),Settings!$B$13,0))</f>
        <v/>
      </c>
      <c r="R520" s="77">
        <f>IF($A520="","",N520+P520)</f>
        <v/>
      </c>
      <c r="S520" s="78">
        <f>IF($A520="","",O520+Q520)</f>
        <v/>
      </c>
    </row>
    <row r="521">
      <c r="A521" s="67" t="n"/>
      <c r="B521" s="75" t="n"/>
      <c r="C521" s="76" t="n"/>
      <c r="D521" s="75" t="n"/>
      <c r="E521" s="76" t="n"/>
      <c r="F521" s="75" t="n"/>
      <c r="G521" s="76" t="n"/>
      <c r="H521" s="75" t="n"/>
      <c r="I521" s="76" t="n"/>
      <c r="J521" s="77">
        <f>IF($A521="","",B521+D521+F521)</f>
        <v/>
      </c>
      <c r="K521" s="78">
        <f>IF($A521="","",C521+E521+G521)</f>
        <v/>
      </c>
      <c r="L521" s="79">
        <f>IF($A521="","",J521+H521)</f>
        <v/>
      </c>
      <c r="M521" s="80">
        <f>IF($A521="","",K521+I521)</f>
        <v/>
      </c>
      <c r="N521" s="77">
        <f>IF($A521="","",SUMIFS($J$5:$J$800,$A$5:$A$800,"&gt;="&amp;DATE(YEAR($A521),MONTH($A521),1),$A$5:$A$800,"&lt;="&amp;$A521)+IF(AND(YEAR($A521)=YEAR(Settings!$B$3),MONTH($A521)=MONTH(Settings!$B$3)),Settings!$B$10,0))</f>
        <v/>
      </c>
      <c r="O521" s="78">
        <f>IF($A521="","",SUMIFS($K$5:$K$800,$A$5:$A$800,"&gt;="&amp;DATE(YEAR($A521),MONTH($A521),1),$A$5:$A$800,"&lt;="&amp;$A521)+IF(AND(YEAR($A521)=YEAR(Settings!$B$3),MONTH($A521)=MONTH(Settings!$B$3)),Settings!$B$11,0))</f>
        <v/>
      </c>
      <c r="P521" s="77">
        <f>IF($A521="","",SUMIFS($H$5:$H$800,$A$5:$A$800,"&gt;="&amp;DATE(YEAR($A521),MONTH($A521),1),$A$5:$A$800,"&lt;="&amp;$A521)+IF(AND(YEAR($A521)=YEAR(Settings!$B$3),MONTH($A521)=MONTH(Settings!$B$3)),Settings!$B$12,0))</f>
        <v/>
      </c>
      <c r="Q521" s="78">
        <f>IF($A521="","",SUMIFS($I$5:$I$800,$A$5:$A$800,"&gt;="&amp;DATE(YEAR($A521),MONTH($A521),1),$A$5:$A$800,"&lt;="&amp;$A521)+IF(AND(YEAR($A521)=YEAR(Settings!$B$3),MONTH($A521)=MONTH(Settings!$B$3)),Settings!$B$13,0))</f>
        <v/>
      </c>
      <c r="R521" s="77">
        <f>IF($A521="","",N521+P521)</f>
        <v/>
      </c>
      <c r="S521" s="78">
        <f>IF($A521="","",O521+Q521)</f>
        <v/>
      </c>
    </row>
    <row r="522">
      <c r="A522" s="67" t="n"/>
      <c r="B522" s="75" t="n"/>
      <c r="C522" s="76" t="n"/>
      <c r="D522" s="75" t="n"/>
      <c r="E522" s="76" t="n"/>
      <c r="F522" s="75" t="n"/>
      <c r="G522" s="76" t="n"/>
      <c r="H522" s="75" t="n"/>
      <c r="I522" s="76" t="n"/>
      <c r="J522" s="77">
        <f>IF($A522="","",B522+D522+F522)</f>
        <v/>
      </c>
      <c r="K522" s="78">
        <f>IF($A522="","",C522+E522+G522)</f>
        <v/>
      </c>
      <c r="L522" s="79">
        <f>IF($A522="","",J522+H522)</f>
        <v/>
      </c>
      <c r="M522" s="80">
        <f>IF($A522="","",K522+I522)</f>
        <v/>
      </c>
      <c r="N522" s="77">
        <f>IF($A522="","",SUMIFS($J$5:$J$800,$A$5:$A$800,"&gt;="&amp;DATE(YEAR($A522),MONTH($A522),1),$A$5:$A$800,"&lt;="&amp;$A522)+IF(AND(YEAR($A522)=YEAR(Settings!$B$3),MONTH($A522)=MONTH(Settings!$B$3)),Settings!$B$10,0))</f>
        <v/>
      </c>
      <c r="O522" s="78">
        <f>IF($A522="","",SUMIFS($K$5:$K$800,$A$5:$A$800,"&gt;="&amp;DATE(YEAR($A522),MONTH($A522),1),$A$5:$A$800,"&lt;="&amp;$A522)+IF(AND(YEAR($A522)=YEAR(Settings!$B$3),MONTH($A522)=MONTH(Settings!$B$3)),Settings!$B$11,0))</f>
        <v/>
      </c>
      <c r="P522" s="77">
        <f>IF($A522="","",SUMIFS($H$5:$H$800,$A$5:$A$800,"&gt;="&amp;DATE(YEAR($A522),MONTH($A522),1),$A$5:$A$800,"&lt;="&amp;$A522)+IF(AND(YEAR($A522)=YEAR(Settings!$B$3),MONTH($A522)=MONTH(Settings!$B$3)),Settings!$B$12,0))</f>
        <v/>
      </c>
      <c r="Q522" s="78">
        <f>IF($A522="","",SUMIFS($I$5:$I$800,$A$5:$A$800,"&gt;="&amp;DATE(YEAR($A522),MONTH($A522),1),$A$5:$A$800,"&lt;="&amp;$A522)+IF(AND(YEAR($A522)=YEAR(Settings!$B$3),MONTH($A522)=MONTH(Settings!$B$3)),Settings!$B$13,0))</f>
        <v/>
      </c>
      <c r="R522" s="77">
        <f>IF($A522="","",N522+P522)</f>
        <v/>
      </c>
      <c r="S522" s="78">
        <f>IF($A522="","",O522+Q522)</f>
        <v/>
      </c>
    </row>
    <row r="523">
      <c r="A523" s="67" t="n"/>
      <c r="B523" s="75" t="n"/>
      <c r="C523" s="76" t="n"/>
      <c r="D523" s="75" t="n"/>
      <c r="E523" s="76" t="n"/>
      <c r="F523" s="75" t="n"/>
      <c r="G523" s="76" t="n"/>
      <c r="H523" s="75" t="n"/>
      <c r="I523" s="76" t="n"/>
      <c r="J523" s="77">
        <f>IF($A523="","",B523+D523+F523)</f>
        <v/>
      </c>
      <c r="K523" s="78">
        <f>IF($A523="","",C523+E523+G523)</f>
        <v/>
      </c>
      <c r="L523" s="79">
        <f>IF($A523="","",J523+H523)</f>
        <v/>
      </c>
      <c r="M523" s="80">
        <f>IF($A523="","",K523+I523)</f>
        <v/>
      </c>
      <c r="N523" s="77">
        <f>IF($A523="","",SUMIFS($J$5:$J$800,$A$5:$A$800,"&gt;="&amp;DATE(YEAR($A523),MONTH($A523),1),$A$5:$A$800,"&lt;="&amp;$A523)+IF(AND(YEAR($A523)=YEAR(Settings!$B$3),MONTH($A523)=MONTH(Settings!$B$3)),Settings!$B$10,0))</f>
        <v/>
      </c>
      <c r="O523" s="78">
        <f>IF($A523="","",SUMIFS($K$5:$K$800,$A$5:$A$800,"&gt;="&amp;DATE(YEAR($A523),MONTH($A523),1),$A$5:$A$800,"&lt;="&amp;$A523)+IF(AND(YEAR($A523)=YEAR(Settings!$B$3),MONTH($A523)=MONTH(Settings!$B$3)),Settings!$B$11,0))</f>
        <v/>
      </c>
      <c r="P523" s="77">
        <f>IF($A523="","",SUMIFS($H$5:$H$800,$A$5:$A$800,"&gt;="&amp;DATE(YEAR($A523),MONTH($A523),1),$A$5:$A$800,"&lt;="&amp;$A523)+IF(AND(YEAR($A523)=YEAR(Settings!$B$3),MONTH($A523)=MONTH(Settings!$B$3)),Settings!$B$12,0))</f>
        <v/>
      </c>
      <c r="Q523" s="78">
        <f>IF($A523="","",SUMIFS($I$5:$I$800,$A$5:$A$800,"&gt;="&amp;DATE(YEAR($A523),MONTH($A523),1),$A$5:$A$800,"&lt;="&amp;$A523)+IF(AND(YEAR($A523)=YEAR(Settings!$B$3),MONTH($A523)=MONTH(Settings!$B$3)),Settings!$B$13,0))</f>
        <v/>
      </c>
      <c r="R523" s="77">
        <f>IF($A523="","",N523+P523)</f>
        <v/>
      </c>
      <c r="S523" s="78">
        <f>IF($A523="","",O523+Q523)</f>
        <v/>
      </c>
    </row>
    <row r="524">
      <c r="A524" s="67" t="n"/>
      <c r="B524" s="75" t="n"/>
      <c r="C524" s="76" t="n"/>
      <c r="D524" s="75" t="n"/>
      <c r="E524" s="76" t="n"/>
      <c r="F524" s="75" t="n"/>
      <c r="G524" s="76" t="n"/>
      <c r="H524" s="75" t="n"/>
      <c r="I524" s="76" t="n"/>
      <c r="J524" s="77">
        <f>IF($A524="","",B524+D524+F524)</f>
        <v/>
      </c>
      <c r="K524" s="78">
        <f>IF($A524="","",C524+E524+G524)</f>
        <v/>
      </c>
      <c r="L524" s="79">
        <f>IF($A524="","",J524+H524)</f>
        <v/>
      </c>
      <c r="M524" s="80">
        <f>IF($A524="","",K524+I524)</f>
        <v/>
      </c>
      <c r="N524" s="77">
        <f>IF($A524="","",SUMIFS($J$5:$J$800,$A$5:$A$800,"&gt;="&amp;DATE(YEAR($A524),MONTH($A524),1),$A$5:$A$800,"&lt;="&amp;$A524)+IF(AND(YEAR($A524)=YEAR(Settings!$B$3),MONTH($A524)=MONTH(Settings!$B$3)),Settings!$B$10,0))</f>
        <v/>
      </c>
      <c r="O524" s="78">
        <f>IF($A524="","",SUMIFS($K$5:$K$800,$A$5:$A$800,"&gt;="&amp;DATE(YEAR($A524),MONTH($A524),1),$A$5:$A$800,"&lt;="&amp;$A524)+IF(AND(YEAR($A524)=YEAR(Settings!$B$3),MONTH($A524)=MONTH(Settings!$B$3)),Settings!$B$11,0))</f>
        <v/>
      </c>
      <c r="P524" s="77">
        <f>IF($A524="","",SUMIFS($H$5:$H$800,$A$5:$A$800,"&gt;="&amp;DATE(YEAR($A524),MONTH($A524),1),$A$5:$A$800,"&lt;="&amp;$A524)+IF(AND(YEAR($A524)=YEAR(Settings!$B$3),MONTH($A524)=MONTH(Settings!$B$3)),Settings!$B$12,0))</f>
        <v/>
      </c>
      <c r="Q524" s="78">
        <f>IF($A524="","",SUMIFS($I$5:$I$800,$A$5:$A$800,"&gt;="&amp;DATE(YEAR($A524),MONTH($A524),1),$A$5:$A$800,"&lt;="&amp;$A524)+IF(AND(YEAR($A524)=YEAR(Settings!$B$3),MONTH($A524)=MONTH(Settings!$B$3)),Settings!$B$13,0))</f>
        <v/>
      </c>
      <c r="R524" s="77">
        <f>IF($A524="","",N524+P524)</f>
        <v/>
      </c>
      <c r="S524" s="78">
        <f>IF($A524="","",O524+Q524)</f>
        <v/>
      </c>
    </row>
    <row r="525">
      <c r="A525" s="67" t="n"/>
      <c r="B525" s="75" t="n"/>
      <c r="C525" s="76" t="n"/>
      <c r="D525" s="75" t="n"/>
      <c r="E525" s="76" t="n"/>
      <c r="F525" s="75" t="n"/>
      <c r="G525" s="76" t="n"/>
      <c r="H525" s="75" t="n"/>
      <c r="I525" s="76" t="n"/>
      <c r="J525" s="77">
        <f>IF($A525="","",B525+D525+F525)</f>
        <v/>
      </c>
      <c r="K525" s="78">
        <f>IF($A525="","",C525+E525+G525)</f>
        <v/>
      </c>
      <c r="L525" s="79">
        <f>IF($A525="","",J525+H525)</f>
        <v/>
      </c>
      <c r="M525" s="80">
        <f>IF($A525="","",K525+I525)</f>
        <v/>
      </c>
      <c r="N525" s="77">
        <f>IF($A525="","",SUMIFS($J$5:$J$800,$A$5:$A$800,"&gt;="&amp;DATE(YEAR($A525),MONTH($A525),1),$A$5:$A$800,"&lt;="&amp;$A525)+IF(AND(YEAR($A525)=YEAR(Settings!$B$3),MONTH($A525)=MONTH(Settings!$B$3)),Settings!$B$10,0))</f>
        <v/>
      </c>
      <c r="O525" s="78">
        <f>IF($A525="","",SUMIFS($K$5:$K$800,$A$5:$A$800,"&gt;="&amp;DATE(YEAR($A525),MONTH($A525),1),$A$5:$A$800,"&lt;="&amp;$A525)+IF(AND(YEAR($A525)=YEAR(Settings!$B$3),MONTH($A525)=MONTH(Settings!$B$3)),Settings!$B$11,0))</f>
        <v/>
      </c>
      <c r="P525" s="77">
        <f>IF($A525="","",SUMIFS($H$5:$H$800,$A$5:$A$800,"&gt;="&amp;DATE(YEAR($A525),MONTH($A525),1),$A$5:$A$800,"&lt;="&amp;$A525)+IF(AND(YEAR($A525)=YEAR(Settings!$B$3),MONTH($A525)=MONTH(Settings!$B$3)),Settings!$B$12,0))</f>
        <v/>
      </c>
      <c r="Q525" s="78">
        <f>IF($A525="","",SUMIFS($I$5:$I$800,$A$5:$A$800,"&gt;="&amp;DATE(YEAR($A525),MONTH($A525),1),$A$5:$A$800,"&lt;="&amp;$A525)+IF(AND(YEAR($A525)=YEAR(Settings!$B$3),MONTH($A525)=MONTH(Settings!$B$3)),Settings!$B$13,0))</f>
        <v/>
      </c>
      <c r="R525" s="77">
        <f>IF($A525="","",N525+P525)</f>
        <v/>
      </c>
      <c r="S525" s="78">
        <f>IF($A525="","",O525+Q525)</f>
        <v/>
      </c>
    </row>
    <row r="526">
      <c r="A526" s="67" t="n"/>
      <c r="B526" s="75" t="n"/>
      <c r="C526" s="76" t="n"/>
      <c r="D526" s="75" t="n"/>
      <c r="E526" s="76" t="n"/>
      <c r="F526" s="75" t="n"/>
      <c r="G526" s="76" t="n"/>
      <c r="H526" s="75" t="n"/>
      <c r="I526" s="76" t="n"/>
      <c r="J526" s="77">
        <f>IF($A526="","",B526+D526+F526)</f>
        <v/>
      </c>
      <c r="K526" s="78">
        <f>IF($A526="","",C526+E526+G526)</f>
        <v/>
      </c>
      <c r="L526" s="79">
        <f>IF($A526="","",J526+H526)</f>
        <v/>
      </c>
      <c r="M526" s="80">
        <f>IF($A526="","",K526+I526)</f>
        <v/>
      </c>
      <c r="N526" s="77">
        <f>IF($A526="","",SUMIFS($J$5:$J$800,$A$5:$A$800,"&gt;="&amp;DATE(YEAR($A526),MONTH($A526),1),$A$5:$A$800,"&lt;="&amp;$A526)+IF(AND(YEAR($A526)=YEAR(Settings!$B$3),MONTH($A526)=MONTH(Settings!$B$3)),Settings!$B$10,0))</f>
        <v/>
      </c>
      <c r="O526" s="78">
        <f>IF($A526="","",SUMIFS($K$5:$K$800,$A$5:$A$800,"&gt;="&amp;DATE(YEAR($A526),MONTH($A526),1),$A$5:$A$800,"&lt;="&amp;$A526)+IF(AND(YEAR($A526)=YEAR(Settings!$B$3),MONTH($A526)=MONTH(Settings!$B$3)),Settings!$B$11,0))</f>
        <v/>
      </c>
      <c r="P526" s="77">
        <f>IF($A526="","",SUMIFS($H$5:$H$800,$A$5:$A$800,"&gt;="&amp;DATE(YEAR($A526),MONTH($A526),1),$A$5:$A$800,"&lt;="&amp;$A526)+IF(AND(YEAR($A526)=YEAR(Settings!$B$3),MONTH($A526)=MONTH(Settings!$B$3)),Settings!$B$12,0))</f>
        <v/>
      </c>
      <c r="Q526" s="78">
        <f>IF($A526="","",SUMIFS($I$5:$I$800,$A$5:$A$800,"&gt;="&amp;DATE(YEAR($A526),MONTH($A526),1),$A$5:$A$800,"&lt;="&amp;$A526)+IF(AND(YEAR($A526)=YEAR(Settings!$B$3),MONTH($A526)=MONTH(Settings!$B$3)),Settings!$B$13,0))</f>
        <v/>
      </c>
      <c r="R526" s="77">
        <f>IF($A526="","",N526+P526)</f>
        <v/>
      </c>
      <c r="S526" s="78">
        <f>IF($A526="","",O526+Q526)</f>
        <v/>
      </c>
    </row>
    <row r="527">
      <c r="A527" s="67" t="n"/>
      <c r="B527" s="75" t="n"/>
      <c r="C527" s="76" t="n"/>
      <c r="D527" s="75" t="n"/>
      <c r="E527" s="76" t="n"/>
      <c r="F527" s="75" t="n"/>
      <c r="G527" s="76" t="n"/>
      <c r="H527" s="75" t="n"/>
      <c r="I527" s="76" t="n"/>
      <c r="J527" s="77">
        <f>IF($A527="","",B527+D527+F527)</f>
        <v/>
      </c>
      <c r="K527" s="78">
        <f>IF($A527="","",C527+E527+G527)</f>
        <v/>
      </c>
      <c r="L527" s="79">
        <f>IF($A527="","",J527+H527)</f>
        <v/>
      </c>
      <c r="M527" s="80">
        <f>IF($A527="","",K527+I527)</f>
        <v/>
      </c>
      <c r="N527" s="77">
        <f>IF($A527="","",SUMIFS($J$5:$J$800,$A$5:$A$800,"&gt;="&amp;DATE(YEAR($A527),MONTH($A527),1),$A$5:$A$800,"&lt;="&amp;$A527)+IF(AND(YEAR($A527)=YEAR(Settings!$B$3),MONTH($A527)=MONTH(Settings!$B$3)),Settings!$B$10,0))</f>
        <v/>
      </c>
      <c r="O527" s="78">
        <f>IF($A527="","",SUMIFS($K$5:$K$800,$A$5:$A$800,"&gt;="&amp;DATE(YEAR($A527),MONTH($A527),1),$A$5:$A$800,"&lt;="&amp;$A527)+IF(AND(YEAR($A527)=YEAR(Settings!$B$3),MONTH($A527)=MONTH(Settings!$B$3)),Settings!$B$11,0))</f>
        <v/>
      </c>
      <c r="P527" s="77">
        <f>IF($A527="","",SUMIFS($H$5:$H$800,$A$5:$A$800,"&gt;="&amp;DATE(YEAR($A527),MONTH($A527),1),$A$5:$A$800,"&lt;="&amp;$A527)+IF(AND(YEAR($A527)=YEAR(Settings!$B$3),MONTH($A527)=MONTH(Settings!$B$3)),Settings!$B$12,0))</f>
        <v/>
      </c>
      <c r="Q527" s="78">
        <f>IF($A527="","",SUMIFS($I$5:$I$800,$A$5:$A$800,"&gt;="&amp;DATE(YEAR($A527),MONTH($A527),1),$A$5:$A$800,"&lt;="&amp;$A527)+IF(AND(YEAR($A527)=YEAR(Settings!$B$3),MONTH($A527)=MONTH(Settings!$B$3)),Settings!$B$13,0))</f>
        <v/>
      </c>
      <c r="R527" s="77">
        <f>IF($A527="","",N527+P527)</f>
        <v/>
      </c>
      <c r="S527" s="78">
        <f>IF($A527="","",O527+Q527)</f>
        <v/>
      </c>
    </row>
    <row r="528">
      <c r="A528" s="67" t="n"/>
      <c r="B528" s="75" t="n"/>
      <c r="C528" s="76" t="n"/>
      <c r="D528" s="75" t="n"/>
      <c r="E528" s="76" t="n"/>
      <c r="F528" s="75" t="n"/>
      <c r="G528" s="76" t="n"/>
      <c r="H528" s="75" t="n"/>
      <c r="I528" s="76" t="n"/>
      <c r="J528" s="77">
        <f>IF($A528="","",B528+D528+F528)</f>
        <v/>
      </c>
      <c r="K528" s="78">
        <f>IF($A528="","",C528+E528+G528)</f>
        <v/>
      </c>
      <c r="L528" s="79">
        <f>IF($A528="","",J528+H528)</f>
        <v/>
      </c>
      <c r="M528" s="80">
        <f>IF($A528="","",K528+I528)</f>
        <v/>
      </c>
      <c r="N528" s="77">
        <f>IF($A528="","",SUMIFS($J$5:$J$800,$A$5:$A$800,"&gt;="&amp;DATE(YEAR($A528),MONTH($A528),1),$A$5:$A$800,"&lt;="&amp;$A528)+IF(AND(YEAR($A528)=YEAR(Settings!$B$3),MONTH($A528)=MONTH(Settings!$B$3)),Settings!$B$10,0))</f>
        <v/>
      </c>
      <c r="O528" s="78">
        <f>IF($A528="","",SUMIFS($K$5:$K$800,$A$5:$A$800,"&gt;="&amp;DATE(YEAR($A528),MONTH($A528),1),$A$5:$A$800,"&lt;="&amp;$A528)+IF(AND(YEAR($A528)=YEAR(Settings!$B$3),MONTH($A528)=MONTH(Settings!$B$3)),Settings!$B$11,0))</f>
        <v/>
      </c>
      <c r="P528" s="77">
        <f>IF($A528="","",SUMIFS($H$5:$H$800,$A$5:$A$800,"&gt;="&amp;DATE(YEAR($A528),MONTH($A528),1),$A$5:$A$800,"&lt;="&amp;$A528)+IF(AND(YEAR($A528)=YEAR(Settings!$B$3),MONTH($A528)=MONTH(Settings!$B$3)),Settings!$B$12,0))</f>
        <v/>
      </c>
      <c r="Q528" s="78">
        <f>IF($A528="","",SUMIFS($I$5:$I$800,$A$5:$A$800,"&gt;="&amp;DATE(YEAR($A528),MONTH($A528),1),$A$5:$A$800,"&lt;="&amp;$A528)+IF(AND(YEAR($A528)=YEAR(Settings!$B$3),MONTH($A528)=MONTH(Settings!$B$3)),Settings!$B$13,0))</f>
        <v/>
      </c>
      <c r="R528" s="77">
        <f>IF($A528="","",N528+P528)</f>
        <v/>
      </c>
      <c r="S528" s="78">
        <f>IF($A528="","",O528+Q528)</f>
        <v/>
      </c>
    </row>
    <row r="529">
      <c r="A529" s="67" t="n"/>
      <c r="B529" s="75" t="n"/>
      <c r="C529" s="76" t="n"/>
      <c r="D529" s="75" t="n"/>
      <c r="E529" s="76" t="n"/>
      <c r="F529" s="75" t="n"/>
      <c r="G529" s="76" t="n"/>
      <c r="H529" s="75" t="n"/>
      <c r="I529" s="76" t="n"/>
      <c r="J529" s="77">
        <f>IF($A529="","",B529+D529+F529)</f>
        <v/>
      </c>
      <c r="K529" s="78">
        <f>IF($A529="","",C529+E529+G529)</f>
        <v/>
      </c>
      <c r="L529" s="79">
        <f>IF($A529="","",J529+H529)</f>
        <v/>
      </c>
      <c r="M529" s="80">
        <f>IF($A529="","",K529+I529)</f>
        <v/>
      </c>
      <c r="N529" s="77">
        <f>IF($A529="","",SUMIFS($J$5:$J$800,$A$5:$A$800,"&gt;="&amp;DATE(YEAR($A529),MONTH($A529),1),$A$5:$A$800,"&lt;="&amp;$A529)+IF(AND(YEAR($A529)=YEAR(Settings!$B$3),MONTH($A529)=MONTH(Settings!$B$3)),Settings!$B$10,0))</f>
        <v/>
      </c>
      <c r="O529" s="78">
        <f>IF($A529="","",SUMIFS($K$5:$K$800,$A$5:$A$800,"&gt;="&amp;DATE(YEAR($A529),MONTH($A529),1),$A$5:$A$800,"&lt;="&amp;$A529)+IF(AND(YEAR($A529)=YEAR(Settings!$B$3),MONTH($A529)=MONTH(Settings!$B$3)),Settings!$B$11,0))</f>
        <v/>
      </c>
      <c r="P529" s="77">
        <f>IF($A529="","",SUMIFS($H$5:$H$800,$A$5:$A$800,"&gt;="&amp;DATE(YEAR($A529),MONTH($A529),1),$A$5:$A$800,"&lt;="&amp;$A529)+IF(AND(YEAR($A529)=YEAR(Settings!$B$3),MONTH($A529)=MONTH(Settings!$B$3)),Settings!$B$12,0))</f>
        <v/>
      </c>
      <c r="Q529" s="78">
        <f>IF($A529="","",SUMIFS($I$5:$I$800,$A$5:$A$800,"&gt;="&amp;DATE(YEAR($A529),MONTH($A529),1),$A$5:$A$800,"&lt;="&amp;$A529)+IF(AND(YEAR($A529)=YEAR(Settings!$B$3),MONTH($A529)=MONTH(Settings!$B$3)),Settings!$B$13,0))</f>
        <v/>
      </c>
      <c r="R529" s="77">
        <f>IF($A529="","",N529+P529)</f>
        <v/>
      </c>
      <c r="S529" s="78">
        <f>IF($A529="","",O529+Q529)</f>
        <v/>
      </c>
    </row>
    <row r="530">
      <c r="A530" s="67" t="n"/>
      <c r="B530" s="75" t="n"/>
      <c r="C530" s="76" t="n"/>
      <c r="D530" s="75" t="n"/>
      <c r="E530" s="76" t="n"/>
      <c r="F530" s="75" t="n"/>
      <c r="G530" s="76" t="n"/>
      <c r="H530" s="75" t="n"/>
      <c r="I530" s="76" t="n"/>
      <c r="J530" s="77">
        <f>IF($A530="","",B530+D530+F530)</f>
        <v/>
      </c>
      <c r="K530" s="78">
        <f>IF($A530="","",C530+E530+G530)</f>
        <v/>
      </c>
      <c r="L530" s="79">
        <f>IF($A530="","",J530+H530)</f>
        <v/>
      </c>
      <c r="M530" s="80">
        <f>IF($A530="","",K530+I530)</f>
        <v/>
      </c>
      <c r="N530" s="77">
        <f>IF($A530="","",SUMIFS($J$5:$J$800,$A$5:$A$800,"&gt;="&amp;DATE(YEAR($A530),MONTH($A530),1),$A$5:$A$800,"&lt;="&amp;$A530)+IF(AND(YEAR($A530)=YEAR(Settings!$B$3),MONTH($A530)=MONTH(Settings!$B$3)),Settings!$B$10,0))</f>
        <v/>
      </c>
      <c r="O530" s="78">
        <f>IF($A530="","",SUMIFS($K$5:$K$800,$A$5:$A$800,"&gt;="&amp;DATE(YEAR($A530),MONTH($A530),1),$A$5:$A$800,"&lt;="&amp;$A530)+IF(AND(YEAR($A530)=YEAR(Settings!$B$3),MONTH($A530)=MONTH(Settings!$B$3)),Settings!$B$11,0))</f>
        <v/>
      </c>
      <c r="P530" s="77">
        <f>IF($A530="","",SUMIFS($H$5:$H$800,$A$5:$A$800,"&gt;="&amp;DATE(YEAR($A530),MONTH($A530),1),$A$5:$A$800,"&lt;="&amp;$A530)+IF(AND(YEAR($A530)=YEAR(Settings!$B$3),MONTH($A530)=MONTH(Settings!$B$3)),Settings!$B$12,0))</f>
        <v/>
      </c>
      <c r="Q530" s="78">
        <f>IF($A530="","",SUMIFS($I$5:$I$800,$A$5:$A$800,"&gt;="&amp;DATE(YEAR($A530),MONTH($A530),1),$A$5:$A$800,"&lt;="&amp;$A530)+IF(AND(YEAR($A530)=YEAR(Settings!$B$3),MONTH($A530)=MONTH(Settings!$B$3)),Settings!$B$13,0))</f>
        <v/>
      </c>
      <c r="R530" s="77">
        <f>IF($A530="","",N530+P530)</f>
        <v/>
      </c>
      <c r="S530" s="78">
        <f>IF($A530="","",O530+Q530)</f>
        <v/>
      </c>
    </row>
    <row r="531">
      <c r="A531" s="67" t="n"/>
      <c r="B531" s="75" t="n"/>
      <c r="C531" s="76" t="n"/>
      <c r="D531" s="75" t="n"/>
      <c r="E531" s="76" t="n"/>
      <c r="F531" s="75" t="n"/>
      <c r="G531" s="76" t="n"/>
      <c r="H531" s="75" t="n"/>
      <c r="I531" s="76" t="n"/>
      <c r="J531" s="77">
        <f>IF($A531="","",B531+D531+F531)</f>
        <v/>
      </c>
      <c r="K531" s="78">
        <f>IF($A531="","",C531+E531+G531)</f>
        <v/>
      </c>
      <c r="L531" s="79">
        <f>IF($A531="","",J531+H531)</f>
        <v/>
      </c>
      <c r="M531" s="80">
        <f>IF($A531="","",K531+I531)</f>
        <v/>
      </c>
      <c r="N531" s="77">
        <f>IF($A531="","",SUMIFS($J$5:$J$800,$A$5:$A$800,"&gt;="&amp;DATE(YEAR($A531),MONTH($A531),1),$A$5:$A$800,"&lt;="&amp;$A531)+IF(AND(YEAR($A531)=YEAR(Settings!$B$3),MONTH($A531)=MONTH(Settings!$B$3)),Settings!$B$10,0))</f>
        <v/>
      </c>
      <c r="O531" s="78">
        <f>IF($A531="","",SUMIFS($K$5:$K$800,$A$5:$A$800,"&gt;="&amp;DATE(YEAR($A531),MONTH($A531),1),$A$5:$A$800,"&lt;="&amp;$A531)+IF(AND(YEAR($A531)=YEAR(Settings!$B$3),MONTH($A531)=MONTH(Settings!$B$3)),Settings!$B$11,0))</f>
        <v/>
      </c>
      <c r="P531" s="77">
        <f>IF($A531="","",SUMIFS($H$5:$H$800,$A$5:$A$800,"&gt;="&amp;DATE(YEAR($A531),MONTH($A531),1),$A$5:$A$800,"&lt;="&amp;$A531)+IF(AND(YEAR($A531)=YEAR(Settings!$B$3),MONTH($A531)=MONTH(Settings!$B$3)),Settings!$B$12,0))</f>
        <v/>
      </c>
      <c r="Q531" s="78">
        <f>IF($A531="","",SUMIFS($I$5:$I$800,$A$5:$A$800,"&gt;="&amp;DATE(YEAR($A531),MONTH($A531),1),$A$5:$A$800,"&lt;="&amp;$A531)+IF(AND(YEAR($A531)=YEAR(Settings!$B$3),MONTH($A531)=MONTH(Settings!$B$3)),Settings!$B$13,0))</f>
        <v/>
      </c>
      <c r="R531" s="77">
        <f>IF($A531="","",N531+P531)</f>
        <v/>
      </c>
      <c r="S531" s="78">
        <f>IF($A531="","",O531+Q531)</f>
        <v/>
      </c>
    </row>
    <row r="532">
      <c r="A532" s="67" t="n"/>
      <c r="B532" s="75" t="n"/>
      <c r="C532" s="76" t="n"/>
      <c r="D532" s="75" t="n"/>
      <c r="E532" s="76" t="n"/>
      <c r="F532" s="75" t="n"/>
      <c r="G532" s="76" t="n"/>
      <c r="H532" s="75" t="n"/>
      <c r="I532" s="76" t="n"/>
      <c r="J532" s="77">
        <f>IF($A532="","",B532+D532+F532)</f>
        <v/>
      </c>
      <c r="K532" s="78">
        <f>IF($A532="","",C532+E532+G532)</f>
        <v/>
      </c>
      <c r="L532" s="79">
        <f>IF($A532="","",J532+H532)</f>
        <v/>
      </c>
      <c r="M532" s="80">
        <f>IF($A532="","",K532+I532)</f>
        <v/>
      </c>
      <c r="N532" s="77">
        <f>IF($A532="","",SUMIFS($J$5:$J$800,$A$5:$A$800,"&gt;="&amp;DATE(YEAR($A532),MONTH($A532),1),$A$5:$A$800,"&lt;="&amp;$A532)+IF(AND(YEAR($A532)=YEAR(Settings!$B$3),MONTH($A532)=MONTH(Settings!$B$3)),Settings!$B$10,0))</f>
        <v/>
      </c>
      <c r="O532" s="78">
        <f>IF($A532="","",SUMIFS($K$5:$K$800,$A$5:$A$800,"&gt;="&amp;DATE(YEAR($A532),MONTH($A532),1),$A$5:$A$800,"&lt;="&amp;$A532)+IF(AND(YEAR($A532)=YEAR(Settings!$B$3),MONTH($A532)=MONTH(Settings!$B$3)),Settings!$B$11,0))</f>
        <v/>
      </c>
      <c r="P532" s="77">
        <f>IF($A532="","",SUMIFS($H$5:$H$800,$A$5:$A$800,"&gt;="&amp;DATE(YEAR($A532),MONTH($A532),1),$A$5:$A$800,"&lt;="&amp;$A532)+IF(AND(YEAR($A532)=YEAR(Settings!$B$3),MONTH($A532)=MONTH(Settings!$B$3)),Settings!$B$12,0))</f>
        <v/>
      </c>
      <c r="Q532" s="78">
        <f>IF($A532="","",SUMIFS($I$5:$I$800,$A$5:$A$800,"&gt;="&amp;DATE(YEAR($A532),MONTH($A532),1),$A$5:$A$800,"&lt;="&amp;$A532)+IF(AND(YEAR($A532)=YEAR(Settings!$B$3),MONTH($A532)=MONTH(Settings!$B$3)),Settings!$B$13,0))</f>
        <v/>
      </c>
      <c r="R532" s="77">
        <f>IF($A532="","",N532+P532)</f>
        <v/>
      </c>
      <c r="S532" s="78">
        <f>IF($A532="","",O532+Q532)</f>
        <v/>
      </c>
    </row>
    <row r="533">
      <c r="A533" s="67" t="n"/>
      <c r="B533" s="75" t="n"/>
      <c r="C533" s="76" t="n"/>
      <c r="D533" s="75" t="n"/>
      <c r="E533" s="76" t="n"/>
      <c r="F533" s="75" t="n"/>
      <c r="G533" s="76" t="n"/>
      <c r="H533" s="75" t="n"/>
      <c r="I533" s="76" t="n"/>
      <c r="J533" s="77">
        <f>IF($A533="","",B533+D533+F533)</f>
        <v/>
      </c>
      <c r="K533" s="78">
        <f>IF($A533="","",C533+E533+G533)</f>
        <v/>
      </c>
      <c r="L533" s="79">
        <f>IF($A533="","",J533+H533)</f>
        <v/>
      </c>
      <c r="M533" s="80">
        <f>IF($A533="","",K533+I533)</f>
        <v/>
      </c>
      <c r="N533" s="77">
        <f>IF($A533="","",SUMIFS($J$5:$J$800,$A$5:$A$800,"&gt;="&amp;DATE(YEAR($A533),MONTH($A533),1),$A$5:$A$800,"&lt;="&amp;$A533)+IF(AND(YEAR($A533)=YEAR(Settings!$B$3),MONTH($A533)=MONTH(Settings!$B$3)),Settings!$B$10,0))</f>
        <v/>
      </c>
      <c r="O533" s="78">
        <f>IF($A533="","",SUMIFS($K$5:$K$800,$A$5:$A$800,"&gt;="&amp;DATE(YEAR($A533),MONTH($A533),1),$A$5:$A$800,"&lt;="&amp;$A533)+IF(AND(YEAR($A533)=YEAR(Settings!$B$3),MONTH($A533)=MONTH(Settings!$B$3)),Settings!$B$11,0))</f>
        <v/>
      </c>
      <c r="P533" s="77">
        <f>IF($A533="","",SUMIFS($H$5:$H$800,$A$5:$A$800,"&gt;="&amp;DATE(YEAR($A533),MONTH($A533),1),$A$5:$A$800,"&lt;="&amp;$A533)+IF(AND(YEAR($A533)=YEAR(Settings!$B$3),MONTH($A533)=MONTH(Settings!$B$3)),Settings!$B$12,0))</f>
        <v/>
      </c>
      <c r="Q533" s="78">
        <f>IF($A533="","",SUMIFS($I$5:$I$800,$A$5:$A$800,"&gt;="&amp;DATE(YEAR($A533),MONTH($A533),1),$A$5:$A$800,"&lt;="&amp;$A533)+IF(AND(YEAR($A533)=YEAR(Settings!$B$3),MONTH($A533)=MONTH(Settings!$B$3)),Settings!$B$13,0))</f>
        <v/>
      </c>
      <c r="R533" s="77">
        <f>IF($A533="","",N533+P533)</f>
        <v/>
      </c>
      <c r="S533" s="78">
        <f>IF($A533="","",O533+Q533)</f>
        <v/>
      </c>
    </row>
    <row r="534">
      <c r="A534" s="67" t="n"/>
      <c r="B534" s="75" t="n"/>
      <c r="C534" s="76" t="n"/>
      <c r="D534" s="75" t="n"/>
      <c r="E534" s="76" t="n"/>
      <c r="F534" s="75" t="n"/>
      <c r="G534" s="76" t="n"/>
      <c r="H534" s="75" t="n"/>
      <c r="I534" s="76" t="n"/>
      <c r="J534" s="77">
        <f>IF($A534="","",B534+D534+F534)</f>
        <v/>
      </c>
      <c r="K534" s="78">
        <f>IF($A534="","",C534+E534+G534)</f>
        <v/>
      </c>
      <c r="L534" s="79">
        <f>IF($A534="","",J534+H534)</f>
        <v/>
      </c>
      <c r="M534" s="80">
        <f>IF($A534="","",K534+I534)</f>
        <v/>
      </c>
      <c r="N534" s="77">
        <f>IF($A534="","",SUMIFS($J$5:$J$800,$A$5:$A$800,"&gt;="&amp;DATE(YEAR($A534),MONTH($A534),1),$A$5:$A$800,"&lt;="&amp;$A534)+IF(AND(YEAR($A534)=YEAR(Settings!$B$3),MONTH($A534)=MONTH(Settings!$B$3)),Settings!$B$10,0))</f>
        <v/>
      </c>
      <c r="O534" s="78">
        <f>IF($A534="","",SUMIFS($K$5:$K$800,$A$5:$A$800,"&gt;="&amp;DATE(YEAR($A534),MONTH($A534),1),$A$5:$A$800,"&lt;="&amp;$A534)+IF(AND(YEAR($A534)=YEAR(Settings!$B$3),MONTH($A534)=MONTH(Settings!$B$3)),Settings!$B$11,0))</f>
        <v/>
      </c>
      <c r="P534" s="77">
        <f>IF($A534="","",SUMIFS($H$5:$H$800,$A$5:$A$800,"&gt;="&amp;DATE(YEAR($A534),MONTH($A534),1),$A$5:$A$800,"&lt;="&amp;$A534)+IF(AND(YEAR($A534)=YEAR(Settings!$B$3),MONTH($A534)=MONTH(Settings!$B$3)),Settings!$B$12,0))</f>
        <v/>
      </c>
      <c r="Q534" s="78">
        <f>IF($A534="","",SUMIFS($I$5:$I$800,$A$5:$A$800,"&gt;="&amp;DATE(YEAR($A534),MONTH($A534),1),$A$5:$A$800,"&lt;="&amp;$A534)+IF(AND(YEAR($A534)=YEAR(Settings!$B$3),MONTH($A534)=MONTH(Settings!$B$3)),Settings!$B$13,0))</f>
        <v/>
      </c>
      <c r="R534" s="77">
        <f>IF($A534="","",N534+P534)</f>
        <v/>
      </c>
      <c r="S534" s="78">
        <f>IF($A534="","",O534+Q534)</f>
        <v/>
      </c>
    </row>
    <row r="535">
      <c r="A535" s="67" t="n"/>
      <c r="B535" s="75" t="n"/>
      <c r="C535" s="76" t="n"/>
      <c r="D535" s="75" t="n"/>
      <c r="E535" s="76" t="n"/>
      <c r="F535" s="75" t="n"/>
      <c r="G535" s="76" t="n"/>
      <c r="H535" s="75" t="n"/>
      <c r="I535" s="76" t="n"/>
      <c r="J535" s="77">
        <f>IF($A535="","",B535+D535+F535)</f>
        <v/>
      </c>
      <c r="K535" s="78">
        <f>IF($A535="","",C535+E535+G535)</f>
        <v/>
      </c>
      <c r="L535" s="79">
        <f>IF($A535="","",J535+H535)</f>
        <v/>
      </c>
      <c r="M535" s="80">
        <f>IF($A535="","",K535+I535)</f>
        <v/>
      </c>
      <c r="N535" s="77">
        <f>IF($A535="","",SUMIFS($J$5:$J$800,$A$5:$A$800,"&gt;="&amp;DATE(YEAR($A535),MONTH($A535),1),$A$5:$A$800,"&lt;="&amp;$A535)+IF(AND(YEAR($A535)=YEAR(Settings!$B$3),MONTH($A535)=MONTH(Settings!$B$3)),Settings!$B$10,0))</f>
        <v/>
      </c>
      <c r="O535" s="78">
        <f>IF($A535="","",SUMIFS($K$5:$K$800,$A$5:$A$800,"&gt;="&amp;DATE(YEAR($A535),MONTH($A535),1),$A$5:$A$800,"&lt;="&amp;$A535)+IF(AND(YEAR($A535)=YEAR(Settings!$B$3),MONTH($A535)=MONTH(Settings!$B$3)),Settings!$B$11,0))</f>
        <v/>
      </c>
      <c r="P535" s="77">
        <f>IF($A535="","",SUMIFS($H$5:$H$800,$A$5:$A$800,"&gt;="&amp;DATE(YEAR($A535),MONTH($A535),1),$A$5:$A$800,"&lt;="&amp;$A535)+IF(AND(YEAR($A535)=YEAR(Settings!$B$3),MONTH($A535)=MONTH(Settings!$B$3)),Settings!$B$12,0))</f>
        <v/>
      </c>
      <c r="Q535" s="78">
        <f>IF($A535="","",SUMIFS($I$5:$I$800,$A$5:$A$800,"&gt;="&amp;DATE(YEAR($A535),MONTH($A535),1),$A$5:$A$800,"&lt;="&amp;$A535)+IF(AND(YEAR($A535)=YEAR(Settings!$B$3),MONTH($A535)=MONTH(Settings!$B$3)),Settings!$B$13,0))</f>
        <v/>
      </c>
      <c r="R535" s="77">
        <f>IF($A535="","",N535+P535)</f>
        <v/>
      </c>
      <c r="S535" s="78">
        <f>IF($A535="","",O535+Q535)</f>
        <v/>
      </c>
    </row>
    <row r="536">
      <c r="A536" s="67" t="n"/>
      <c r="B536" s="75" t="n"/>
      <c r="C536" s="76" t="n"/>
      <c r="D536" s="75" t="n"/>
      <c r="E536" s="76" t="n"/>
      <c r="F536" s="75" t="n"/>
      <c r="G536" s="76" t="n"/>
      <c r="H536" s="75" t="n"/>
      <c r="I536" s="76" t="n"/>
      <c r="J536" s="77">
        <f>IF($A536="","",B536+D536+F536)</f>
        <v/>
      </c>
      <c r="K536" s="78">
        <f>IF($A536="","",C536+E536+G536)</f>
        <v/>
      </c>
      <c r="L536" s="79">
        <f>IF($A536="","",J536+H536)</f>
        <v/>
      </c>
      <c r="M536" s="80">
        <f>IF($A536="","",K536+I536)</f>
        <v/>
      </c>
      <c r="N536" s="77">
        <f>IF($A536="","",SUMIFS($J$5:$J$800,$A$5:$A$800,"&gt;="&amp;DATE(YEAR($A536),MONTH($A536),1),$A$5:$A$800,"&lt;="&amp;$A536)+IF(AND(YEAR($A536)=YEAR(Settings!$B$3),MONTH($A536)=MONTH(Settings!$B$3)),Settings!$B$10,0))</f>
        <v/>
      </c>
      <c r="O536" s="78">
        <f>IF($A536="","",SUMIFS($K$5:$K$800,$A$5:$A$800,"&gt;="&amp;DATE(YEAR($A536),MONTH($A536),1),$A$5:$A$800,"&lt;="&amp;$A536)+IF(AND(YEAR($A536)=YEAR(Settings!$B$3),MONTH($A536)=MONTH(Settings!$B$3)),Settings!$B$11,0))</f>
        <v/>
      </c>
      <c r="P536" s="77">
        <f>IF($A536="","",SUMIFS($H$5:$H$800,$A$5:$A$800,"&gt;="&amp;DATE(YEAR($A536),MONTH($A536),1),$A$5:$A$800,"&lt;="&amp;$A536)+IF(AND(YEAR($A536)=YEAR(Settings!$B$3),MONTH($A536)=MONTH(Settings!$B$3)),Settings!$B$12,0))</f>
        <v/>
      </c>
      <c r="Q536" s="78">
        <f>IF($A536="","",SUMIFS($I$5:$I$800,$A$5:$A$800,"&gt;="&amp;DATE(YEAR($A536),MONTH($A536),1),$A$5:$A$800,"&lt;="&amp;$A536)+IF(AND(YEAR($A536)=YEAR(Settings!$B$3),MONTH($A536)=MONTH(Settings!$B$3)),Settings!$B$13,0))</f>
        <v/>
      </c>
      <c r="R536" s="77">
        <f>IF($A536="","",N536+P536)</f>
        <v/>
      </c>
      <c r="S536" s="78">
        <f>IF($A536="","",O536+Q536)</f>
        <v/>
      </c>
    </row>
    <row r="537">
      <c r="A537" s="67" t="n"/>
      <c r="B537" s="75" t="n"/>
      <c r="C537" s="76" t="n"/>
      <c r="D537" s="75" t="n"/>
      <c r="E537" s="76" t="n"/>
      <c r="F537" s="75" t="n"/>
      <c r="G537" s="76" t="n"/>
      <c r="H537" s="75" t="n"/>
      <c r="I537" s="76" t="n"/>
      <c r="J537" s="77">
        <f>IF($A537="","",B537+D537+F537)</f>
        <v/>
      </c>
      <c r="K537" s="78">
        <f>IF($A537="","",C537+E537+G537)</f>
        <v/>
      </c>
      <c r="L537" s="79">
        <f>IF($A537="","",J537+H537)</f>
        <v/>
      </c>
      <c r="M537" s="80">
        <f>IF($A537="","",K537+I537)</f>
        <v/>
      </c>
      <c r="N537" s="77">
        <f>IF($A537="","",SUMIFS($J$5:$J$800,$A$5:$A$800,"&gt;="&amp;DATE(YEAR($A537),MONTH($A537),1),$A$5:$A$800,"&lt;="&amp;$A537)+IF(AND(YEAR($A537)=YEAR(Settings!$B$3),MONTH($A537)=MONTH(Settings!$B$3)),Settings!$B$10,0))</f>
        <v/>
      </c>
      <c r="O537" s="78">
        <f>IF($A537="","",SUMIFS($K$5:$K$800,$A$5:$A$800,"&gt;="&amp;DATE(YEAR($A537),MONTH($A537),1),$A$5:$A$800,"&lt;="&amp;$A537)+IF(AND(YEAR($A537)=YEAR(Settings!$B$3),MONTH($A537)=MONTH(Settings!$B$3)),Settings!$B$11,0))</f>
        <v/>
      </c>
      <c r="P537" s="77">
        <f>IF($A537="","",SUMIFS($H$5:$H$800,$A$5:$A$800,"&gt;="&amp;DATE(YEAR($A537),MONTH($A537),1),$A$5:$A$800,"&lt;="&amp;$A537)+IF(AND(YEAR($A537)=YEAR(Settings!$B$3),MONTH($A537)=MONTH(Settings!$B$3)),Settings!$B$12,0))</f>
        <v/>
      </c>
      <c r="Q537" s="78">
        <f>IF($A537="","",SUMIFS($I$5:$I$800,$A$5:$A$800,"&gt;="&amp;DATE(YEAR($A537),MONTH($A537),1),$A$5:$A$800,"&lt;="&amp;$A537)+IF(AND(YEAR($A537)=YEAR(Settings!$B$3),MONTH($A537)=MONTH(Settings!$B$3)),Settings!$B$13,0))</f>
        <v/>
      </c>
      <c r="R537" s="77">
        <f>IF($A537="","",N537+P537)</f>
        <v/>
      </c>
      <c r="S537" s="78">
        <f>IF($A537="","",O537+Q537)</f>
        <v/>
      </c>
    </row>
    <row r="538">
      <c r="A538" s="67" t="n"/>
      <c r="B538" s="75" t="n"/>
      <c r="C538" s="76" t="n"/>
      <c r="D538" s="75" t="n"/>
      <c r="E538" s="76" t="n"/>
      <c r="F538" s="75" t="n"/>
      <c r="G538" s="76" t="n"/>
      <c r="H538" s="75" t="n"/>
      <c r="I538" s="76" t="n"/>
      <c r="J538" s="77">
        <f>IF($A538="","",B538+D538+F538)</f>
        <v/>
      </c>
      <c r="K538" s="78">
        <f>IF($A538="","",C538+E538+G538)</f>
        <v/>
      </c>
      <c r="L538" s="79">
        <f>IF($A538="","",J538+H538)</f>
        <v/>
      </c>
      <c r="M538" s="80">
        <f>IF($A538="","",K538+I538)</f>
        <v/>
      </c>
      <c r="N538" s="77">
        <f>IF($A538="","",SUMIFS($J$5:$J$800,$A$5:$A$800,"&gt;="&amp;DATE(YEAR($A538),MONTH($A538),1),$A$5:$A$800,"&lt;="&amp;$A538)+IF(AND(YEAR($A538)=YEAR(Settings!$B$3),MONTH($A538)=MONTH(Settings!$B$3)),Settings!$B$10,0))</f>
        <v/>
      </c>
      <c r="O538" s="78">
        <f>IF($A538="","",SUMIFS($K$5:$K$800,$A$5:$A$800,"&gt;="&amp;DATE(YEAR($A538),MONTH($A538),1),$A$5:$A$800,"&lt;="&amp;$A538)+IF(AND(YEAR($A538)=YEAR(Settings!$B$3),MONTH($A538)=MONTH(Settings!$B$3)),Settings!$B$11,0))</f>
        <v/>
      </c>
      <c r="P538" s="77">
        <f>IF($A538="","",SUMIFS($H$5:$H$800,$A$5:$A$800,"&gt;="&amp;DATE(YEAR($A538),MONTH($A538),1),$A$5:$A$800,"&lt;="&amp;$A538)+IF(AND(YEAR($A538)=YEAR(Settings!$B$3),MONTH($A538)=MONTH(Settings!$B$3)),Settings!$B$12,0))</f>
        <v/>
      </c>
      <c r="Q538" s="78">
        <f>IF($A538="","",SUMIFS($I$5:$I$800,$A$5:$A$800,"&gt;="&amp;DATE(YEAR($A538),MONTH($A538),1),$A$5:$A$800,"&lt;="&amp;$A538)+IF(AND(YEAR($A538)=YEAR(Settings!$B$3),MONTH($A538)=MONTH(Settings!$B$3)),Settings!$B$13,0))</f>
        <v/>
      </c>
      <c r="R538" s="77">
        <f>IF($A538="","",N538+P538)</f>
        <v/>
      </c>
      <c r="S538" s="78">
        <f>IF($A538="","",O538+Q538)</f>
        <v/>
      </c>
    </row>
    <row r="539">
      <c r="A539" s="67" t="n"/>
      <c r="B539" s="75" t="n"/>
      <c r="C539" s="76" t="n"/>
      <c r="D539" s="75" t="n"/>
      <c r="E539" s="76" t="n"/>
      <c r="F539" s="75" t="n"/>
      <c r="G539" s="76" t="n"/>
      <c r="H539" s="75" t="n"/>
      <c r="I539" s="76" t="n"/>
      <c r="J539" s="77">
        <f>IF($A539="","",B539+D539+F539)</f>
        <v/>
      </c>
      <c r="K539" s="78">
        <f>IF($A539="","",C539+E539+G539)</f>
        <v/>
      </c>
      <c r="L539" s="79">
        <f>IF($A539="","",J539+H539)</f>
        <v/>
      </c>
      <c r="M539" s="80">
        <f>IF($A539="","",K539+I539)</f>
        <v/>
      </c>
      <c r="N539" s="77">
        <f>IF($A539="","",SUMIFS($J$5:$J$800,$A$5:$A$800,"&gt;="&amp;DATE(YEAR($A539),MONTH($A539),1),$A$5:$A$800,"&lt;="&amp;$A539)+IF(AND(YEAR($A539)=YEAR(Settings!$B$3),MONTH($A539)=MONTH(Settings!$B$3)),Settings!$B$10,0))</f>
        <v/>
      </c>
      <c r="O539" s="78">
        <f>IF($A539="","",SUMIFS($K$5:$K$800,$A$5:$A$800,"&gt;="&amp;DATE(YEAR($A539),MONTH($A539),1),$A$5:$A$800,"&lt;="&amp;$A539)+IF(AND(YEAR($A539)=YEAR(Settings!$B$3),MONTH($A539)=MONTH(Settings!$B$3)),Settings!$B$11,0))</f>
        <v/>
      </c>
      <c r="P539" s="77">
        <f>IF($A539="","",SUMIFS($H$5:$H$800,$A$5:$A$800,"&gt;="&amp;DATE(YEAR($A539),MONTH($A539),1),$A$5:$A$800,"&lt;="&amp;$A539)+IF(AND(YEAR($A539)=YEAR(Settings!$B$3),MONTH($A539)=MONTH(Settings!$B$3)),Settings!$B$12,0))</f>
        <v/>
      </c>
      <c r="Q539" s="78">
        <f>IF($A539="","",SUMIFS($I$5:$I$800,$A$5:$A$800,"&gt;="&amp;DATE(YEAR($A539),MONTH($A539),1),$A$5:$A$800,"&lt;="&amp;$A539)+IF(AND(YEAR($A539)=YEAR(Settings!$B$3),MONTH($A539)=MONTH(Settings!$B$3)),Settings!$B$13,0))</f>
        <v/>
      </c>
      <c r="R539" s="77">
        <f>IF($A539="","",N539+P539)</f>
        <v/>
      </c>
      <c r="S539" s="78">
        <f>IF($A539="","",O539+Q539)</f>
        <v/>
      </c>
    </row>
    <row r="540">
      <c r="A540" s="67" t="n"/>
      <c r="B540" s="75" t="n"/>
      <c r="C540" s="76" t="n"/>
      <c r="D540" s="75" t="n"/>
      <c r="E540" s="76" t="n"/>
      <c r="F540" s="75" t="n"/>
      <c r="G540" s="76" t="n"/>
      <c r="H540" s="75" t="n"/>
      <c r="I540" s="76" t="n"/>
      <c r="J540" s="77">
        <f>IF($A540="","",B540+D540+F540)</f>
        <v/>
      </c>
      <c r="K540" s="78">
        <f>IF($A540="","",C540+E540+G540)</f>
        <v/>
      </c>
      <c r="L540" s="79">
        <f>IF($A540="","",J540+H540)</f>
        <v/>
      </c>
      <c r="M540" s="80">
        <f>IF($A540="","",K540+I540)</f>
        <v/>
      </c>
      <c r="N540" s="77">
        <f>IF($A540="","",SUMIFS($J$5:$J$800,$A$5:$A$800,"&gt;="&amp;DATE(YEAR($A540),MONTH($A540),1),$A$5:$A$800,"&lt;="&amp;$A540)+IF(AND(YEAR($A540)=YEAR(Settings!$B$3),MONTH($A540)=MONTH(Settings!$B$3)),Settings!$B$10,0))</f>
        <v/>
      </c>
      <c r="O540" s="78">
        <f>IF($A540="","",SUMIFS($K$5:$K$800,$A$5:$A$800,"&gt;="&amp;DATE(YEAR($A540),MONTH($A540),1),$A$5:$A$800,"&lt;="&amp;$A540)+IF(AND(YEAR($A540)=YEAR(Settings!$B$3),MONTH($A540)=MONTH(Settings!$B$3)),Settings!$B$11,0))</f>
        <v/>
      </c>
      <c r="P540" s="77">
        <f>IF($A540="","",SUMIFS($H$5:$H$800,$A$5:$A$800,"&gt;="&amp;DATE(YEAR($A540),MONTH($A540),1),$A$5:$A$800,"&lt;="&amp;$A540)+IF(AND(YEAR($A540)=YEAR(Settings!$B$3),MONTH($A540)=MONTH(Settings!$B$3)),Settings!$B$12,0))</f>
        <v/>
      </c>
      <c r="Q540" s="78">
        <f>IF($A540="","",SUMIFS($I$5:$I$800,$A$5:$A$800,"&gt;="&amp;DATE(YEAR($A540),MONTH($A540),1),$A$5:$A$800,"&lt;="&amp;$A540)+IF(AND(YEAR($A540)=YEAR(Settings!$B$3),MONTH($A540)=MONTH(Settings!$B$3)),Settings!$B$13,0))</f>
        <v/>
      </c>
      <c r="R540" s="77">
        <f>IF($A540="","",N540+P540)</f>
        <v/>
      </c>
      <c r="S540" s="78">
        <f>IF($A540="","",O540+Q540)</f>
        <v/>
      </c>
    </row>
    <row r="541">
      <c r="A541" s="67" t="n"/>
      <c r="B541" s="75" t="n"/>
      <c r="C541" s="76" t="n"/>
      <c r="D541" s="75" t="n"/>
      <c r="E541" s="76" t="n"/>
      <c r="F541" s="75" t="n"/>
      <c r="G541" s="76" t="n"/>
      <c r="H541" s="75" t="n"/>
      <c r="I541" s="76" t="n"/>
      <c r="J541" s="77">
        <f>IF($A541="","",B541+D541+F541)</f>
        <v/>
      </c>
      <c r="K541" s="78">
        <f>IF($A541="","",C541+E541+G541)</f>
        <v/>
      </c>
      <c r="L541" s="79">
        <f>IF($A541="","",J541+H541)</f>
        <v/>
      </c>
      <c r="M541" s="80">
        <f>IF($A541="","",K541+I541)</f>
        <v/>
      </c>
      <c r="N541" s="77">
        <f>IF($A541="","",SUMIFS($J$5:$J$800,$A$5:$A$800,"&gt;="&amp;DATE(YEAR($A541),MONTH($A541),1),$A$5:$A$800,"&lt;="&amp;$A541)+IF(AND(YEAR($A541)=YEAR(Settings!$B$3),MONTH($A541)=MONTH(Settings!$B$3)),Settings!$B$10,0))</f>
        <v/>
      </c>
      <c r="O541" s="78">
        <f>IF($A541="","",SUMIFS($K$5:$K$800,$A$5:$A$800,"&gt;="&amp;DATE(YEAR($A541),MONTH($A541),1),$A$5:$A$800,"&lt;="&amp;$A541)+IF(AND(YEAR($A541)=YEAR(Settings!$B$3),MONTH($A541)=MONTH(Settings!$B$3)),Settings!$B$11,0))</f>
        <v/>
      </c>
      <c r="P541" s="77">
        <f>IF($A541="","",SUMIFS($H$5:$H$800,$A$5:$A$800,"&gt;="&amp;DATE(YEAR($A541),MONTH($A541),1),$A$5:$A$800,"&lt;="&amp;$A541)+IF(AND(YEAR($A541)=YEAR(Settings!$B$3),MONTH($A541)=MONTH(Settings!$B$3)),Settings!$B$12,0))</f>
        <v/>
      </c>
      <c r="Q541" s="78">
        <f>IF($A541="","",SUMIFS($I$5:$I$800,$A$5:$A$800,"&gt;="&amp;DATE(YEAR($A541),MONTH($A541),1),$A$5:$A$800,"&lt;="&amp;$A541)+IF(AND(YEAR($A541)=YEAR(Settings!$B$3),MONTH($A541)=MONTH(Settings!$B$3)),Settings!$B$13,0))</f>
        <v/>
      </c>
      <c r="R541" s="77">
        <f>IF($A541="","",N541+P541)</f>
        <v/>
      </c>
      <c r="S541" s="78">
        <f>IF($A541="","",O541+Q541)</f>
        <v/>
      </c>
    </row>
    <row r="542">
      <c r="A542" s="67" t="n"/>
      <c r="B542" s="75" t="n"/>
      <c r="C542" s="76" t="n"/>
      <c r="D542" s="75" t="n"/>
      <c r="E542" s="76" t="n"/>
      <c r="F542" s="75" t="n"/>
      <c r="G542" s="76" t="n"/>
      <c r="H542" s="75" t="n"/>
      <c r="I542" s="76" t="n"/>
      <c r="J542" s="77">
        <f>IF($A542="","",B542+D542+F542)</f>
        <v/>
      </c>
      <c r="K542" s="78">
        <f>IF($A542="","",C542+E542+G542)</f>
        <v/>
      </c>
      <c r="L542" s="79">
        <f>IF($A542="","",J542+H542)</f>
        <v/>
      </c>
      <c r="M542" s="80">
        <f>IF($A542="","",K542+I542)</f>
        <v/>
      </c>
      <c r="N542" s="77">
        <f>IF($A542="","",SUMIFS($J$5:$J$800,$A$5:$A$800,"&gt;="&amp;DATE(YEAR($A542),MONTH($A542),1),$A$5:$A$800,"&lt;="&amp;$A542)+IF(AND(YEAR($A542)=YEAR(Settings!$B$3),MONTH($A542)=MONTH(Settings!$B$3)),Settings!$B$10,0))</f>
        <v/>
      </c>
      <c r="O542" s="78">
        <f>IF($A542="","",SUMIFS($K$5:$K$800,$A$5:$A$800,"&gt;="&amp;DATE(YEAR($A542),MONTH($A542),1),$A$5:$A$800,"&lt;="&amp;$A542)+IF(AND(YEAR($A542)=YEAR(Settings!$B$3),MONTH($A542)=MONTH(Settings!$B$3)),Settings!$B$11,0))</f>
        <v/>
      </c>
      <c r="P542" s="77">
        <f>IF($A542="","",SUMIFS($H$5:$H$800,$A$5:$A$800,"&gt;="&amp;DATE(YEAR($A542),MONTH($A542),1),$A$5:$A$800,"&lt;="&amp;$A542)+IF(AND(YEAR($A542)=YEAR(Settings!$B$3),MONTH($A542)=MONTH(Settings!$B$3)),Settings!$B$12,0))</f>
        <v/>
      </c>
      <c r="Q542" s="78">
        <f>IF($A542="","",SUMIFS($I$5:$I$800,$A$5:$A$800,"&gt;="&amp;DATE(YEAR($A542),MONTH($A542),1),$A$5:$A$800,"&lt;="&amp;$A542)+IF(AND(YEAR($A542)=YEAR(Settings!$B$3),MONTH($A542)=MONTH(Settings!$B$3)),Settings!$B$13,0))</f>
        <v/>
      </c>
      <c r="R542" s="77">
        <f>IF($A542="","",N542+P542)</f>
        <v/>
      </c>
      <c r="S542" s="78">
        <f>IF($A542="","",O542+Q542)</f>
        <v/>
      </c>
    </row>
    <row r="543">
      <c r="A543" s="67" t="n"/>
      <c r="B543" s="75" t="n"/>
      <c r="C543" s="76" t="n"/>
      <c r="D543" s="75" t="n"/>
      <c r="E543" s="76" t="n"/>
      <c r="F543" s="75" t="n"/>
      <c r="G543" s="76" t="n"/>
      <c r="H543" s="75" t="n"/>
      <c r="I543" s="76" t="n"/>
      <c r="J543" s="77">
        <f>IF($A543="","",B543+D543+F543)</f>
        <v/>
      </c>
      <c r="K543" s="78">
        <f>IF($A543="","",C543+E543+G543)</f>
        <v/>
      </c>
      <c r="L543" s="79">
        <f>IF($A543="","",J543+H543)</f>
        <v/>
      </c>
      <c r="M543" s="80">
        <f>IF($A543="","",K543+I543)</f>
        <v/>
      </c>
      <c r="N543" s="77">
        <f>IF($A543="","",SUMIFS($J$5:$J$800,$A$5:$A$800,"&gt;="&amp;DATE(YEAR($A543),MONTH($A543),1),$A$5:$A$800,"&lt;="&amp;$A543)+IF(AND(YEAR($A543)=YEAR(Settings!$B$3),MONTH($A543)=MONTH(Settings!$B$3)),Settings!$B$10,0))</f>
        <v/>
      </c>
      <c r="O543" s="78">
        <f>IF($A543="","",SUMIFS($K$5:$K$800,$A$5:$A$800,"&gt;="&amp;DATE(YEAR($A543),MONTH($A543),1),$A$5:$A$800,"&lt;="&amp;$A543)+IF(AND(YEAR($A543)=YEAR(Settings!$B$3),MONTH($A543)=MONTH(Settings!$B$3)),Settings!$B$11,0))</f>
        <v/>
      </c>
      <c r="P543" s="77">
        <f>IF($A543="","",SUMIFS($H$5:$H$800,$A$5:$A$800,"&gt;="&amp;DATE(YEAR($A543),MONTH($A543),1),$A$5:$A$800,"&lt;="&amp;$A543)+IF(AND(YEAR($A543)=YEAR(Settings!$B$3),MONTH($A543)=MONTH(Settings!$B$3)),Settings!$B$12,0))</f>
        <v/>
      </c>
      <c r="Q543" s="78">
        <f>IF($A543="","",SUMIFS($I$5:$I$800,$A$5:$A$800,"&gt;="&amp;DATE(YEAR($A543),MONTH($A543),1),$A$5:$A$800,"&lt;="&amp;$A543)+IF(AND(YEAR($A543)=YEAR(Settings!$B$3),MONTH($A543)=MONTH(Settings!$B$3)),Settings!$B$13,0))</f>
        <v/>
      </c>
      <c r="R543" s="77">
        <f>IF($A543="","",N543+P543)</f>
        <v/>
      </c>
      <c r="S543" s="78">
        <f>IF($A543="","",O543+Q543)</f>
        <v/>
      </c>
    </row>
    <row r="544">
      <c r="A544" s="67" t="n"/>
      <c r="B544" s="75" t="n"/>
      <c r="C544" s="76" t="n"/>
      <c r="D544" s="75" t="n"/>
      <c r="E544" s="76" t="n"/>
      <c r="F544" s="75" t="n"/>
      <c r="G544" s="76" t="n"/>
      <c r="H544" s="75" t="n"/>
      <c r="I544" s="76" t="n"/>
      <c r="J544" s="77">
        <f>IF($A544="","",B544+D544+F544)</f>
        <v/>
      </c>
      <c r="K544" s="78">
        <f>IF($A544="","",C544+E544+G544)</f>
        <v/>
      </c>
      <c r="L544" s="79">
        <f>IF($A544="","",J544+H544)</f>
        <v/>
      </c>
      <c r="M544" s="80">
        <f>IF($A544="","",K544+I544)</f>
        <v/>
      </c>
      <c r="N544" s="77">
        <f>IF($A544="","",SUMIFS($J$5:$J$800,$A$5:$A$800,"&gt;="&amp;DATE(YEAR($A544),MONTH($A544),1),$A$5:$A$800,"&lt;="&amp;$A544)+IF(AND(YEAR($A544)=YEAR(Settings!$B$3),MONTH($A544)=MONTH(Settings!$B$3)),Settings!$B$10,0))</f>
        <v/>
      </c>
      <c r="O544" s="78">
        <f>IF($A544="","",SUMIFS($K$5:$K$800,$A$5:$A$800,"&gt;="&amp;DATE(YEAR($A544),MONTH($A544),1),$A$5:$A$800,"&lt;="&amp;$A544)+IF(AND(YEAR($A544)=YEAR(Settings!$B$3),MONTH($A544)=MONTH(Settings!$B$3)),Settings!$B$11,0))</f>
        <v/>
      </c>
      <c r="P544" s="77">
        <f>IF($A544="","",SUMIFS($H$5:$H$800,$A$5:$A$800,"&gt;="&amp;DATE(YEAR($A544),MONTH($A544),1),$A$5:$A$800,"&lt;="&amp;$A544)+IF(AND(YEAR($A544)=YEAR(Settings!$B$3),MONTH($A544)=MONTH(Settings!$B$3)),Settings!$B$12,0))</f>
        <v/>
      </c>
      <c r="Q544" s="78">
        <f>IF($A544="","",SUMIFS($I$5:$I$800,$A$5:$A$800,"&gt;="&amp;DATE(YEAR($A544),MONTH($A544),1),$A$5:$A$800,"&lt;="&amp;$A544)+IF(AND(YEAR($A544)=YEAR(Settings!$B$3),MONTH($A544)=MONTH(Settings!$B$3)),Settings!$B$13,0))</f>
        <v/>
      </c>
      <c r="R544" s="77">
        <f>IF($A544="","",N544+P544)</f>
        <v/>
      </c>
      <c r="S544" s="78">
        <f>IF($A544="","",O544+Q544)</f>
        <v/>
      </c>
    </row>
    <row r="545">
      <c r="A545" s="67" t="n"/>
      <c r="B545" s="75" t="n"/>
      <c r="C545" s="76" t="n"/>
      <c r="D545" s="75" t="n"/>
      <c r="E545" s="76" t="n"/>
      <c r="F545" s="75" t="n"/>
      <c r="G545" s="76" t="n"/>
      <c r="H545" s="75" t="n"/>
      <c r="I545" s="76" t="n"/>
      <c r="J545" s="77">
        <f>IF($A545="","",B545+D545+F545)</f>
        <v/>
      </c>
      <c r="K545" s="78">
        <f>IF($A545="","",C545+E545+G545)</f>
        <v/>
      </c>
      <c r="L545" s="79">
        <f>IF($A545="","",J545+H545)</f>
        <v/>
      </c>
      <c r="M545" s="80">
        <f>IF($A545="","",K545+I545)</f>
        <v/>
      </c>
      <c r="N545" s="77">
        <f>IF($A545="","",SUMIFS($J$5:$J$800,$A$5:$A$800,"&gt;="&amp;DATE(YEAR($A545),MONTH($A545),1),$A$5:$A$800,"&lt;="&amp;$A545)+IF(AND(YEAR($A545)=YEAR(Settings!$B$3),MONTH($A545)=MONTH(Settings!$B$3)),Settings!$B$10,0))</f>
        <v/>
      </c>
      <c r="O545" s="78">
        <f>IF($A545="","",SUMIFS($K$5:$K$800,$A$5:$A$800,"&gt;="&amp;DATE(YEAR($A545),MONTH($A545),1),$A$5:$A$800,"&lt;="&amp;$A545)+IF(AND(YEAR($A545)=YEAR(Settings!$B$3),MONTH($A545)=MONTH(Settings!$B$3)),Settings!$B$11,0))</f>
        <v/>
      </c>
      <c r="P545" s="77">
        <f>IF($A545="","",SUMIFS($H$5:$H$800,$A$5:$A$800,"&gt;="&amp;DATE(YEAR($A545),MONTH($A545),1),$A$5:$A$800,"&lt;="&amp;$A545)+IF(AND(YEAR($A545)=YEAR(Settings!$B$3),MONTH($A545)=MONTH(Settings!$B$3)),Settings!$B$12,0))</f>
        <v/>
      </c>
      <c r="Q545" s="78">
        <f>IF($A545="","",SUMIFS($I$5:$I$800,$A$5:$A$800,"&gt;="&amp;DATE(YEAR($A545),MONTH($A545),1),$A$5:$A$800,"&lt;="&amp;$A545)+IF(AND(YEAR($A545)=YEAR(Settings!$B$3),MONTH($A545)=MONTH(Settings!$B$3)),Settings!$B$13,0))</f>
        <v/>
      </c>
      <c r="R545" s="77">
        <f>IF($A545="","",N545+P545)</f>
        <v/>
      </c>
      <c r="S545" s="78">
        <f>IF($A545="","",O545+Q545)</f>
        <v/>
      </c>
    </row>
    <row r="546">
      <c r="A546" s="67" t="n"/>
      <c r="B546" s="75" t="n"/>
      <c r="C546" s="76" t="n"/>
      <c r="D546" s="75" t="n"/>
      <c r="E546" s="76" t="n"/>
      <c r="F546" s="75" t="n"/>
      <c r="G546" s="76" t="n"/>
      <c r="H546" s="75" t="n"/>
      <c r="I546" s="76" t="n"/>
      <c r="J546" s="77">
        <f>IF($A546="","",B546+D546+F546)</f>
        <v/>
      </c>
      <c r="K546" s="78">
        <f>IF($A546="","",C546+E546+G546)</f>
        <v/>
      </c>
      <c r="L546" s="79">
        <f>IF($A546="","",J546+H546)</f>
        <v/>
      </c>
      <c r="M546" s="80">
        <f>IF($A546="","",K546+I546)</f>
        <v/>
      </c>
      <c r="N546" s="77">
        <f>IF($A546="","",SUMIFS($J$5:$J$800,$A$5:$A$800,"&gt;="&amp;DATE(YEAR($A546),MONTH($A546),1),$A$5:$A$800,"&lt;="&amp;$A546)+IF(AND(YEAR($A546)=YEAR(Settings!$B$3),MONTH($A546)=MONTH(Settings!$B$3)),Settings!$B$10,0))</f>
        <v/>
      </c>
      <c r="O546" s="78">
        <f>IF($A546="","",SUMIFS($K$5:$K$800,$A$5:$A$800,"&gt;="&amp;DATE(YEAR($A546),MONTH($A546),1),$A$5:$A$800,"&lt;="&amp;$A546)+IF(AND(YEAR($A546)=YEAR(Settings!$B$3),MONTH($A546)=MONTH(Settings!$B$3)),Settings!$B$11,0))</f>
        <v/>
      </c>
      <c r="P546" s="77">
        <f>IF($A546="","",SUMIFS($H$5:$H$800,$A$5:$A$800,"&gt;="&amp;DATE(YEAR($A546),MONTH($A546),1),$A$5:$A$800,"&lt;="&amp;$A546)+IF(AND(YEAR($A546)=YEAR(Settings!$B$3),MONTH($A546)=MONTH(Settings!$B$3)),Settings!$B$12,0))</f>
        <v/>
      </c>
      <c r="Q546" s="78">
        <f>IF($A546="","",SUMIFS($I$5:$I$800,$A$5:$A$800,"&gt;="&amp;DATE(YEAR($A546),MONTH($A546),1),$A$5:$A$800,"&lt;="&amp;$A546)+IF(AND(YEAR($A546)=YEAR(Settings!$B$3),MONTH($A546)=MONTH(Settings!$B$3)),Settings!$B$13,0))</f>
        <v/>
      </c>
      <c r="R546" s="77">
        <f>IF($A546="","",N546+P546)</f>
        <v/>
      </c>
      <c r="S546" s="78">
        <f>IF($A546="","",O546+Q546)</f>
        <v/>
      </c>
    </row>
    <row r="547">
      <c r="A547" s="67" t="n"/>
      <c r="B547" s="75" t="n"/>
      <c r="C547" s="76" t="n"/>
      <c r="D547" s="75" t="n"/>
      <c r="E547" s="76" t="n"/>
      <c r="F547" s="75" t="n"/>
      <c r="G547" s="76" t="n"/>
      <c r="H547" s="75" t="n"/>
      <c r="I547" s="76" t="n"/>
      <c r="J547" s="77">
        <f>IF($A547="","",B547+D547+F547)</f>
        <v/>
      </c>
      <c r="K547" s="78">
        <f>IF($A547="","",C547+E547+G547)</f>
        <v/>
      </c>
      <c r="L547" s="79">
        <f>IF($A547="","",J547+H547)</f>
        <v/>
      </c>
      <c r="M547" s="80">
        <f>IF($A547="","",K547+I547)</f>
        <v/>
      </c>
      <c r="N547" s="77">
        <f>IF($A547="","",SUMIFS($J$5:$J$800,$A$5:$A$800,"&gt;="&amp;DATE(YEAR($A547),MONTH($A547),1),$A$5:$A$800,"&lt;="&amp;$A547)+IF(AND(YEAR($A547)=YEAR(Settings!$B$3),MONTH($A547)=MONTH(Settings!$B$3)),Settings!$B$10,0))</f>
        <v/>
      </c>
      <c r="O547" s="78">
        <f>IF($A547="","",SUMIFS($K$5:$K$800,$A$5:$A$800,"&gt;="&amp;DATE(YEAR($A547),MONTH($A547),1),$A$5:$A$800,"&lt;="&amp;$A547)+IF(AND(YEAR($A547)=YEAR(Settings!$B$3),MONTH($A547)=MONTH(Settings!$B$3)),Settings!$B$11,0))</f>
        <v/>
      </c>
      <c r="P547" s="77">
        <f>IF($A547="","",SUMIFS($H$5:$H$800,$A$5:$A$800,"&gt;="&amp;DATE(YEAR($A547),MONTH($A547),1),$A$5:$A$800,"&lt;="&amp;$A547)+IF(AND(YEAR($A547)=YEAR(Settings!$B$3),MONTH($A547)=MONTH(Settings!$B$3)),Settings!$B$12,0))</f>
        <v/>
      </c>
      <c r="Q547" s="78">
        <f>IF($A547="","",SUMIFS($I$5:$I$800,$A$5:$A$800,"&gt;="&amp;DATE(YEAR($A547),MONTH($A547),1),$A$5:$A$800,"&lt;="&amp;$A547)+IF(AND(YEAR($A547)=YEAR(Settings!$B$3),MONTH($A547)=MONTH(Settings!$B$3)),Settings!$B$13,0))</f>
        <v/>
      </c>
      <c r="R547" s="77">
        <f>IF($A547="","",N547+P547)</f>
        <v/>
      </c>
      <c r="S547" s="78">
        <f>IF($A547="","",O547+Q547)</f>
        <v/>
      </c>
    </row>
    <row r="548">
      <c r="A548" s="67" t="n"/>
      <c r="B548" s="75" t="n"/>
      <c r="C548" s="76" t="n"/>
      <c r="D548" s="75" t="n"/>
      <c r="E548" s="76" t="n"/>
      <c r="F548" s="75" t="n"/>
      <c r="G548" s="76" t="n"/>
      <c r="H548" s="75" t="n"/>
      <c r="I548" s="76" t="n"/>
      <c r="J548" s="77">
        <f>IF($A548="","",B548+D548+F548)</f>
        <v/>
      </c>
      <c r="K548" s="78">
        <f>IF($A548="","",C548+E548+G548)</f>
        <v/>
      </c>
      <c r="L548" s="79">
        <f>IF($A548="","",J548+H548)</f>
        <v/>
      </c>
      <c r="M548" s="80">
        <f>IF($A548="","",K548+I548)</f>
        <v/>
      </c>
      <c r="N548" s="77">
        <f>IF($A548="","",SUMIFS($J$5:$J$800,$A$5:$A$800,"&gt;="&amp;DATE(YEAR($A548),MONTH($A548),1),$A$5:$A$800,"&lt;="&amp;$A548)+IF(AND(YEAR($A548)=YEAR(Settings!$B$3),MONTH($A548)=MONTH(Settings!$B$3)),Settings!$B$10,0))</f>
        <v/>
      </c>
      <c r="O548" s="78">
        <f>IF($A548="","",SUMIFS($K$5:$K$800,$A$5:$A$800,"&gt;="&amp;DATE(YEAR($A548),MONTH($A548),1),$A$5:$A$800,"&lt;="&amp;$A548)+IF(AND(YEAR($A548)=YEAR(Settings!$B$3),MONTH($A548)=MONTH(Settings!$B$3)),Settings!$B$11,0))</f>
        <v/>
      </c>
      <c r="P548" s="77">
        <f>IF($A548="","",SUMIFS($H$5:$H$800,$A$5:$A$800,"&gt;="&amp;DATE(YEAR($A548),MONTH($A548),1),$A$5:$A$800,"&lt;="&amp;$A548)+IF(AND(YEAR($A548)=YEAR(Settings!$B$3),MONTH($A548)=MONTH(Settings!$B$3)),Settings!$B$12,0))</f>
        <v/>
      </c>
      <c r="Q548" s="78">
        <f>IF($A548="","",SUMIFS($I$5:$I$800,$A$5:$A$800,"&gt;="&amp;DATE(YEAR($A548),MONTH($A548),1),$A$5:$A$800,"&lt;="&amp;$A548)+IF(AND(YEAR($A548)=YEAR(Settings!$B$3),MONTH($A548)=MONTH(Settings!$B$3)),Settings!$B$13,0))</f>
        <v/>
      </c>
      <c r="R548" s="77">
        <f>IF($A548="","",N548+P548)</f>
        <v/>
      </c>
      <c r="S548" s="78">
        <f>IF($A548="","",O548+Q548)</f>
        <v/>
      </c>
    </row>
    <row r="549">
      <c r="A549" s="67" t="n"/>
      <c r="B549" s="75" t="n"/>
      <c r="C549" s="76" t="n"/>
      <c r="D549" s="75" t="n"/>
      <c r="E549" s="76" t="n"/>
      <c r="F549" s="75" t="n"/>
      <c r="G549" s="76" t="n"/>
      <c r="H549" s="75" t="n"/>
      <c r="I549" s="76" t="n"/>
      <c r="J549" s="77">
        <f>IF($A549="","",B549+D549+F549)</f>
        <v/>
      </c>
      <c r="K549" s="78">
        <f>IF($A549="","",C549+E549+G549)</f>
        <v/>
      </c>
      <c r="L549" s="79">
        <f>IF($A549="","",J549+H549)</f>
        <v/>
      </c>
      <c r="M549" s="80">
        <f>IF($A549="","",K549+I549)</f>
        <v/>
      </c>
      <c r="N549" s="77">
        <f>IF($A549="","",SUMIFS($J$5:$J$800,$A$5:$A$800,"&gt;="&amp;DATE(YEAR($A549),MONTH($A549),1),$A$5:$A$800,"&lt;="&amp;$A549)+IF(AND(YEAR($A549)=YEAR(Settings!$B$3),MONTH($A549)=MONTH(Settings!$B$3)),Settings!$B$10,0))</f>
        <v/>
      </c>
      <c r="O549" s="78">
        <f>IF($A549="","",SUMIFS($K$5:$K$800,$A$5:$A$800,"&gt;="&amp;DATE(YEAR($A549),MONTH($A549),1),$A$5:$A$800,"&lt;="&amp;$A549)+IF(AND(YEAR($A549)=YEAR(Settings!$B$3),MONTH($A549)=MONTH(Settings!$B$3)),Settings!$B$11,0))</f>
        <v/>
      </c>
      <c r="P549" s="77">
        <f>IF($A549="","",SUMIFS($H$5:$H$800,$A$5:$A$800,"&gt;="&amp;DATE(YEAR($A549),MONTH($A549),1),$A$5:$A$800,"&lt;="&amp;$A549)+IF(AND(YEAR($A549)=YEAR(Settings!$B$3),MONTH($A549)=MONTH(Settings!$B$3)),Settings!$B$12,0))</f>
        <v/>
      </c>
      <c r="Q549" s="78">
        <f>IF($A549="","",SUMIFS($I$5:$I$800,$A$5:$A$800,"&gt;="&amp;DATE(YEAR($A549),MONTH($A549),1),$A$5:$A$800,"&lt;="&amp;$A549)+IF(AND(YEAR($A549)=YEAR(Settings!$B$3),MONTH($A549)=MONTH(Settings!$B$3)),Settings!$B$13,0))</f>
        <v/>
      </c>
      <c r="R549" s="77">
        <f>IF($A549="","",N549+P549)</f>
        <v/>
      </c>
      <c r="S549" s="78">
        <f>IF($A549="","",O549+Q549)</f>
        <v/>
      </c>
    </row>
    <row r="550">
      <c r="A550" s="67" t="n"/>
      <c r="B550" s="75" t="n"/>
      <c r="C550" s="76" t="n"/>
      <c r="D550" s="75" t="n"/>
      <c r="E550" s="76" t="n"/>
      <c r="F550" s="75" t="n"/>
      <c r="G550" s="76" t="n"/>
      <c r="H550" s="75" t="n"/>
      <c r="I550" s="76" t="n"/>
      <c r="J550" s="77">
        <f>IF($A550="","",B550+D550+F550)</f>
        <v/>
      </c>
      <c r="K550" s="78">
        <f>IF($A550="","",C550+E550+G550)</f>
        <v/>
      </c>
      <c r="L550" s="79">
        <f>IF($A550="","",J550+H550)</f>
        <v/>
      </c>
      <c r="M550" s="80">
        <f>IF($A550="","",K550+I550)</f>
        <v/>
      </c>
      <c r="N550" s="77">
        <f>IF($A550="","",SUMIFS($J$5:$J$800,$A$5:$A$800,"&gt;="&amp;DATE(YEAR($A550),MONTH($A550),1),$A$5:$A$800,"&lt;="&amp;$A550)+IF(AND(YEAR($A550)=YEAR(Settings!$B$3),MONTH($A550)=MONTH(Settings!$B$3)),Settings!$B$10,0))</f>
        <v/>
      </c>
      <c r="O550" s="78">
        <f>IF($A550="","",SUMIFS($K$5:$K$800,$A$5:$A$800,"&gt;="&amp;DATE(YEAR($A550),MONTH($A550),1),$A$5:$A$800,"&lt;="&amp;$A550)+IF(AND(YEAR($A550)=YEAR(Settings!$B$3),MONTH($A550)=MONTH(Settings!$B$3)),Settings!$B$11,0))</f>
        <v/>
      </c>
      <c r="P550" s="77">
        <f>IF($A550="","",SUMIFS($H$5:$H$800,$A$5:$A$800,"&gt;="&amp;DATE(YEAR($A550),MONTH($A550),1),$A$5:$A$800,"&lt;="&amp;$A550)+IF(AND(YEAR($A550)=YEAR(Settings!$B$3),MONTH($A550)=MONTH(Settings!$B$3)),Settings!$B$12,0))</f>
        <v/>
      </c>
      <c r="Q550" s="78">
        <f>IF($A550="","",SUMIFS($I$5:$I$800,$A$5:$A$800,"&gt;="&amp;DATE(YEAR($A550),MONTH($A550),1),$A$5:$A$800,"&lt;="&amp;$A550)+IF(AND(YEAR($A550)=YEAR(Settings!$B$3),MONTH($A550)=MONTH(Settings!$B$3)),Settings!$B$13,0))</f>
        <v/>
      </c>
      <c r="R550" s="77">
        <f>IF($A550="","",N550+P550)</f>
        <v/>
      </c>
      <c r="S550" s="78">
        <f>IF($A550="","",O550+Q550)</f>
        <v/>
      </c>
    </row>
    <row r="551">
      <c r="A551" s="67" t="n"/>
      <c r="B551" s="75" t="n"/>
      <c r="C551" s="76" t="n"/>
      <c r="D551" s="75" t="n"/>
      <c r="E551" s="76" t="n"/>
      <c r="F551" s="75" t="n"/>
      <c r="G551" s="76" t="n"/>
      <c r="H551" s="75" t="n"/>
      <c r="I551" s="76" t="n"/>
      <c r="J551" s="77">
        <f>IF($A551="","",B551+D551+F551)</f>
        <v/>
      </c>
      <c r="K551" s="78">
        <f>IF($A551="","",C551+E551+G551)</f>
        <v/>
      </c>
      <c r="L551" s="79">
        <f>IF($A551="","",J551+H551)</f>
        <v/>
      </c>
      <c r="M551" s="80">
        <f>IF($A551="","",K551+I551)</f>
        <v/>
      </c>
      <c r="N551" s="77">
        <f>IF($A551="","",SUMIFS($J$5:$J$800,$A$5:$A$800,"&gt;="&amp;DATE(YEAR($A551),MONTH($A551),1),$A$5:$A$800,"&lt;="&amp;$A551)+IF(AND(YEAR($A551)=YEAR(Settings!$B$3),MONTH($A551)=MONTH(Settings!$B$3)),Settings!$B$10,0))</f>
        <v/>
      </c>
      <c r="O551" s="78">
        <f>IF($A551="","",SUMIFS($K$5:$K$800,$A$5:$A$800,"&gt;="&amp;DATE(YEAR($A551),MONTH($A551),1),$A$5:$A$800,"&lt;="&amp;$A551)+IF(AND(YEAR($A551)=YEAR(Settings!$B$3),MONTH($A551)=MONTH(Settings!$B$3)),Settings!$B$11,0))</f>
        <v/>
      </c>
      <c r="P551" s="77">
        <f>IF($A551="","",SUMIFS($H$5:$H$800,$A$5:$A$800,"&gt;="&amp;DATE(YEAR($A551),MONTH($A551),1),$A$5:$A$800,"&lt;="&amp;$A551)+IF(AND(YEAR($A551)=YEAR(Settings!$B$3),MONTH($A551)=MONTH(Settings!$B$3)),Settings!$B$12,0))</f>
        <v/>
      </c>
      <c r="Q551" s="78">
        <f>IF($A551="","",SUMIFS($I$5:$I$800,$A$5:$A$800,"&gt;="&amp;DATE(YEAR($A551),MONTH($A551),1),$A$5:$A$800,"&lt;="&amp;$A551)+IF(AND(YEAR($A551)=YEAR(Settings!$B$3),MONTH($A551)=MONTH(Settings!$B$3)),Settings!$B$13,0))</f>
        <v/>
      </c>
      <c r="R551" s="77">
        <f>IF($A551="","",N551+P551)</f>
        <v/>
      </c>
      <c r="S551" s="78">
        <f>IF($A551="","",O551+Q551)</f>
        <v/>
      </c>
    </row>
    <row r="552">
      <c r="A552" s="67" t="n"/>
      <c r="B552" s="75" t="n"/>
      <c r="C552" s="76" t="n"/>
      <c r="D552" s="75" t="n"/>
      <c r="E552" s="76" t="n"/>
      <c r="F552" s="75" t="n"/>
      <c r="G552" s="76" t="n"/>
      <c r="H552" s="75" t="n"/>
      <c r="I552" s="76" t="n"/>
      <c r="J552" s="77">
        <f>IF($A552="","",B552+D552+F552)</f>
        <v/>
      </c>
      <c r="K552" s="78">
        <f>IF($A552="","",C552+E552+G552)</f>
        <v/>
      </c>
      <c r="L552" s="79">
        <f>IF($A552="","",J552+H552)</f>
        <v/>
      </c>
      <c r="M552" s="80">
        <f>IF($A552="","",K552+I552)</f>
        <v/>
      </c>
      <c r="N552" s="77">
        <f>IF($A552="","",SUMIFS($J$5:$J$800,$A$5:$A$800,"&gt;="&amp;DATE(YEAR($A552),MONTH($A552),1),$A$5:$A$800,"&lt;="&amp;$A552)+IF(AND(YEAR($A552)=YEAR(Settings!$B$3),MONTH($A552)=MONTH(Settings!$B$3)),Settings!$B$10,0))</f>
        <v/>
      </c>
      <c r="O552" s="78">
        <f>IF($A552="","",SUMIFS($K$5:$K$800,$A$5:$A$800,"&gt;="&amp;DATE(YEAR($A552),MONTH($A552),1),$A$5:$A$800,"&lt;="&amp;$A552)+IF(AND(YEAR($A552)=YEAR(Settings!$B$3),MONTH($A552)=MONTH(Settings!$B$3)),Settings!$B$11,0))</f>
        <v/>
      </c>
      <c r="P552" s="77">
        <f>IF($A552="","",SUMIFS($H$5:$H$800,$A$5:$A$800,"&gt;="&amp;DATE(YEAR($A552),MONTH($A552),1),$A$5:$A$800,"&lt;="&amp;$A552)+IF(AND(YEAR($A552)=YEAR(Settings!$B$3),MONTH($A552)=MONTH(Settings!$B$3)),Settings!$B$12,0))</f>
        <v/>
      </c>
      <c r="Q552" s="78">
        <f>IF($A552="","",SUMIFS($I$5:$I$800,$A$5:$A$800,"&gt;="&amp;DATE(YEAR($A552),MONTH($A552),1),$A$5:$A$800,"&lt;="&amp;$A552)+IF(AND(YEAR($A552)=YEAR(Settings!$B$3),MONTH($A552)=MONTH(Settings!$B$3)),Settings!$B$13,0))</f>
        <v/>
      </c>
      <c r="R552" s="77">
        <f>IF($A552="","",N552+P552)</f>
        <v/>
      </c>
      <c r="S552" s="78">
        <f>IF($A552="","",O552+Q552)</f>
        <v/>
      </c>
    </row>
    <row r="553">
      <c r="A553" s="67" t="n"/>
      <c r="B553" s="75" t="n"/>
      <c r="C553" s="76" t="n"/>
      <c r="D553" s="75" t="n"/>
      <c r="E553" s="76" t="n"/>
      <c r="F553" s="75" t="n"/>
      <c r="G553" s="76" t="n"/>
      <c r="H553" s="75" t="n"/>
      <c r="I553" s="76" t="n"/>
      <c r="J553" s="77">
        <f>IF($A553="","",B553+D553+F553)</f>
        <v/>
      </c>
      <c r="K553" s="78">
        <f>IF($A553="","",C553+E553+G553)</f>
        <v/>
      </c>
      <c r="L553" s="79">
        <f>IF($A553="","",J553+H553)</f>
        <v/>
      </c>
      <c r="M553" s="80">
        <f>IF($A553="","",K553+I553)</f>
        <v/>
      </c>
      <c r="N553" s="77">
        <f>IF($A553="","",SUMIFS($J$5:$J$800,$A$5:$A$800,"&gt;="&amp;DATE(YEAR($A553),MONTH($A553),1),$A$5:$A$800,"&lt;="&amp;$A553)+IF(AND(YEAR($A553)=YEAR(Settings!$B$3),MONTH($A553)=MONTH(Settings!$B$3)),Settings!$B$10,0))</f>
        <v/>
      </c>
      <c r="O553" s="78">
        <f>IF($A553="","",SUMIFS($K$5:$K$800,$A$5:$A$800,"&gt;="&amp;DATE(YEAR($A553),MONTH($A553),1),$A$5:$A$800,"&lt;="&amp;$A553)+IF(AND(YEAR($A553)=YEAR(Settings!$B$3),MONTH($A553)=MONTH(Settings!$B$3)),Settings!$B$11,0))</f>
        <v/>
      </c>
      <c r="P553" s="77">
        <f>IF($A553="","",SUMIFS($H$5:$H$800,$A$5:$A$800,"&gt;="&amp;DATE(YEAR($A553),MONTH($A553),1),$A$5:$A$800,"&lt;="&amp;$A553)+IF(AND(YEAR($A553)=YEAR(Settings!$B$3),MONTH($A553)=MONTH(Settings!$B$3)),Settings!$B$12,0))</f>
        <v/>
      </c>
      <c r="Q553" s="78">
        <f>IF($A553="","",SUMIFS($I$5:$I$800,$A$5:$A$800,"&gt;="&amp;DATE(YEAR($A553),MONTH($A553),1),$A$5:$A$800,"&lt;="&amp;$A553)+IF(AND(YEAR($A553)=YEAR(Settings!$B$3),MONTH($A553)=MONTH(Settings!$B$3)),Settings!$B$13,0))</f>
        <v/>
      </c>
      <c r="R553" s="77">
        <f>IF($A553="","",N553+P553)</f>
        <v/>
      </c>
      <c r="S553" s="78">
        <f>IF($A553="","",O553+Q553)</f>
        <v/>
      </c>
    </row>
    <row r="554">
      <c r="A554" s="67" t="n"/>
      <c r="B554" s="75" t="n"/>
      <c r="C554" s="76" t="n"/>
      <c r="D554" s="75" t="n"/>
      <c r="E554" s="76" t="n"/>
      <c r="F554" s="75" t="n"/>
      <c r="G554" s="76" t="n"/>
      <c r="H554" s="75" t="n"/>
      <c r="I554" s="76" t="n"/>
      <c r="J554" s="77">
        <f>IF($A554="","",B554+D554+F554)</f>
        <v/>
      </c>
      <c r="K554" s="78">
        <f>IF($A554="","",C554+E554+G554)</f>
        <v/>
      </c>
      <c r="L554" s="79">
        <f>IF($A554="","",J554+H554)</f>
        <v/>
      </c>
      <c r="M554" s="80">
        <f>IF($A554="","",K554+I554)</f>
        <v/>
      </c>
      <c r="N554" s="77">
        <f>IF($A554="","",SUMIFS($J$5:$J$800,$A$5:$A$800,"&gt;="&amp;DATE(YEAR($A554),MONTH($A554),1),$A$5:$A$800,"&lt;="&amp;$A554)+IF(AND(YEAR($A554)=YEAR(Settings!$B$3),MONTH($A554)=MONTH(Settings!$B$3)),Settings!$B$10,0))</f>
        <v/>
      </c>
      <c r="O554" s="78">
        <f>IF($A554="","",SUMIFS($K$5:$K$800,$A$5:$A$800,"&gt;="&amp;DATE(YEAR($A554),MONTH($A554),1),$A$5:$A$800,"&lt;="&amp;$A554)+IF(AND(YEAR($A554)=YEAR(Settings!$B$3),MONTH($A554)=MONTH(Settings!$B$3)),Settings!$B$11,0))</f>
        <v/>
      </c>
      <c r="P554" s="77">
        <f>IF($A554="","",SUMIFS($H$5:$H$800,$A$5:$A$800,"&gt;="&amp;DATE(YEAR($A554),MONTH($A554),1),$A$5:$A$800,"&lt;="&amp;$A554)+IF(AND(YEAR($A554)=YEAR(Settings!$B$3),MONTH($A554)=MONTH(Settings!$B$3)),Settings!$B$12,0))</f>
        <v/>
      </c>
      <c r="Q554" s="78">
        <f>IF($A554="","",SUMIFS($I$5:$I$800,$A$5:$A$800,"&gt;="&amp;DATE(YEAR($A554),MONTH($A554),1),$A$5:$A$800,"&lt;="&amp;$A554)+IF(AND(YEAR($A554)=YEAR(Settings!$B$3),MONTH($A554)=MONTH(Settings!$B$3)),Settings!$B$13,0))</f>
        <v/>
      </c>
      <c r="R554" s="77">
        <f>IF($A554="","",N554+P554)</f>
        <v/>
      </c>
      <c r="S554" s="78">
        <f>IF($A554="","",O554+Q554)</f>
        <v/>
      </c>
    </row>
    <row r="555">
      <c r="A555" s="67" t="n"/>
      <c r="B555" s="75" t="n"/>
      <c r="C555" s="76" t="n"/>
      <c r="D555" s="75" t="n"/>
      <c r="E555" s="76" t="n"/>
      <c r="F555" s="75" t="n"/>
      <c r="G555" s="76" t="n"/>
      <c r="H555" s="75" t="n"/>
      <c r="I555" s="76" t="n"/>
      <c r="J555" s="77">
        <f>IF($A555="","",B555+D555+F555)</f>
        <v/>
      </c>
      <c r="K555" s="78">
        <f>IF($A555="","",C555+E555+G555)</f>
        <v/>
      </c>
      <c r="L555" s="79">
        <f>IF($A555="","",J555+H555)</f>
        <v/>
      </c>
      <c r="M555" s="80">
        <f>IF($A555="","",K555+I555)</f>
        <v/>
      </c>
      <c r="N555" s="77">
        <f>IF($A555="","",SUMIFS($J$5:$J$800,$A$5:$A$800,"&gt;="&amp;DATE(YEAR($A555),MONTH($A555),1),$A$5:$A$800,"&lt;="&amp;$A555)+IF(AND(YEAR($A555)=YEAR(Settings!$B$3),MONTH($A555)=MONTH(Settings!$B$3)),Settings!$B$10,0))</f>
        <v/>
      </c>
      <c r="O555" s="78">
        <f>IF($A555="","",SUMIFS($K$5:$K$800,$A$5:$A$800,"&gt;="&amp;DATE(YEAR($A555),MONTH($A555),1),$A$5:$A$800,"&lt;="&amp;$A555)+IF(AND(YEAR($A555)=YEAR(Settings!$B$3),MONTH($A555)=MONTH(Settings!$B$3)),Settings!$B$11,0))</f>
        <v/>
      </c>
      <c r="P555" s="77">
        <f>IF($A555="","",SUMIFS($H$5:$H$800,$A$5:$A$800,"&gt;="&amp;DATE(YEAR($A555),MONTH($A555),1),$A$5:$A$800,"&lt;="&amp;$A555)+IF(AND(YEAR($A555)=YEAR(Settings!$B$3),MONTH($A555)=MONTH(Settings!$B$3)),Settings!$B$12,0))</f>
        <v/>
      </c>
      <c r="Q555" s="78">
        <f>IF($A555="","",SUMIFS($I$5:$I$800,$A$5:$A$800,"&gt;="&amp;DATE(YEAR($A555),MONTH($A555),1),$A$5:$A$800,"&lt;="&amp;$A555)+IF(AND(YEAR($A555)=YEAR(Settings!$B$3),MONTH($A555)=MONTH(Settings!$B$3)),Settings!$B$13,0))</f>
        <v/>
      </c>
      <c r="R555" s="77">
        <f>IF($A555="","",N555+P555)</f>
        <v/>
      </c>
      <c r="S555" s="78">
        <f>IF($A555="","",O555+Q555)</f>
        <v/>
      </c>
    </row>
    <row r="556">
      <c r="A556" s="67" t="n"/>
      <c r="B556" s="75" t="n"/>
      <c r="C556" s="76" t="n"/>
      <c r="D556" s="75" t="n"/>
      <c r="E556" s="76" t="n"/>
      <c r="F556" s="75" t="n"/>
      <c r="G556" s="76" t="n"/>
      <c r="H556" s="75" t="n"/>
      <c r="I556" s="76" t="n"/>
      <c r="J556" s="77">
        <f>IF($A556="","",B556+D556+F556)</f>
        <v/>
      </c>
      <c r="K556" s="78">
        <f>IF($A556="","",C556+E556+G556)</f>
        <v/>
      </c>
      <c r="L556" s="79">
        <f>IF($A556="","",J556+H556)</f>
        <v/>
      </c>
      <c r="M556" s="80">
        <f>IF($A556="","",K556+I556)</f>
        <v/>
      </c>
      <c r="N556" s="77">
        <f>IF($A556="","",SUMIFS($J$5:$J$800,$A$5:$A$800,"&gt;="&amp;DATE(YEAR($A556),MONTH($A556),1),$A$5:$A$800,"&lt;="&amp;$A556)+IF(AND(YEAR($A556)=YEAR(Settings!$B$3),MONTH($A556)=MONTH(Settings!$B$3)),Settings!$B$10,0))</f>
        <v/>
      </c>
      <c r="O556" s="78">
        <f>IF($A556="","",SUMIFS($K$5:$K$800,$A$5:$A$800,"&gt;="&amp;DATE(YEAR($A556),MONTH($A556),1),$A$5:$A$800,"&lt;="&amp;$A556)+IF(AND(YEAR($A556)=YEAR(Settings!$B$3),MONTH($A556)=MONTH(Settings!$B$3)),Settings!$B$11,0))</f>
        <v/>
      </c>
      <c r="P556" s="77">
        <f>IF($A556="","",SUMIFS($H$5:$H$800,$A$5:$A$800,"&gt;="&amp;DATE(YEAR($A556),MONTH($A556),1),$A$5:$A$800,"&lt;="&amp;$A556)+IF(AND(YEAR($A556)=YEAR(Settings!$B$3),MONTH($A556)=MONTH(Settings!$B$3)),Settings!$B$12,0))</f>
        <v/>
      </c>
      <c r="Q556" s="78">
        <f>IF($A556="","",SUMIFS($I$5:$I$800,$A$5:$A$800,"&gt;="&amp;DATE(YEAR($A556),MONTH($A556),1),$A$5:$A$800,"&lt;="&amp;$A556)+IF(AND(YEAR($A556)=YEAR(Settings!$B$3),MONTH($A556)=MONTH(Settings!$B$3)),Settings!$B$13,0))</f>
        <v/>
      </c>
      <c r="R556" s="77">
        <f>IF($A556="","",N556+P556)</f>
        <v/>
      </c>
      <c r="S556" s="78">
        <f>IF($A556="","",O556+Q556)</f>
        <v/>
      </c>
    </row>
    <row r="557">
      <c r="A557" s="67" t="n"/>
      <c r="B557" s="75" t="n"/>
      <c r="C557" s="76" t="n"/>
      <c r="D557" s="75" t="n"/>
      <c r="E557" s="76" t="n"/>
      <c r="F557" s="75" t="n"/>
      <c r="G557" s="76" t="n"/>
      <c r="H557" s="75" t="n"/>
      <c r="I557" s="76" t="n"/>
      <c r="J557" s="77">
        <f>IF($A557="","",B557+D557+F557)</f>
        <v/>
      </c>
      <c r="K557" s="78">
        <f>IF($A557="","",C557+E557+G557)</f>
        <v/>
      </c>
      <c r="L557" s="79">
        <f>IF($A557="","",J557+H557)</f>
        <v/>
      </c>
      <c r="M557" s="80">
        <f>IF($A557="","",K557+I557)</f>
        <v/>
      </c>
      <c r="N557" s="77">
        <f>IF($A557="","",SUMIFS($J$5:$J$800,$A$5:$A$800,"&gt;="&amp;DATE(YEAR($A557),MONTH($A557),1),$A$5:$A$800,"&lt;="&amp;$A557)+IF(AND(YEAR($A557)=YEAR(Settings!$B$3),MONTH($A557)=MONTH(Settings!$B$3)),Settings!$B$10,0))</f>
        <v/>
      </c>
      <c r="O557" s="78">
        <f>IF($A557="","",SUMIFS($K$5:$K$800,$A$5:$A$800,"&gt;="&amp;DATE(YEAR($A557),MONTH($A557),1),$A$5:$A$800,"&lt;="&amp;$A557)+IF(AND(YEAR($A557)=YEAR(Settings!$B$3),MONTH($A557)=MONTH(Settings!$B$3)),Settings!$B$11,0))</f>
        <v/>
      </c>
      <c r="P557" s="77">
        <f>IF($A557="","",SUMIFS($H$5:$H$800,$A$5:$A$800,"&gt;="&amp;DATE(YEAR($A557),MONTH($A557),1),$A$5:$A$800,"&lt;="&amp;$A557)+IF(AND(YEAR($A557)=YEAR(Settings!$B$3),MONTH($A557)=MONTH(Settings!$B$3)),Settings!$B$12,0))</f>
        <v/>
      </c>
      <c r="Q557" s="78">
        <f>IF($A557="","",SUMIFS($I$5:$I$800,$A$5:$A$800,"&gt;="&amp;DATE(YEAR($A557),MONTH($A557),1),$A$5:$A$800,"&lt;="&amp;$A557)+IF(AND(YEAR($A557)=YEAR(Settings!$B$3),MONTH($A557)=MONTH(Settings!$B$3)),Settings!$B$13,0))</f>
        <v/>
      </c>
      <c r="R557" s="77">
        <f>IF($A557="","",N557+P557)</f>
        <v/>
      </c>
      <c r="S557" s="78">
        <f>IF($A557="","",O557+Q557)</f>
        <v/>
      </c>
    </row>
    <row r="558">
      <c r="A558" s="67" t="n"/>
      <c r="B558" s="75" t="n"/>
      <c r="C558" s="76" t="n"/>
      <c r="D558" s="75" t="n"/>
      <c r="E558" s="76" t="n"/>
      <c r="F558" s="75" t="n"/>
      <c r="G558" s="76" t="n"/>
      <c r="H558" s="75" t="n"/>
      <c r="I558" s="76" t="n"/>
      <c r="J558" s="77">
        <f>IF($A558="","",B558+D558+F558)</f>
        <v/>
      </c>
      <c r="K558" s="78">
        <f>IF($A558="","",C558+E558+G558)</f>
        <v/>
      </c>
      <c r="L558" s="79">
        <f>IF($A558="","",J558+H558)</f>
        <v/>
      </c>
      <c r="M558" s="80">
        <f>IF($A558="","",K558+I558)</f>
        <v/>
      </c>
      <c r="N558" s="77">
        <f>IF($A558="","",SUMIFS($J$5:$J$800,$A$5:$A$800,"&gt;="&amp;DATE(YEAR($A558),MONTH($A558),1),$A$5:$A$800,"&lt;="&amp;$A558)+IF(AND(YEAR($A558)=YEAR(Settings!$B$3),MONTH($A558)=MONTH(Settings!$B$3)),Settings!$B$10,0))</f>
        <v/>
      </c>
      <c r="O558" s="78">
        <f>IF($A558="","",SUMIFS($K$5:$K$800,$A$5:$A$800,"&gt;="&amp;DATE(YEAR($A558),MONTH($A558),1),$A$5:$A$800,"&lt;="&amp;$A558)+IF(AND(YEAR($A558)=YEAR(Settings!$B$3),MONTH($A558)=MONTH(Settings!$B$3)),Settings!$B$11,0))</f>
        <v/>
      </c>
      <c r="P558" s="77">
        <f>IF($A558="","",SUMIFS($H$5:$H$800,$A$5:$A$800,"&gt;="&amp;DATE(YEAR($A558),MONTH($A558),1),$A$5:$A$800,"&lt;="&amp;$A558)+IF(AND(YEAR($A558)=YEAR(Settings!$B$3),MONTH($A558)=MONTH(Settings!$B$3)),Settings!$B$12,0))</f>
        <v/>
      </c>
      <c r="Q558" s="78">
        <f>IF($A558="","",SUMIFS($I$5:$I$800,$A$5:$A$800,"&gt;="&amp;DATE(YEAR($A558),MONTH($A558),1),$A$5:$A$800,"&lt;="&amp;$A558)+IF(AND(YEAR($A558)=YEAR(Settings!$B$3),MONTH($A558)=MONTH(Settings!$B$3)),Settings!$B$13,0))</f>
        <v/>
      </c>
      <c r="R558" s="77">
        <f>IF($A558="","",N558+P558)</f>
        <v/>
      </c>
      <c r="S558" s="78">
        <f>IF($A558="","",O558+Q558)</f>
        <v/>
      </c>
    </row>
    <row r="559">
      <c r="A559" s="67" t="n"/>
      <c r="B559" s="75" t="n"/>
      <c r="C559" s="76" t="n"/>
      <c r="D559" s="75" t="n"/>
      <c r="E559" s="76" t="n"/>
      <c r="F559" s="75" t="n"/>
      <c r="G559" s="76" t="n"/>
      <c r="H559" s="75" t="n"/>
      <c r="I559" s="76" t="n"/>
      <c r="J559" s="77">
        <f>IF($A559="","",B559+D559+F559)</f>
        <v/>
      </c>
      <c r="K559" s="78">
        <f>IF($A559="","",C559+E559+G559)</f>
        <v/>
      </c>
      <c r="L559" s="79">
        <f>IF($A559="","",J559+H559)</f>
        <v/>
      </c>
      <c r="M559" s="80">
        <f>IF($A559="","",K559+I559)</f>
        <v/>
      </c>
      <c r="N559" s="77">
        <f>IF($A559="","",SUMIFS($J$5:$J$800,$A$5:$A$800,"&gt;="&amp;DATE(YEAR($A559),MONTH($A559),1),$A$5:$A$800,"&lt;="&amp;$A559)+IF(AND(YEAR($A559)=YEAR(Settings!$B$3),MONTH($A559)=MONTH(Settings!$B$3)),Settings!$B$10,0))</f>
        <v/>
      </c>
      <c r="O559" s="78">
        <f>IF($A559="","",SUMIFS($K$5:$K$800,$A$5:$A$800,"&gt;="&amp;DATE(YEAR($A559),MONTH($A559),1),$A$5:$A$800,"&lt;="&amp;$A559)+IF(AND(YEAR($A559)=YEAR(Settings!$B$3),MONTH($A559)=MONTH(Settings!$B$3)),Settings!$B$11,0))</f>
        <v/>
      </c>
      <c r="P559" s="77">
        <f>IF($A559="","",SUMIFS($H$5:$H$800,$A$5:$A$800,"&gt;="&amp;DATE(YEAR($A559),MONTH($A559),1),$A$5:$A$800,"&lt;="&amp;$A559)+IF(AND(YEAR($A559)=YEAR(Settings!$B$3),MONTH($A559)=MONTH(Settings!$B$3)),Settings!$B$12,0))</f>
        <v/>
      </c>
      <c r="Q559" s="78">
        <f>IF($A559="","",SUMIFS($I$5:$I$800,$A$5:$A$800,"&gt;="&amp;DATE(YEAR($A559),MONTH($A559),1),$A$5:$A$800,"&lt;="&amp;$A559)+IF(AND(YEAR($A559)=YEAR(Settings!$B$3),MONTH($A559)=MONTH(Settings!$B$3)),Settings!$B$13,0))</f>
        <v/>
      </c>
      <c r="R559" s="77">
        <f>IF($A559="","",N559+P559)</f>
        <v/>
      </c>
      <c r="S559" s="78">
        <f>IF($A559="","",O559+Q559)</f>
        <v/>
      </c>
    </row>
    <row r="560">
      <c r="A560" s="67" t="n"/>
      <c r="B560" s="75" t="n"/>
      <c r="C560" s="76" t="n"/>
      <c r="D560" s="75" t="n"/>
      <c r="E560" s="76" t="n"/>
      <c r="F560" s="75" t="n"/>
      <c r="G560" s="76" t="n"/>
      <c r="H560" s="75" t="n"/>
      <c r="I560" s="76" t="n"/>
      <c r="J560" s="77">
        <f>IF($A560="","",B560+D560+F560)</f>
        <v/>
      </c>
      <c r="K560" s="78">
        <f>IF($A560="","",C560+E560+G560)</f>
        <v/>
      </c>
      <c r="L560" s="79">
        <f>IF($A560="","",J560+H560)</f>
        <v/>
      </c>
      <c r="M560" s="80">
        <f>IF($A560="","",K560+I560)</f>
        <v/>
      </c>
      <c r="N560" s="77">
        <f>IF($A560="","",SUMIFS($J$5:$J$800,$A$5:$A$800,"&gt;="&amp;DATE(YEAR($A560),MONTH($A560),1),$A$5:$A$800,"&lt;="&amp;$A560)+IF(AND(YEAR($A560)=YEAR(Settings!$B$3),MONTH($A560)=MONTH(Settings!$B$3)),Settings!$B$10,0))</f>
        <v/>
      </c>
      <c r="O560" s="78">
        <f>IF($A560="","",SUMIFS($K$5:$K$800,$A$5:$A$800,"&gt;="&amp;DATE(YEAR($A560),MONTH($A560),1),$A$5:$A$800,"&lt;="&amp;$A560)+IF(AND(YEAR($A560)=YEAR(Settings!$B$3),MONTH($A560)=MONTH(Settings!$B$3)),Settings!$B$11,0))</f>
        <v/>
      </c>
      <c r="P560" s="77">
        <f>IF($A560="","",SUMIFS($H$5:$H$800,$A$5:$A$800,"&gt;="&amp;DATE(YEAR($A560),MONTH($A560),1),$A$5:$A$800,"&lt;="&amp;$A560)+IF(AND(YEAR($A560)=YEAR(Settings!$B$3),MONTH($A560)=MONTH(Settings!$B$3)),Settings!$B$12,0))</f>
        <v/>
      </c>
      <c r="Q560" s="78">
        <f>IF($A560="","",SUMIFS($I$5:$I$800,$A$5:$A$800,"&gt;="&amp;DATE(YEAR($A560),MONTH($A560),1),$A$5:$A$800,"&lt;="&amp;$A560)+IF(AND(YEAR($A560)=YEAR(Settings!$B$3),MONTH($A560)=MONTH(Settings!$B$3)),Settings!$B$13,0))</f>
        <v/>
      </c>
      <c r="R560" s="77">
        <f>IF($A560="","",N560+P560)</f>
        <v/>
      </c>
      <c r="S560" s="78">
        <f>IF($A560="","",O560+Q560)</f>
        <v/>
      </c>
    </row>
    <row r="561">
      <c r="A561" s="67" t="n"/>
      <c r="B561" s="75" t="n"/>
      <c r="C561" s="76" t="n"/>
      <c r="D561" s="75" t="n"/>
      <c r="E561" s="76" t="n"/>
      <c r="F561" s="75" t="n"/>
      <c r="G561" s="76" t="n"/>
      <c r="H561" s="75" t="n"/>
      <c r="I561" s="76" t="n"/>
      <c r="J561" s="77">
        <f>IF($A561="","",B561+D561+F561)</f>
        <v/>
      </c>
      <c r="K561" s="78">
        <f>IF($A561="","",C561+E561+G561)</f>
        <v/>
      </c>
      <c r="L561" s="79">
        <f>IF($A561="","",J561+H561)</f>
        <v/>
      </c>
      <c r="M561" s="80">
        <f>IF($A561="","",K561+I561)</f>
        <v/>
      </c>
      <c r="N561" s="77">
        <f>IF($A561="","",SUMIFS($J$5:$J$800,$A$5:$A$800,"&gt;="&amp;DATE(YEAR($A561),MONTH($A561),1),$A$5:$A$800,"&lt;="&amp;$A561)+IF(AND(YEAR($A561)=YEAR(Settings!$B$3),MONTH($A561)=MONTH(Settings!$B$3)),Settings!$B$10,0))</f>
        <v/>
      </c>
      <c r="O561" s="78">
        <f>IF($A561="","",SUMIFS($K$5:$K$800,$A$5:$A$800,"&gt;="&amp;DATE(YEAR($A561),MONTH($A561),1),$A$5:$A$800,"&lt;="&amp;$A561)+IF(AND(YEAR($A561)=YEAR(Settings!$B$3),MONTH($A561)=MONTH(Settings!$B$3)),Settings!$B$11,0))</f>
        <v/>
      </c>
      <c r="P561" s="77">
        <f>IF($A561="","",SUMIFS($H$5:$H$800,$A$5:$A$800,"&gt;="&amp;DATE(YEAR($A561),MONTH($A561),1),$A$5:$A$800,"&lt;="&amp;$A561)+IF(AND(YEAR($A561)=YEAR(Settings!$B$3),MONTH($A561)=MONTH(Settings!$B$3)),Settings!$B$12,0))</f>
        <v/>
      </c>
      <c r="Q561" s="78">
        <f>IF($A561="","",SUMIFS($I$5:$I$800,$A$5:$A$800,"&gt;="&amp;DATE(YEAR($A561),MONTH($A561),1),$A$5:$A$800,"&lt;="&amp;$A561)+IF(AND(YEAR($A561)=YEAR(Settings!$B$3),MONTH($A561)=MONTH(Settings!$B$3)),Settings!$B$13,0))</f>
        <v/>
      </c>
      <c r="R561" s="77">
        <f>IF($A561="","",N561+P561)</f>
        <v/>
      </c>
      <c r="S561" s="78">
        <f>IF($A561="","",O561+Q561)</f>
        <v/>
      </c>
    </row>
    <row r="562">
      <c r="A562" s="67" t="n"/>
      <c r="B562" s="75" t="n"/>
      <c r="C562" s="76" t="n"/>
      <c r="D562" s="75" t="n"/>
      <c r="E562" s="76" t="n"/>
      <c r="F562" s="75" t="n"/>
      <c r="G562" s="76" t="n"/>
      <c r="H562" s="75" t="n"/>
      <c r="I562" s="76" t="n"/>
      <c r="J562" s="77">
        <f>IF($A562="","",B562+D562+F562)</f>
        <v/>
      </c>
      <c r="K562" s="78">
        <f>IF($A562="","",C562+E562+G562)</f>
        <v/>
      </c>
      <c r="L562" s="79">
        <f>IF($A562="","",J562+H562)</f>
        <v/>
      </c>
      <c r="M562" s="80">
        <f>IF($A562="","",K562+I562)</f>
        <v/>
      </c>
      <c r="N562" s="77">
        <f>IF($A562="","",SUMIFS($J$5:$J$800,$A$5:$A$800,"&gt;="&amp;DATE(YEAR($A562),MONTH($A562),1),$A$5:$A$800,"&lt;="&amp;$A562)+IF(AND(YEAR($A562)=YEAR(Settings!$B$3),MONTH($A562)=MONTH(Settings!$B$3)),Settings!$B$10,0))</f>
        <v/>
      </c>
      <c r="O562" s="78">
        <f>IF($A562="","",SUMIFS($K$5:$K$800,$A$5:$A$800,"&gt;="&amp;DATE(YEAR($A562),MONTH($A562),1),$A$5:$A$800,"&lt;="&amp;$A562)+IF(AND(YEAR($A562)=YEAR(Settings!$B$3),MONTH($A562)=MONTH(Settings!$B$3)),Settings!$B$11,0))</f>
        <v/>
      </c>
      <c r="P562" s="77">
        <f>IF($A562="","",SUMIFS($H$5:$H$800,$A$5:$A$800,"&gt;="&amp;DATE(YEAR($A562),MONTH($A562),1),$A$5:$A$800,"&lt;="&amp;$A562)+IF(AND(YEAR($A562)=YEAR(Settings!$B$3),MONTH($A562)=MONTH(Settings!$B$3)),Settings!$B$12,0))</f>
        <v/>
      </c>
      <c r="Q562" s="78">
        <f>IF($A562="","",SUMIFS($I$5:$I$800,$A$5:$A$800,"&gt;="&amp;DATE(YEAR($A562),MONTH($A562),1),$A$5:$A$800,"&lt;="&amp;$A562)+IF(AND(YEAR($A562)=YEAR(Settings!$B$3),MONTH($A562)=MONTH(Settings!$B$3)),Settings!$B$13,0))</f>
        <v/>
      </c>
      <c r="R562" s="77">
        <f>IF($A562="","",N562+P562)</f>
        <v/>
      </c>
      <c r="S562" s="78">
        <f>IF($A562="","",O562+Q562)</f>
        <v/>
      </c>
    </row>
    <row r="563">
      <c r="A563" s="67" t="n"/>
      <c r="B563" s="75" t="n"/>
      <c r="C563" s="76" t="n"/>
      <c r="D563" s="75" t="n"/>
      <c r="E563" s="76" t="n"/>
      <c r="F563" s="75" t="n"/>
      <c r="G563" s="76" t="n"/>
      <c r="H563" s="75" t="n"/>
      <c r="I563" s="76" t="n"/>
      <c r="J563" s="77">
        <f>IF($A563="","",B563+D563+F563)</f>
        <v/>
      </c>
      <c r="K563" s="78">
        <f>IF($A563="","",C563+E563+G563)</f>
        <v/>
      </c>
      <c r="L563" s="79">
        <f>IF($A563="","",J563+H563)</f>
        <v/>
      </c>
      <c r="M563" s="80">
        <f>IF($A563="","",K563+I563)</f>
        <v/>
      </c>
      <c r="N563" s="77">
        <f>IF($A563="","",SUMIFS($J$5:$J$800,$A$5:$A$800,"&gt;="&amp;DATE(YEAR($A563),MONTH($A563),1),$A$5:$A$800,"&lt;="&amp;$A563)+IF(AND(YEAR($A563)=YEAR(Settings!$B$3),MONTH($A563)=MONTH(Settings!$B$3)),Settings!$B$10,0))</f>
        <v/>
      </c>
      <c r="O563" s="78">
        <f>IF($A563="","",SUMIFS($K$5:$K$800,$A$5:$A$800,"&gt;="&amp;DATE(YEAR($A563),MONTH($A563),1),$A$5:$A$800,"&lt;="&amp;$A563)+IF(AND(YEAR($A563)=YEAR(Settings!$B$3),MONTH($A563)=MONTH(Settings!$B$3)),Settings!$B$11,0))</f>
        <v/>
      </c>
      <c r="P563" s="77">
        <f>IF($A563="","",SUMIFS($H$5:$H$800,$A$5:$A$800,"&gt;="&amp;DATE(YEAR($A563),MONTH($A563),1),$A$5:$A$800,"&lt;="&amp;$A563)+IF(AND(YEAR($A563)=YEAR(Settings!$B$3),MONTH($A563)=MONTH(Settings!$B$3)),Settings!$B$12,0))</f>
        <v/>
      </c>
      <c r="Q563" s="78">
        <f>IF($A563="","",SUMIFS($I$5:$I$800,$A$5:$A$800,"&gt;="&amp;DATE(YEAR($A563),MONTH($A563),1),$A$5:$A$800,"&lt;="&amp;$A563)+IF(AND(YEAR($A563)=YEAR(Settings!$B$3),MONTH($A563)=MONTH(Settings!$B$3)),Settings!$B$13,0))</f>
        <v/>
      </c>
      <c r="R563" s="77">
        <f>IF($A563="","",N563+P563)</f>
        <v/>
      </c>
      <c r="S563" s="78">
        <f>IF($A563="","",O563+Q563)</f>
        <v/>
      </c>
    </row>
    <row r="564">
      <c r="A564" s="67" t="n"/>
      <c r="B564" s="75" t="n"/>
      <c r="C564" s="76" t="n"/>
      <c r="D564" s="75" t="n"/>
      <c r="E564" s="76" t="n"/>
      <c r="F564" s="75" t="n"/>
      <c r="G564" s="76" t="n"/>
      <c r="H564" s="75" t="n"/>
      <c r="I564" s="76" t="n"/>
      <c r="J564" s="77">
        <f>IF($A564="","",B564+D564+F564)</f>
        <v/>
      </c>
      <c r="K564" s="78">
        <f>IF($A564="","",C564+E564+G564)</f>
        <v/>
      </c>
      <c r="L564" s="79">
        <f>IF($A564="","",J564+H564)</f>
        <v/>
      </c>
      <c r="M564" s="80">
        <f>IF($A564="","",K564+I564)</f>
        <v/>
      </c>
      <c r="N564" s="77">
        <f>IF($A564="","",SUMIFS($J$5:$J$800,$A$5:$A$800,"&gt;="&amp;DATE(YEAR($A564),MONTH($A564),1),$A$5:$A$800,"&lt;="&amp;$A564)+IF(AND(YEAR($A564)=YEAR(Settings!$B$3),MONTH($A564)=MONTH(Settings!$B$3)),Settings!$B$10,0))</f>
        <v/>
      </c>
      <c r="O564" s="78">
        <f>IF($A564="","",SUMIFS($K$5:$K$800,$A$5:$A$800,"&gt;="&amp;DATE(YEAR($A564),MONTH($A564),1),$A$5:$A$800,"&lt;="&amp;$A564)+IF(AND(YEAR($A564)=YEAR(Settings!$B$3),MONTH($A564)=MONTH(Settings!$B$3)),Settings!$B$11,0))</f>
        <v/>
      </c>
      <c r="P564" s="77">
        <f>IF($A564="","",SUMIFS($H$5:$H$800,$A$5:$A$800,"&gt;="&amp;DATE(YEAR($A564),MONTH($A564),1),$A$5:$A$800,"&lt;="&amp;$A564)+IF(AND(YEAR($A564)=YEAR(Settings!$B$3),MONTH($A564)=MONTH(Settings!$B$3)),Settings!$B$12,0))</f>
        <v/>
      </c>
      <c r="Q564" s="78">
        <f>IF($A564="","",SUMIFS($I$5:$I$800,$A$5:$A$800,"&gt;="&amp;DATE(YEAR($A564),MONTH($A564),1),$A$5:$A$800,"&lt;="&amp;$A564)+IF(AND(YEAR($A564)=YEAR(Settings!$B$3),MONTH($A564)=MONTH(Settings!$B$3)),Settings!$B$13,0))</f>
        <v/>
      </c>
      <c r="R564" s="77">
        <f>IF($A564="","",N564+P564)</f>
        <v/>
      </c>
      <c r="S564" s="78">
        <f>IF($A564="","",O564+Q564)</f>
        <v/>
      </c>
    </row>
    <row r="565">
      <c r="A565" s="67" t="n"/>
      <c r="B565" s="75" t="n"/>
      <c r="C565" s="76" t="n"/>
      <c r="D565" s="75" t="n"/>
      <c r="E565" s="76" t="n"/>
      <c r="F565" s="75" t="n"/>
      <c r="G565" s="76" t="n"/>
      <c r="H565" s="75" t="n"/>
      <c r="I565" s="76" t="n"/>
      <c r="J565" s="77">
        <f>IF($A565="","",B565+D565+F565)</f>
        <v/>
      </c>
      <c r="K565" s="78">
        <f>IF($A565="","",C565+E565+G565)</f>
        <v/>
      </c>
      <c r="L565" s="79">
        <f>IF($A565="","",J565+H565)</f>
        <v/>
      </c>
      <c r="M565" s="80">
        <f>IF($A565="","",K565+I565)</f>
        <v/>
      </c>
      <c r="N565" s="77">
        <f>IF($A565="","",SUMIFS($J$5:$J$800,$A$5:$A$800,"&gt;="&amp;DATE(YEAR($A565),MONTH($A565),1),$A$5:$A$800,"&lt;="&amp;$A565)+IF(AND(YEAR($A565)=YEAR(Settings!$B$3),MONTH($A565)=MONTH(Settings!$B$3)),Settings!$B$10,0))</f>
        <v/>
      </c>
      <c r="O565" s="78">
        <f>IF($A565="","",SUMIFS($K$5:$K$800,$A$5:$A$800,"&gt;="&amp;DATE(YEAR($A565),MONTH($A565),1),$A$5:$A$800,"&lt;="&amp;$A565)+IF(AND(YEAR($A565)=YEAR(Settings!$B$3),MONTH($A565)=MONTH(Settings!$B$3)),Settings!$B$11,0))</f>
        <v/>
      </c>
      <c r="P565" s="77">
        <f>IF($A565="","",SUMIFS($H$5:$H$800,$A$5:$A$800,"&gt;="&amp;DATE(YEAR($A565),MONTH($A565),1),$A$5:$A$800,"&lt;="&amp;$A565)+IF(AND(YEAR($A565)=YEAR(Settings!$B$3),MONTH($A565)=MONTH(Settings!$B$3)),Settings!$B$12,0))</f>
        <v/>
      </c>
      <c r="Q565" s="78">
        <f>IF($A565="","",SUMIFS($I$5:$I$800,$A$5:$A$800,"&gt;="&amp;DATE(YEAR($A565),MONTH($A565),1),$A$5:$A$800,"&lt;="&amp;$A565)+IF(AND(YEAR($A565)=YEAR(Settings!$B$3),MONTH($A565)=MONTH(Settings!$B$3)),Settings!$B$13,0))</f>
        <v/>
      </c>
      <c r="R565" s="77">
        <f>IF($A565="","",N565+P565)</f>
        <v/>
      </c>
      <c r="S565" s="78">
        <f>IF($A565="","",O565+Q565)</f>
        <v/>
      </c>
    </row>
    <row r="566">
      <c r="A566" s="67" t="n"/>
      <c r="B566" s="75" t="n"/>
      <c r="C566" s="76" t="n"/>
      <c r="D566" s="75" t="n"/>
      <c r="E566" s="76" t="n"/>
      <c r="F566" s="75" t="n"/>
      <c r="G566" s="76" t="n"/>
      <c r="H566" s="75" t="n"/>
      <c r="I566" s="76" t="n"/>
      <c r="J566" s="77">
        <f>IF($A566="","",B566+D566+F566)</f>
        <v/>
      </c>
      <c r="K566" s="78">
        <f>IF($A566="","",C566+E566+G566)</f>
        <v/>
      </c>
      <c r="L566" s="79">
        <f>IF($A566="","",J566+H566)</f>
        <v/>
      </c>
      <c r="M566" s="80">
        <f>IF($A566="","",K566+I566)</f>
        <v/>
      </c>
      <c r="N566" s="77">
        <f>IF($A566="","",SUMIFS($J$5:$J$800,$A$5:$A$800,"&gt;="&amp;DATE(YEAR($A566),MONTH($A566),1),$A$5:$A$800,"&lt;="&amp;$A566)+IF(AND(YEAR($A566)=YEAR(Settings!$B$3),MONTH($A566)=MONTH(Settings!$B$3)),Settings!$B$10,0))</f>
        <v/>
      </c>
      <c r="O566" s="78">
        <f>IF($A566="","",SUMIFS($K$5:$K$800,$A$5:$A$800,"&gt;="&amp;DATE(YEAR($A566),MONTH($A566),1),$A$5:$A$800,"&lt;="&amp;$A566)+IF(AND(YEAR($A566)=YEAR(Settings!$B$3),MONTH($A566)=MONTH(Settings!$B$3)),Settings!$B$11,0))</f>
        <v/>
      </c>
      <c r="P566" s="77">
        <f>IF($A566="","",SUMIFS($H$5:$H$800,$A$5:$A$800,"&gt;="&amp;DATE(YEAR($A566),MONTH($A566),1),$A$5:$A$800,"&lt;="&amp;$A566)+IF(AND(YEAR($A566)=YEAR(Settings!$B$3),MONTH($A566)=MONTH(Settings!$B$3)),Settings!$B$12,0))</f>
        <v/>
      </c>
      <c r="Q566" s="78">
        <f>IF($A566="","",SUMIFS($I$5:$I$800,$A$5:$A$800,"&gt;="&amp;DATE(YEAR($A566),MONTH($A566),1),$A$5:$A$800,"&lt;="&amp;$A566)+IF(AND(YEAR($A566)=YEAR(Settings!$B$3),MONTH($A566)=MONTH(Settings!$B$3)),Settings!$B$13,0))</f>
        <v/>
      </c>
      <c r="R566" s="77">
        <f>IF($A566="","",N566+P566)</f>
        <v/>
      </c>
      <c r="S566" s="78">
        <f>IF($A566="","",O566+Q566)</f>
        <v/>
      </c>
    </row>
    <row r="567">
      <c r="A567" s="67" t="n"/>
      <c r="B567" s="75" t="n"/>
      <c r="C567" s="76" t="n"/>
      <c r="D567" s="75" t="n"/>
      <c r="E567" s="76" t="n"/>
      <c r="F567" s="75" t="n"/>
      <c r="G567" s="76" t="n"/>
      <c r="H567" s="75" t="n"/>
      <c r="I567" s="76" t="n"/>
      <c r="J567" s="77">
        <f>IF($A567="","",B567+D567+F567)</f>
        <v/>
      </c>
      <c r="K567" s="78">
        <f>IF($A567="","",C567+E567+G567)</f>
        <v/>
      </c>
      <c r="L567" s="79">
        <f>IF($A567="","",J567+H567)</f>
        <v/>
      </c>
      <c r="M567" s="80">
        <f>IF($A567="","",K567+I567)</f>
        <v/>
      </c>
      <c r="N567" s="77">
        <f>IF($A567="","",SUMIFS($J$5:$J$800,$A$5:$A$800,"&gt;="&amp;DATE(YEAR($A567),MONTH($A567),1),$A$5:$A$800,"&lt;="&amp;$A567)+IF(AND(YEAR($A567)=YEAR(Settings!$B$3),MONTH($A567)=MONTH(Settings!$B$3)),Settings!$B$10,0))</f>
        <v/>
      </c>
      <c r="O567" s="78">
        <f>IF($A567="","",SUMIFS($K$5:$K$800,$A$5:$A$800,"&gt;="&amp;DATE(YEAR($A567),MONTH($A567),1),$A$5:$A$800,"&lt;="&amp;$A567)+IF(AND(YEAR($A567)=YEAR(Settings!$B$3),MONTH($A567)=MONTH(Settings!$B$3)),Settings!$B$11,0))</f>
        <v/>
      </c>
      <c r="P567" s="77">
        <f>IF($A567="","",SUMIFS($H$5:$H$800,$A$5:$A$800,"&gt;="&amp;DATE(YEAR($A567),MONTH($A567),1),$A$5:$A$800,"&lt;="&amp;$A567)+IF(AND(YEAR($A567)=YEAR(Settings!$B$3),MONTH($A567)=MONTH(Settings!$B$3)),Settings!$B$12,0))</f>
        <v/>
      </c>
      <c r="Q567" s="78">
        <f>IF($A567="","",SUMIFS($I$5:$I$800,$A$5:$A$800,"&gt;="&amp;DATE(YEAR($A567),MONTH($A567),1),$A$5:$A$800,"&lt;="&amp;$A567)+IF(AND(YEAR($A567)=YEAR(Settings!$B$3),MONTH($A567)=MONTH(Settings!$B$3)),Settings!$B$13,0))</f>
        <v/>
      </c>
      <c r="R567" s="77">
        <f>IF($A567="","",N567+P567)</f>
        <v/>
      </c>
      <c r="S567" s="78">
        <f>IF($A567="","",O567+Q567)</f>
        <v/>
      </c>
    </row>
    <row r="568">
      <c r="A568" s="67" t="n"/>
      <c r="B568" s="75" t="n"/>
      <c r="C568" s="76" t="n"/>
      <c r="D568" s="75" t="n"/>
      <c r="E568" s="76" t="n"/>
      <c r="F568" s="75" t="n"/>
      <c r="G568" s="76" t="n"/>
      <c r="H568" s="75" t="n"/>
      <c r="I568" s="76" t="n"/>
      <c r="J568" s="77">
        <f>IF($A568="","",B568+D568+F568)</f>
        <v/>
      </c>
      <c r="K568" s="78">
        <f>IF($A568="","",C568+E568+G568)</f>
        <v/>
      </c>
      <c r="L568" s="79">
        <f>IF($A568="","",J568+H568)</f>
        <v/>
      </c>
      <c r="M568" s="80">
        <f>IF($A568="","",K568+I568)</f>
        <v/>
      </c>
      <c r="N568" s="77">
        <f>IF($A568="","",SUMIFS($J$5:$J$800,$A$5:$A$800,"&gt;="&amp;DATE(YEAR($A568),MONTH($A568),1),$A$5:$A$800,"&lt;="&amp;$A568)+IF(AND(YEAR($A568)=YEAR(Settings!$B$3),MONTH($A568)=MONTH(Settings!$B$3)),Settings!$B$10,0))</f>
        <v/>
      </c>
      <c r="O568" s="78">
        <f>IF($A568="","",SUMIFS($K$5:$K$800,$A$5:$A$800,"&gt;="&amp;DATE(YEAR($A568),MONTH($A568),1),$A$5:$A$800,"&lt;="&amp;$A568)+IF(AND(YEAR($A568)=YEAR(Settings!$B$3),MONTH($A568)=MONTH(Settings!$B$3)),Settings!$B$11,0))</f>
        <v/>
      </c>
      <c r="P568" s="77">
        <f>IF($A568="","",SUMIFS($H$5:$H$800,$A$5:$A$800,"&gt;="&amp;DATE(YEAR($A568),MONTH($A568),1),$A$5:$A$800,"&lt;="&amp;$A568)+IF(AND(YEAR($A568)=YEAR(Settings!$B$3),MONTH($A568)=MONTH(Settings!$B$3)),Settings!$B$12,0))</f>
        <v/>
      </c>
      <c r="Q568" s="78">
        <f>IF($A568="","",SUMIFS($I$5:$I$800,$A$5:$A$800,"&gt;="&amp;DATE(YEAR($A568),MONTH($A568),1),$A$5:$A$800,"&lt;="&amp;$A568)+IF(AND(YEAR($A568)=YEAR(Settings!$B$3),MONTH($A568)=MONTH(Settings!$B$3)),Settings!$B$13,0))</f>
        <v/>
      </c>
      <c r="R568" s="77">
        <f>IF($A568="","",N568+P568)</f>
        <v/>
      </c>
      <c r="S568" s="78">
        <f>IF($A568="","",O568+Q568)</f>
        <v/>
      </c>
    </row>
    <row r="569">
      <c r="A569" s="67" t="n"/>
      <c r="B569" s="75" t="n"/>
      <c r="C569" s="76" t="n"/>
      <c r="D569" s="75" t="n"/>
      <c r="E569" s="76" t="n"/>
      <c r="F569" s="75" t="n"/>
      <c r="G569" s="76" t="n"/>
      <c r="H569" s="75" t="n"/>
      <c r="I569" s="76" t="n"/>
      <c r="J569" s="77">
        <f>IF($A569="","",B569+D569+F569)</f>
        <v/>
      </c>
      <c r="K569" s="78">
        <f>IF($A569="","",C569+E569+G569)</f>
        <v/>
      </c>
      <c r="L569" s="79">
        <f>IF($A569="","",J569+H569)</f>
        <v/>
      </c>
      <c r="M569" s="80">
        <f>IF($A569="","",K569+I569)</f>
        <v/>
      </c>
      <c r="N569" s="77">
        <f>IF($A569="","",SUMIFS($J$5:$J$800,$A$5:$A$800,"&gt;="&amp;DATE(YEAR($A569),MONTH($A569),1),$A$5:$A$800,"&lt;="&amp;$A569)+IF(AND(YEAR($A569)=YEAR(Settings!$B$3),MONTH($A569)=MONTH(Settings!$B$3)),Settings!$B$10,0))</f>
        <v/>
      </c>
      <c r="O569" s="78">
        <f>IF($A569="","",SUMIFS($K$5:$K$800,$A$5:$A$800,"&gt;="&amp;DATE(YEAR($A569),MONTH($A569),1),$A$5:$A$800,"&lt;="&amp;$A569)+IF(AND(YEAR($A569)=YEAR(Settings!$B$3),MONTH($A569)=MONTH(Settings!$B$3)),Settings!$B$11,0))</f>
        <v/>
      </c>
      <c r="P569" s="77">
        <f>IF($A569="","",SUMIFS($H$5:$H$800,$A$5:$A$800,"&gt;="&amp;DATE(YEAR($A569),MONTH($A569),1),$A$5:$A$800,"&lt;="&amp;$A569)+IF(AND(YEAR($A569)=YEAR(Settings!$B$3),MONTH($A569)=MONTH(Settings!$B$3)),Settings!$B$12,0))</f>
        <v/>
      </c>
      <c r="Q569" s="78">
        <f>IF($A569="","",SUMIFS($I$5:$I$800,$A$5:$A$800,"&gt;="&amp;DATE(YEAR($A569),MONTH($A569),1),$A$5:$A$800,"&lt;="&amp;$A569)+IF(AND(YEAR($A569)=YEAR(Settings!$B$3),MONTH($A569)=MONTH(Settings!$B$3)),Settings!$B$13,0))</f>
        <v/>
      </c>
      <c r="R569" s="77">
        <f>IF($A569="","",N569+P569)</f>
        <v/>
      </c>
      <c r="S569" s="78">
        <f>IF($A569="","",O569+Q569)</f>
        <v/>
      </c>
    </row>
    <row r="570">
      <c r="A570" s="67" t="n"/>
      <c r="B570" s="75" t="n"/>
      <c r="C570" s="76" t="n"/>
      <c r="D570" s="75" t="n"/>
      <c r="E570" s="76" t="n"/>
      <c r="F570" s="75" t="n"/>
      <c r="G570" s="76" t="n"/>
      <c r="H570" s="75" t="n"/>
      <c r="I570" s="76" t="n"/>
      <c r="J570" s="77">
        <f>IF($A570="","",B570+D570+F570)</f>
        <v/>
      </c>
      <c r="K570" s="78">
        <f>IF($A570="","",C570+E570+G570)</f>
        <v/>
      </c>
      <c r="L570" s="79">
        <f>IF($A570="","",J570+H570)</f>
        <v/>
      </c>
      <c r="M570" s="80">
        <f>IF($A570="","",K570+I570)</f>
        <v/>
      </c>
      <c r="N570" s="77">
        <f>IF($A570="","",SUMIFS($J$5:$J$800,$A$5:$A$800,"&gt;="&amp;DATE(YEAR($A570),MONTH($A570),1),$A$5:$A$800,"&lt;="&amp;$A570)+IF(AND(YEAR($A570)=YEAR(Settings!$B$3),MONTH($A570)=MONTH(Settings!$B$3)),Settings!$B$10,0))</f>
        <v/>
      </c>
      <c r="O570" s="78">
        <f>IF($A570="","",SUMIFS($K$5:$K$800,$A$5:$A$800,"&gt;="&amp;DATE(YEAR($A570),MONTH($A570),1),$A$5:$A$800,"&lt;="&amp;$A570)+IF(AND(YEAR($A570)=YEAR(Settings!$B$3),MONTH($A570)=MONTH(Settings!$B$3)),Settings!$B$11,0))</f>
        <v/>
      </c>
      <c r="P570" s="77">
        <f>IF($A570="","",SUMIFS($H$5:$H$800,$A$5:$A$800,"&gt;="&amp;DATE(YEAR($A570),MONTH($A570),1),$A$5:$A$800,"&lt;="&amp;$A570)+IF(AND(YEAR($A570)=YEAR(Settings!$B$3),MONTH($A570)=MONTH(Settings!$B$3)),Settings!$B$12,0))</f>
        <v/>
      </c>
      <c r="Q570" s="78">
        <f>IF($A570="","",SUMIFS($I$5:$I$800,$A$5:$A$800,"&gt;="&amp;DATE(YEAR($A570),MONTH($A570),1),$A$5:$A$800,"&lt;="&amp;$A570)+IF(AND(YEAR($A570)=YEAR(Settings!$B$3),MONTH($A570)=MONTH(Settings!$B$3)),Settings!$B$13,0))</f>
        <v/>
      </c>
      <c r="R570" s="77">
        <f>IF($A570="","",N570+P570)</f>
        <v/>
      </c>
      <c r="S570" s="78">
        <f>IF($A570="","",O570+Q570)</f>
        <v/>
      </c>
    </row>
    <row r="571">
      <c r="A571" s="67" t="n"/>
      <c r="B571" s="75" t="n"/>
      <c r="C571" s="76" t="n"/>
      <c r="D571" s="75" t="n"/>
      <c r="E571" s="76" t="n"/>
      <c r="F571" s="75" t="n"/>
      <c r="G571" s="76" t="n"/>
      <c r="H571" s="75" t="n"/>
      <c r="I571" s="76" t="n"/>
      <c r="J571" s="77">
        <f>IF($A571="","",B571+D571+F571)</f>
        <v/>
      </c>
      <c r="K571" s="78">
        <f>IF($A571="","",C571+E571+G571)</f>
        <v/>
      </c>
      <c r="L571" s="79">
        <f>IF($A571="","",J571+H571)</f>
        <v/>
      </c>
      <c r="M571" s="80">
        <f>IF($A571="","",K571+I571)</f>
        <v/>
      </c>
      <c r="N571" s="77">
        <f>IF($A571="","",SUMIFS($J$5:$J$800,$A$5:$A$800,"&gt;="&amp;DATE(YEAR($A571),MONTH($A571),1),$A$5:$A$800,"&lt;="&amp;$A571)+IF(AND(YEAR($A571)=YEAR(Settings!$B$3),MONTH($A571)=MONTH(Settings!$B$3)),Settings!$B$10,0))</f>
        <v/>
      </c>
      <c r="O571" s="78">
        <f>IF($A571="","",SUMIFS($K$5:$K$800,$A$5:$A$800,"&gt;="&amp;DATE(YEAR($A571),MONTH($A571),1),$A$5:$A$800,"&lt;="&amp;$A571)+IF(AND(YEAR($A571)=YEAR(Settings!$B$3),MONTH($A571)=MONTH(Settings!$B$3)),Settings!$B$11,0))</f>
        <v/>
      </c>
      <c r="P571" s="77">
        <f>IF($A571="","",SUMIFS($H$5:$H$800,$A$5:$A$800,"&gt;="&amp;DATE(YEAR($A571),MONTH($A571),1),$A$5:$A$800,"&lt;="&amp;$A571)+IF(AND(YEAR($A571)=YEAR(Settings!$B$3),MONTH($A571)=MONTH(Settings!$B$3)),Settings!$B$12,0))</f>
        <v/>
      </c>
      <c r="Q571" s="78">
        <f>IF($A571="","",SUMIFS($I$5:$I$800,$A$5:$A$800,"&gt;="&amp;DATE(YEAR($A571),MONTH($A571),1),$A$5:$A$800,"&lt;="&amp;$A571)+IF(AND(YEAR($A571)=YEAR(Settings!$B$3),MONTH($A571)=MONTH(Settings!$B$3)),Settings!$B$13,0))</f>
        <v/>
      </c>
      <c r="R571" s="77">
        <f>IF($A571="","",N571+P571)</f>
        <v/>
      </c>
      <c r="S571" s="78">
        <f>IF($A571="","",O571+Q571)</f>
        <v/>
      </c>
    </row>
    <row r="572">
      <c r="A572" s="67" t="n"/>
      <c r="B572" s="75" t="n"/>
      <c r="C572" s="76" t="n"/>
      <c r="D572" s="75" t="n"/>
      <c r="E572" s="76" t="n"/>
      <c r="F572" s="75" t="n"/>
      <c r="G572" s="76" t="n"/>
      <c r="H572" s="75" t="n"/>
      <c r="I572" s="76" t="n"/>
      <c r="J572" s="77">
        <f>IF($A572="","",B572+D572+F572)</f>
        <v/>
      </c>
      <c r="K572" s="78">
        <f>IF($A572="","",C572+E572+G572)</f>
        <v/>
      </c>
      <c r="L572" s="79">
        <f>IF($A572="","",J572+H572)</f>
        <v/>
      </c>
      <c r="M572" s="80">
        <f>IF($A572="","",K572+I572)</f>
        <v/>
      </c>
      <c r="N572" s="77">
        <f>IF($A572="","",SUMIFS($J$5:$J$800,$A$5:$A$800,"&gt;="&amp;DATE(YEAR($A572),MONTH($A572),1),$A$5:$A$800,"&lt;="&amp;$A572)+IF(AND(YEAR($A572)=YEAR(Settings!$B$3),MONTH($A572)=MONTH(Settings!$B$3)),Settings!$B$10,0))</f>
        <v/>
      </c>
      <c r="O572" s="78">
        <f>IF($A572="","",SUMIFS($K$5:$K$800,$A$5:$A$800,"&gt;="&amp;DATE(YEAR($A572),MONTH($A572),1),$A$5:$A$800,"&lt;="&amp;$A572)+IF(AND(YEAR($A572)=YEAR(Settings!$B$3),MONTH($A572)=MONTH(Settings!$B$3)),Settings!$B$11,0))</f>
        <v/>
      </c>
      <c r="P572" s="77">
        <f>IF($A572="","",SUMIFS($H$5:$H$800,$A$5:$A$800,"&gt;="&amp;DATE(YEAR($A572),MONTH($A572),1),$A$5:$A$800,"&lt;="&amp;$A572)+IF(AND(YEAR($A572)=YEAR(Settings!$B$3),MONTH($A572)=MONTH(Settings!$B$3)),Settings!$B$12,0))</f>
        <v/>
      </c>
      <c r="Q572" s="78">
        <f>IF($A572="","",SUMIFS($I$5:$I$800,$A$5:$A$800,"&gt;="&amp;DATE(YEAR($A572),MONTH($A572),1),$A$5:$A$800,"&lt;="&amp;$A572)+IF(AND(YEAR($A572)=YEAR(Settings!$B$3),MONTH($A572)=MONTH(Settings!$B$3)),Settings!$B$13,0))</f>
        <v/>
      </c>
      <c r="R572" s="77">
        <f>IF($A572="","",N572+P572)</f>
        <v/>
      </c>
      <c r="S572" s="78">
        <f>IF($A572="","",O572+Q572)</f>
        <v/>
      </c>
    </row>
    <row r="573">
      <c r="A573" s="67" t="n"/>
      <c r="B573" s="75" t="n"/>
      <c r="C573" s="76" t="n"/>
      <c r="D573" s="75" t="n"/>
      <c r="E573" s="76" t="n"/>
      <c r="F573" s="75" t="n"/>
      <c r="G573" s="76" t="n"/>
      <c r="H573" s="75" t="n"/>
      <c r="I573" s="76" t="n"/>
      <c r="J573" s="77">
        <f>IF($A573="","",B573+D573+F573)</f>
        <v/>
      </c>
      <c r="K573" s="78">
        <f>IF($A573="","",C573+E573+G573)</f>
        <v/>
      </c>
      <c r="L573" s="79">
        <f>IF($A573="","",J573+H573)</f>
        <v/>
      </c>
      <c r="M573" s="80">
        <f>IF($A573="","",K573+I573)</f>
        <v/>
      </c>
      <c r="N573" s="77">
        <f>IF($A573="","",SUMIFS($J$5:$J$800,$A$5:$A$800,"&gt;="&amp;DATE(YEAR($A573),MONTH($A573),1),$A$5:$A$800,"&lt;="&amp;$A573)+IF(AND(YEAR($A573)=YEAR(Settings!$B$3),MONTH($A573)=MONTH(Settings!$B$3)),Settings!$B$10,0))</f>
        <v/>
      </c>
      <c r="O573" s="78">
        <f>IF($A573="","",SUMIFS($K$5:$K$800,$A$5:$A$800,"&gt;="&amp;DATE(YEAR($A573),MONTH($A573),1),$A$5:$A$800,"&lt;="&amp;$A573)+IF(AND(YEAR($A573)=YEAR(Settings!$B$3),MONTH($A573)=MONTH(Settings!$B$3)),Settings!$B$11,0))</f>
        <v/>
      </c>
      <c r="P573" s="77">
        <f>IF($A573="","",SUMIFS($H$5:$H$800,$A$5:$A$800,"&gt;="&amp;DATE(YEAR($A573),MONTH($A573),1),$A$5:$A$800,"&lt;="&amp;$A573)+IF(AND(YEAR($A573)=YEAR(Settings!$B$3),MONTH($A573)=MONTH(Settings!$B$3)),Settings!$B$12,0))</f>
        <v/>
      </c>
      <c r="Q573" s="78">
        <f>IF($A573="","",SUMIFS($I$5:$I$800,$A$5:$A$800,"&gt;="&amp;DATE(YEAR($A573),MONTH($A573),1),$A$5:$A$800,"&lt;="&amp;$A573)+IF(AND(YEAR($A573)=YEAR(Settings!$B$3),MONTH($A573)=MONTH(Settings!$B$3)),Settings!$B$13,0))</f>
        <v/>
      </c>
      <c r="R573" s="77">
        <f>IF($A573="","",N573+P573)</f>
        <v/>
      </c>
      <c r="S573" s="78">
        <f>IF($A573="","",O573+Q573)</f>
        <v/>
      </c>
    </row>
    <row r="574">
      <c r="A574" s="67" t="n"/>
      <c r="B574" s="75" t="n"/>
      <c r="C574" s="76" t="n"/>
      <c r="D574" s="75" t="n"/>
      <c r="E574" s="76" t="n"/>
      <c r="F574" s="75" t="n"/>
      <c r="G574" s="76" t="n"/>
      <c r="H574" s="75" t="n"/>
      <c r="I574" s="76" t="n"/>
      <c r="J574" s="77">
        <f>IF($A574="","",B574+D574+F574)</f>
        <v/>
      </c>
      <c r="K574" s="78">
        <f>IF($A574="","",C574+E574+G574)</f>
        <v/>
      </c>
      <c r="L574" s="79">
        <f>IF($A574="","",J574+H574)</f>
        <v/>
      </c>
      <c r="M574" s="80">
        <f>IF($A574="","",K574+I574)</f>
        <v/>
      </c>
      <c r="N574" s="77">
        <f>IF($A574="","",SUMIFS($J$5:$J$800,$A$5:$A$800,"&gt;="&amp;DATE(YEAR($A574),MONTH($A574),1),$A$5:$A$800,"&lt;="&amp;$A574)+IF(AND(YEAR($A574)=YEAR(Settings!$B$3),MONTH($A574)=MONTH(Settings!$B$3)),Settings!$B$10,0))</f>
        <v/>
      </c>
      <c r="O574" s="78">
        <f>IF($A574="","",SUMIFS($K$5:$K$800,$A$5:$A$800,"&gt;="&amp;DATE(YEAR($A574),MONTH($A574),1),$A$5:$A$800,"&lt;="&amp;$A574)+IF(AND(YEAR($A574)=YEAR(Settings!$B$3),MONTH($A574)=MONTH(Settings!$B$3)),Settings!$B$11,0))</f>
        <v/>
      </c>
      <c r="P574" s="77">
        <f>IF($A574="","",SUMIFS($H$5:$H$800,$A$5:$A$800,"&gt;="&amp;DATE(YEAR($A574),MONTH($A574),1),$A$5:$A$800,"&lt;="&amp;$A574)+IF(AND(YEAR($A574)=YEAR(Settings!$B$3),MONTH($A574)=MONTH(Settings!$B$3)),Settings!$B$12,0))</f>
        <v/>
      </c>
      <c r="Q574" s="78">
        <f>IF($A574="","",SUMIFS($I$5:$I$800,$A$5:$A$800,"&gt;="&amp;DATE(YEAR($A574),MONTH($A574),1),$A$5:$A$800,"&lt;="&amp;$A574)+IF(AND(YEAR($A574)=YEAR(Settings!$B$3),MONTH($A574)=MONTH(Settings!$B$3)),Settings!$B$13,0))</f>
        <v/>
      </c>
      <c r="R574" s="77">
        <f>IF($A574="","",N574+P574)</f>
        <v/>
      </c>
      <c r="S574" s="78">
        <f>IF($A574="","",O574+Q574)</f>
        <v/>
      </c>
    </row>
    <row r="575">
      <c r="A575" s="67" t="n"/>
      <c r="B575" s="75" t="n"/>
      <c r="C575" s="76" t="n"/>
      <c r="D575" s="75" t="n"/>
      <c r="E575" s="76" t="n"/>
      <c r="F575" s="75" t="n"/>
      <c r="G575" s="76" t="n"/>
      <c r="H575" s="75" t="n"/>
      <c r="I575" s="76" t="n"/>
      <c r="J575" s="77">
        <f>IF($A575="","",B575+D575+F575)</f>
        <v/>
      </c>
      <c r="K575" s="78">
        <f>IF($A575="","",C575+E575+G575)</f>
        <v/>
      </c>
      <c r="L575" s="79">
        <f>IF($A575="","",J575+H575)</f>
        <v/>
      </c>
      <c r="M575" s="80">
        <f>IF($A575="","",K575+I575)</f>
        <v/>
      </c>
      <c r="N575" s="77">
        <f>IF($A575="","",SUMIFS($J$5:$J$800,$A$5:$A$800,"&gt;="&amp;DATE(YEAR($A575),MONTH($A575),1),$A$5:$A$800,"&lt;="&amp;$A575)+IF(AND(YEAR($A575)=YEAR(Settings!$B$3),MONTH($A575)=MONTH(Settings!$B$3)),Settings!$B$10,0))</f>
        <v/>
      </c>
      <c r="O575" s="78">
        <f>IF($A575="","",SUMIFS($K$5:$K$800,$A$5:$A$800,"&gt;="&amp;DATE(YEAR($A575),MONTH($A575),1),$A$5:$A$800,"&lt;="&amp;$A575)+IF(AND(YEAR($A575)=YEAR(Settings!$B$3),MONTH($A575)=MONTH(Settings!$B$3)),Settings!$B$11,0))</f>
        <v/>
      </c>
      <c r="P575" s="77">
        <f>IF($A575="","",SUMIFS($H$5:$H$800,$A$5:$A$800,"&gt;="&amp;DATE(YEAR($A575),MONTH($A575),1),$A$5:$A$800,"&lt;="&amp;$A575)+IF(AND(YEAR($A575)=YEAR(Settings!$B$3),MONTH($A575)=MONTH(Settings!$B$3)),Settings!$B$12,0))</f>
        <v/>
      </c>
      <c r="Q575" s="78">
        <f>IF($A575="","",SUMIFS($I$5:$I$800,$A$5:$A$800,"&gt;="&amp;DATE(YEAR($A575),MONTH($A575),1),$A$5:$A$800,"&lt;="&amp;$A575)+IF(AND(YEAR($A575)=YEAR(Settings!$B$3),MONTH($A575)=MONTH(Settings!$B$3)),Settings!$B$13,0))</f>
        <v/>
      </c>
      <c r="R575" s="77">
        <f>IF($A575="","",N575+P575)</f>
        <v/>
      </c>
      <c r="S575" s="78">
        <f>IF($A575="","",O575+Q575)</f>
        <v/>
      </c>
    </row>
    <row r="576">
      <c r="A576" s="67" t="n"/>
      <c r="B576" s="75" t="n"/>
      <c r="C576" s="76" t="n"/>
      <c r="D576" s="75" t="n"/>
      <c r="E576" s="76" t="n"/>
      <c r="F576" s="75" t="n"/>
      <c r="G576" s="76" t="n"/>
      <c r="H576" s="75" t="n"/>
      <c r="I576" s="76" t="n"/>
      <c r="J576" s="77">
        <f>IF($A576="","",B576+D576+F576)</f>
        <v/>
      </c>
      <c r="K576" s="78">
        <f>IF($A576="","",C576+E576+G576)</f>
        <v/>
      </c>
      <c r="L576" s="79">
        <f>IF($A576="","",J576+H576)</f>
        <v/>
      </c>
      <c r="M576" s="80">
        <f>IF($A576="","",K576+I576)</f>
        <v/>
      </c>
      <c r="N576" s="77">
        <f>IF($A576="","",SUMIFS($J$5:$J$800,$A$5:$A$800,"&gt;="&amp;DATE(YEAR($A576),MONTH($A576),1),$A$5:$A$800,"&lt;="&amp;$A576)+IF(AND(YEAR($A576)=YEAR(Settings!$B$3),MONTH($A576)=MONTH(Settings!$B$3)),Settings!$B$10,0))</f>
        <v/>
      </c>
      <c r="O576" s="78">
        <f>IF($A576="","",SUMIFS($K$5:$K$800,$A$5:$A$800,"&gt;="&amp;DATE(YEAR($A576),MONTH($A576),1),$A$5:$A$800,"&lt;="&amp;$A576)+IF(AND(YEAR($A576)=YEAR(Settings!$B$3),MONTH($A576)=MONTH(Settings!$B$3)),Settings!$B$11,0))</f>
        <v/>
      </c>
      <c r="P576" s="77">
        <f>IF($A576="","",SUMIFS($H$5:$H$800,$A$5:$A$800,"&gt;="&amp;DATE(YEAR($A576),MONTH($A576),1),$A$5:$A$800,"&lt;="&amp;$A576)+IF(AND(YEAR($A576)=YEAR(Settings!$B$3),MONTH($A576)=MONTH(Settings!$B$3)),Settings!$B$12,0))</f>
        <v/>
      </c>
      <c r="Q576" s="78">
        <f>IF($A576="","",SUMIFS($I$5:$I$800,$A$5:$A$800,"&gt;="&amp;DATE(YEAR($A576),MONTH($A576),1),$A$5:$A$800,"&lt;="&amp;$A576)+IF(AND(YEAR($A576)=YEAR(Settings!$B$3),MONTH($A576)=MONTH(Settings!$B$3)),Settings!$B$13,0))</f>
        <v/>
      </c>
      <c r="R576" s="77">
        <f>IF($A576="","",N576+P576)</f>
        <v/>
      </c>
      <c r="S576" s="78">
        <f>IF($A576="","",O576+Q576)</f>
        <v/>
      </c>
    </row>
    <row r="577">
      <c r="A577" s="67" t="n"/>
      <c r="B577" s="75" t="n"/>
      <c r="C577" s="76" t="n"/>
      <c r="D577" s="75" t="n"/>
      <c r="E577" s="76" t="n"/>
      <c r="F577" s="75" t="n"/>
      <c r="G577" s="76" t="n"/>
      <c r="H577" s="75" t="n"/>
      <c r="I577" s="76" t="n"/>
      <c r="J577" s="77">
        <f>IF($A577="","",B577+D577+F577)</f>
        <v/>
      </c>
      <c r="K577" s="78">
        <f>IF($A577="","",C577+E577+G577)</f>
        <v/>
      </c>
      <c r="L577" s="79">
        <f>IF($A577="","",J577+H577)</f>
        <v/>
      </c>
      <c r="M577" s="80">
        <f>IF($A577="","",K577+I577)</f>
        <v/>
      </c>
      <c r="N577" s="77">
        <f>IF($A577="","",SUMIFS($J$5:$J$800,$A$5:$A$800,"&gt;="&amp;DATE(YEAR($A577),MONTH($A577),1),$A$5:$A$800,"&lt;="&amp;$A577)+IF(AND(YEAR($A577)=YEAR(Settings!$B$3),MONTH($A577)=MONTH(Settings!$B$3)),Settings!$B$10,0))</f>
        <v/>
      </c>
      <c r="O577" s="78">
        <f>IF($A577="","",SUMIFS($K$5:$K$800,$A$5:$A$800,"&gt;="&amp;DATE(YEAR($A577),MONTH($A577),1),$A$5:$A$800,"&lt;="&amp;$A577)+IF(AND(YEAR($A577)=YEAR(Settings!$B$3),MONTH($A577)=MONTH(Settings!$B$3)),Settings!$B$11,0))</f>
        <v/>
      </c>
      <c r="P577" s="77">
        <f>IF($A577="","",SUMIFS($H$5:$H$800,$A$5:$A$800,"&gt;="&amp;DATE(YEAR($A577),MONTH($A577),1),$A$5:$A$800,"&lt;="&amp;$A577)+IF(AND(YEAR($A577)=YEAR(Settings!$B$3),MONTH($A577)=MONTH(Settings!$B$3)),Settings!$B$12,0))</f>
        <v/>
      </c>
      <c r="Q577" s="78">
        <f>IF($A577="","",SUMIFS($I$5:$I$800,$A$5:$A$800,"&gt;="&amp;DATE(YEAR($A577),MONTH($A577),1),$A$5:$A$800,"&lt;="&amp;$A577)+IF(AND(YEAR($A577)=YEAR(Settings!$B$3),MONTH($A577)=MONTH(Settings!$B$3)),Settings!$B$13,0))</f>
        <v/>
      </c>
      <c r="R577" s="77">
        <f>IF($A577="","",N577+P577)</f>
        <v/>
      </c>
      <c r="S577" s="78">
        <f>IF($A577="","",O577+Q577)</f>
        <v/>
      </c>
    </row>
    <row r="578">
      <c r="A578" s="67" t="n"/>
      <c r="B578" s="75" t="n"/>
      <c r="C578" s="76" t="n"/>
      <c r="D578" s="75" t="n"/>
      <c r="E578" s="76" t="n"/>
      <c r="F578" s="75" t="n"/>
      <c r="G578" s="76" t="n"/>
      <c r="H578" s="75" t="n"/>
      <c r="I578" s="76" t="n"/>
      <c r="J578" s="77">
        <f>IF($A578="","",B578+D578+F578)</f>
        <v/>
      </c>
      <c r="K578" s="78">
        <f>IF($A578="","",C578+E578+G578)</f>
        <v/>
      </c>
      <c r="L578" s="79">
        <f>IF($A578="","",J578+H578)</f>
        <v/>
      </c>
      <c r="M578" s="80">
        <f>IF($A578="","",K578+I578)</f>
        <v/>
      </c>
      <c r="N578" s="77">
        <f>IF($A578="","",SUMIFS($J$5:$J$800,$A$5:$A$800,"&gt;="&amp;DATE(YEAR($A578),MONTH($A578),1),$A$5:$A$800,"&lt;="&amp;$A578)+IF(AND(YEAR($A578)=YEAR(Settings!$B$3),MONTH($A578)=MONTH(Settings!$B$3)),Settings!$B$10,0))</f>
        <v/>
      </c>
      <c r="O578" s="78">
        <f>IF($A578="","",SUMIFS($K$5:$K$800,$A$5:$A$800,"&gt;="&amp;DATE(YEAR($A578),MONTH($A578),1),$A$5:$A$800,"&lt;="&amp;$A578)+IF(AND(YEAR($A578)=YEAR(Settings!$B$3),MONTH($A578)=MONTH(Settings!$B$3)),Settings!$B$11,0))</f>
        <v/>
      </c>
      <c r="P578" s="77">
        <f>IF($A578="","",SUMIFS($H$5:$H$800,$A$5:$A$800,"&gt;="&amp;DATE(YEAR($A578),MONTH($A578),1),$A$5:$A$800,"&lt;="&amp;$A578)+IF(AND(YEAR($A578)=YEAR(Settings!$B$3),MONTH($A578)=MONTH(Settings!$B$3)),Settings!$B$12,0))</f>
        <v/>
      </c>
      <c r="Q578" s="78">
        <f>IF($A578="","",SUMIFS($I$5:$I$800,$A$5:$A$800,"&gt;="&amp;DATE(YEAR($A578),MONTH($A578),1),$A$5:$A$800,"&lt;="&amp;$A578)+IF(AND(YEAR($A578)=YEAR(Settings!$B$3),MONTH($A578)=MONTH(Settings!$B$3)),Settings!$B$13,0))</f>
        <v/>
      </c>
      <c r="R578" s="77">
        <f>IF($A578="","",N578+P578)</f>
        <v/>
      </c>
      <c r="S578" s="78">
        <f>IF($A578="","",O578+Q578)</f>
        <v/>
      </c>
    </row>
    <row r="579">
      <c r="A579" s="67" t="n"/>
      <c r="B579" s="75" t="n"/>
      <c r="C579" s="76" t="n"/>
      <c r="D579" s="75" t="n"/>
      <c r="E579" s="76" t="n"/>
      <c r="F579" s="75" t="n"/>
      <c r="G579" s="76" t="n"/>
      <c r="H579" s="75" t="n"/>
      <c r="I579" s="76" t="n"/>
      <c r="J579" s="77">
        <f>IF($A579="","",B579+D579+F579)</f>
        <v/>
      </c>
      <c r="K579" s="78">
        <f>IF($A579="","",C579+E579+G579)</f>
        <v/>
      </c>
      <c r="L579" s="79">
        <f>IF($A579="","",J579+H579)</f>
        <v/>
      </c>
      <c r="M579" s="80">
        <f>IF($A579="","",K579+I579)</f>
        <v/>
      </c>
      <c r="N579" s="77">
        <f>IF($A579="","",SUMIFS($J$5:$J$800,$A$5:$A$800,"&gt;="&amp;DATE(YEAR($A579),MONTH($A579),1),$A$5:$A$800,"&lt;="&amp;$A579)+IF(AND(YEAR($A579)=YEAR(Settings!$B$3),MONTH($A579)=MONTH(Settings!$B$3)),Settings!$B$10,0))</f>
        <v/>
      </c>
      <c r="O579" s="78">
        <f>IF($A579="","",SUMIFS($K$5:$K$800,$A$5:$A$800,"&gt;="&amp;DATE(YEAR($A579),MONTH($A579),1),$A$5:$A$800,"&lt;="&amp;$A579)+IF(AND(YEAR($A579)=YEAR(Settings!$B$3),MONTH($A579)=MONTH(Settings!$B$3)),Settings!$B$11,0))</f>
        <v/>
      </c>
      <c r="P579" s="77">
        <f>IF($A579="","",SUMIFS($H$5:$H$800,$A$5:$A$800,"&gt;="&amp;DATE(YEAR($A579),MONTH($A579),1),$A$5:$A$800,"&lt;="&amp;$A579)+IF(AND(YEAR($A579)=YEAR(Settings!$B$3),MONTH($A579)=MONTH(Settings!$B$3)),Settings!$B$12,0))</f>
        <v/>
      </c>
      <c r="Q579" s="78">
        <f>IF($A579="","",SUMIFS($I$5:$I$800,$A$5:$A$800,"&gt;="&amp;DATE(YEAR($A579),MONTH($A579),1),$A$5:$A$800,"&lt;="&amp;$A579)+IF(AND(YEAR($A579)=YEAR(Settings!$B$3),MONTH($A579)=MONTH(Settings!$B$3)),Settings!$B$13,0))</f>
        <v/>
      </c>
      <c r="R579" s="77">
        <f>IF($A579="","",N579+P579)</f>
        <v/>
      </c>
      <c r="S579" s="78">
        <f>IF($A579="","",O579+Q579)</f>
        <v/>
      </c>
    </row>
    <row r="580">
      <c r="A580" s="67" t="n"/>
      <c r="B580" s="75" t="n"/>
      <c r="C580" s="76" t="n"/>
      <c r="D580" s="75" t="n"/>
      <c r="E580" s="76" t="n"/>
      <c r="F580" s="75" t="n"/>
      <c r="G580" s="76" t="n"/>
      <c r="H580" s="75" t="n"/>
      <c r="I580" s="76" t="n"/>
      <c r="J580" s="77">
        <f>IF($A580="","",B580+D580+F580)</f>
        <v/>
      </c>
      <c r="K580" s="78">
        <f>IF($A580="","",C580+E580+G580)</f>
        <v/>
      </c>
      <c r="L580" s="79">
        <f>IF($A580="","",J580+H580)</f>
        <v/>
      </c>
      <c r="M580" s="80">
        <f>IF($A580="","",K580+I580)</f>
        <v/>
      </c>
      <c r="N580" s="77">
        <f>IF($A580="","",SUMIFS($J$5:$J$800,$A$5:$A$800,"&gt;="&amp;DATE(YEAR($A580),MONTH($A580),1),$A$5:$A$800,"&lt;="&amp;$A580)+IF(AND(YEAR($A580)=YEAR(Settings!$B$3),MONTH($A580)=MONTH(Settings!$B$3)),Settings!$B$10,0))</f>
        <v/>
      </c>
      <c r="O580" s="78">
        <f>IF($A580="","",SUMIFS($K$5:$K$800,$A$5:$A$800,"&gt;="&amp;DATE(YEAR($A580),MONTH($A580),1),$A$5:$A$800,"&lt;="&amp;$A580)+IF(AND(YEAR($A580)=YEAR(Settings!$B$3),MONTH($A580)=MONTH(Settings!$B$3)),Settings!$B$11,0))</f>
        <v/>
      </c>
      <c r="P580" s="77">
        <f>IF($A580="","",SUMIFS($H$5:$H$800,$A$5:$A$800,"&gt;="&amp;DATE(YEAR($A580),MONTH($A580),1),$A$5:$A$800,"&lt;="&amp;$A580)+IF(AND(YEAR($A580)=YEAR(Settings!$B$3),MONTH($A580)=MONTH(Settings!$B$3)),Settings!$B$12,0))</f>
        <v/>
      </c>
      <c r="Q580" s="78">
        <f>IF($A580="","",SUMIFS($I$5:$I$800,$A$5:$A$800,"&gt;="&amp;DATE(YEAR($A580),MONTH($A580),1),$A$5:$A$800,"&lt;="&amp;$A580)+IF(AND(YEAR($A580)=YEAR(Settings!$B$3),MONTH($A580)=MONTH(Settings!$B$3)),Settings!$B$13,0))</f>
        <v/>
      </c>
      <c r="R580" s="77">
        <f>IF($A580="","",N580+P580)</f>
        <v/>
      </c>
      <c r="S580" s="78">
        <f>IF($A580="","",O580+Q580)</f>
        <v/>
      </c>
    </row>
    <row r="581">
      <c r="A581" s="67" t="n"/>
      <c r="B581" s="75" t="n"/>
      <c r="C581" s="76" t="n"/>
      <c r="D581" s="75" t="n"/>
      <c r="E581" s="76" t="n"/>
      <c r="F581" s="75" t="n"/>
      <c r="G581" s="76" t="n"/>
      <c r="H581" s="75" t="n"/>
      <c r="I581" s="76" t="n"/>
      <c r="J581" s="77">
        <f>IF($A581="","",B581+D581+F581)</f>
        <v/>
      </c>
      <c r="K581" s="78">
        <f>IF($A581="","",C581+E581+G581)</f>
        <v/>
      </c>
      <c r="L581" s="79">
        <f>IF($A581="","",J581+H581)</f>
        <v/>
      </c>
      <c r="M581" s="80">
        <f>IF($A581="","",K581+I581)</f>
        <v/>
      </c>
      <c r="N581" s="77">
        <f>IF($A581="","",SUMIFS($J$5:$J$800,$A$5:$A$800,"&gt;="&amp;DATE(YEAR($A581),MONTH($A581),1),$A$5:$A$800,"&lt;="&amp;$A581)+IF(AND(YEAR($A581)=YEAR(Settings!$B$3),MONTH($A581)=MONTH(Settings!$B$3)),Settings!$B$10,0))</f>
        <v/>
      </c>
      <c r="O581" s="78">
        <f>IF($A581="","",SUMIFS($K$5:$K$800,$A$5:$A$800,"&gt;="&amp;DATE(YEAR($A581),MONTH($A581),1),$A$5:$A$800,"&lt;="&amp;$A581)+IF(AND(YEAR($A581)=YEAR(Settings!$B$3),MONTH($A581)=MONTH(Settings!$B$3)),Settings!$B$11,0))</f>
        <v/>
      </c>
      <c r="P581" s="77">
        <f>IF($A581="","",SUMIFS($H$5:$H$800,$A$5:$A$800,"&gt;="&amp;DATE(YEAR($A581),MONTH($A581),1),$A$5:$A$800,"&lt;="&amp;$A581)+IF(AND(YEAR($A581)=YEAR(Settings!$B$3),MONTH($A581)=MONTH(Settings!$B$3)),Settings!$B$12,0))</f>
        <v/>
      </c>
      <c r="Q581" s="78">
        <f>IF($A581="","",SUMIFS($I$5:$I$800,$A$5:$A$800,"&gt;="&amp;DATE(YEAR($A581),MONTH($A581),1),$A$5:$A$800,"&lt;="&amp;$A581)+IF(AND(YEAR($A581)=YEAR(Settings!$B$3),MONTH($A581)=MONTH(Settings!$B$3)),Settings!$B$13,0))</f>
        <v/>
      </c>
      <c r="R581" s="77">
        <f>IF($A581="","",N581+P581)</f>
        <v/>
      </c>
      <c r="S581" s="78">
        <f>IF($A581="","",O581+Q581)</f>
        <v/>
      </c>
    </row>
    <row r="582">
      <c r="A582" s="67" t="n"/>
      <c r="B582" s="75" t="n"/>
      <c r="C582" s="76" t="n"/>
      <c r="D582" s="75" t="n"/>
      <c r="E582" s="76" t="n"/>
      <c r="F582" s="75" t="n"/>
      <c r="G582" s="76" t="n"/>
      <c r="H582" s="75" t="n"/>
      <c r="I582" s="76" t="n"/>
      <c r="J582" s="77">
        <f>IF($A582="","",B582+D582+F582)</f>
        <v/>
      </c>
      <c r="K582" s="78">
        <f>IF($A582="","",C582+E582+G582)</f>
        <v/>
      </c>
      <c r="L582" s="79">
        <f>IF($A582="","",J582+H582)</f>
        <v/>
      </c>
      <c r="M582" s="80">
        <f>IF($A582="","",K582+I582)</f>
        <v/>
      </c>
      <c r="N582" s="77">
        <f>IF($A582="","",SUMIFS($J$5:$J$800,$A$5:$A$800,"&gt;="&amp;DATE(YEAR($A582),MONTH($A582),1),$A$5:$A$800,"&lt;="&amp;$A582)+IF(AND(YEAR($A582)=YEAR(Settings!$B$3),MONTH($A582)=MONTH(Settings!$B$3)),Settings!$B$10,0))</f>
        <v/>
      </c>
      <c r="O582" s="78">
        <f>IF($A582="","",SUMIFS($K$5:$K$800,$A$5:$A$800,"&gt;="&amp;DATE(YEAR($A582),MONTH($A582),1),$A$5:$A$800,"&lt;="&amp;$A582)+IF(AND(YEAR($A582)=YEAR(Settings!$B$3),MONTH($A582)=MONTH(Settings!$B$3)),Settings!$B$11,0))</f>
        <v/>
      </c>
      <c r="P582" s="77">
        <f>IF($A582="","",SUMIFS($H$5:$H$800,$A$5:$A$800,"&gt;="&amp;DATE(YEAR($A582),MONTH($A582),1),$A$5:$A$800,"&lt;="&amp;$A582)+IF(AND(YEAR($A582)=YEAR(Settings!$B$3),MONTH($A582)=MONTH(Settings!$B$3)),Settings!$B$12,0))</f>
        <v/>
      </c>
      <c r="Q582" s="78">
        <f>IF($A582="","",SUMIFS($I$5:$I$800,$A$5:$A$800,"&gt;="&amp;DATE(YEAR($A582),MONTH($A582),1),$A$5:$A$800,"&lt;="&amp;$A582)+IF(AND(YEAR($A582)=YEAR(Settings!$B$3),MONTH($A582)=MONTH(Settings!$B$3)),Settings!$B$13,0))</f>
        <v/>
      </c>
      <c r="R582" s="77">
        <f>IF($A582="","",N582+P582)</f>
        <v/>
      </c>
      <c r="S582" s="78">
        <f>IF($A582="","",O582+Q582)</f>
        <v/>
      </c>
    </row>
    <row r="583">
      <c r="A583" s="67" t="n"/>
      <c r="B583" s="75" t="n"/>
      <c r="C583" s="76" t="n"/>
      <c r="D583" s="75" t="n"/>
      <c r="E583" s="76" t="n"/>
      <c r="F583" s="75" t="n"/>
      <c r="G583" s="76" t="n"/>
      <c r="H583" s="75" t="n"/>
      <c r="I583" s="76" t="n"/>
      <c r="J583" s="77">
        <f>IF($A583="","",B583+D583+F583)</f>
        <v/>
      </c>
      <c r="K583" s="78">
        <f>IF($A583="","",C583+E583+G583)</f>
        <v/>
      </c>
      <c r="L583" s="79">
        <f>IF($A583="","",J583+H583)</f>
        <v/>
      </c>
      <c r="M583" s="80">
        <f>IF($A583="","",K583+I583)</f>
        <v/>
      </c>
      <c r="N583" s="77">
        <f>IF($A583="","",SUMIFS($J$5:$J$800,$A$5:$A$800,"&gt;="&amp;DATE(YEAR($A583),MONTH($A583),1),$A$5:$A$800,"&lt;="&amp;$A583)+IF(AND(YEAR($A583)=YEAR(Settings!$B$3),MONTH($A583)=MONTH(Settings!$B$3)),Settings!$B$10,0))</f>
        <v/>
      </c>
      <c r="O583" s="78">
        <f>IF($A583="","",SUMIFS($K$5:$K$800,$A$5:$A$800,"&gt;="&amp;DATE(YEAR($A583),MONTH($A583),1),$A$5:$A$800,"&lt;="&amp;$A583)+IF(AND(YEAR($A583)=YEAR(Settings!$B$3),MONTH($A583)=MONTH(Settings!$B$3)),Settings!$B$11,0))</f>
        <v/>
      </c>
      <c r="P583" s="77">
        <f>IF($A583="","",SUMIFS($H$5:$H$800,$A$5:$A$800,"&gt;="&amp;DATE(YEAR($A583),MONTH($A583),1),$A$5:$A$800,"&lt;="&amp;$A583)+IF(AND(YEAR($A583)=YEAR(Settings!$B$3),MONTH($A583)=MONTH(Settings!$B$3)),Settings!$B$12,0))</f>
        <v/>
      </c>
      <c r="Q583" s="78">
        <f>IF($A583="","",SUMIFS($I$5:$I$800,$A$5:$A$800,"&gt;="&amp;DATE(YEAR($A583),MONTH($A583),1),$A$5:$A$800,"&lt;="&amp;$A583)+IF(AND(YEAR($A583)=YEAR(Settings!$B$3),MONTH($A583)=MONTH(Settings!$B$3)),Settings!$B$13,0))</f>
        <v/>
      </c>
      <c r="R583" s="77">
        <f>IF($A583="","",N583+P583)</f>
        <v/>
      </c>
      <c r="S583" s="78">
        <f>IF($A583="","",O583+Q583)</f>
        <v/>
      </c>
    </row>
    <row r="584">
      <c r="A584" s="67" t="n"/>
      <c r="B584" s="75" t="n"/>
      <c r="C584" s="76" t="n"/>
      <c r="D584" s="75" t="n"/>
      <c r="E584" s="76" t="n"/>
      <c r="F584" s="75" t="n"/>
      <c r="G584" s="76" t="n"/>
      <c r="H584" s="75" t="n"/>
      <c r="I584" s="76" t="n"/>
      <c r="J584" s="77">
        <f>IF($A584="","",B584+D584+F584)</f>
        <v/>
      </c>
      <c r="K584" s="78">
        <f>IF($A584="","",C584+E584+G584)</f>
        <v/>
      </c>
      <c r="L584" s="79">
        <f>IF($A584="","",J584+H584)</f>
        <v/>
      </c>
      <c r="M584" s="80">
        <f>IF($A584="","",K584+I584)</f>
        <v/>
      </c>
      <c r="N584" s="77">
        <f>IF($A584="","",SUMIFS($J$5:$J$800,$A$5:$A$800,"&gt;="&amp;DATE(YEAR($A584),MONTH($A584),1),$A$5:$A$800,"&lt;="&amp;$A584)+IF(AND(YEAR($A584)=YEAR(Settings!$B$3),MONTH($A584)=MONTH(Settings!$B$3)),Settings!$B$10,0))</f>
        <v/>
      </c>
      <c r="O584" s="78">
        <f>IF($A584="","",SUMIFS($K$5:$K$800,$A$5:$A$800,"&gt;="&amp;DATE(YEAR($A584),MONTH($A584),1),$A$5:$A$800,"&lt;="&amp;$A584)+IF(AND(YEAR($A584)=YEAR(Settings!$B$3),MONTH($A584)=MONTH(Settings!$B$3)),Settings!$B$11,0))</f>
        <v/>
      </c>
      <c r="P584" s="77">
        <f>IF($A584="","",SUMIFS($H$5:$H$800,$A$5:$A$800,"&gt;="&amp;DATE(YEAR($A584),MONTH($A584),1),$A$5:$A$800,"&lt;="&amp;$A584)+IF(AND(YEAR($A584)=YEAR(Settings!$B$3),MONTH($A584)=MONTH(Settings!$B$3)),Settings!$B$12,0))</f>
        <v/>
      </c>
      <c r="Q584" s="78">
        <f>IF($A584="","",SUMIFS($I$5:$I$800,$A$5:$A$800,"&gt;="&amp;DATE(YEAR($A584),MONTH($A584),1),$A$5:$A$800,"&lt;="&amp;$A584)+IF(AND(YEAR($A584)=YEAR(Settings!$B$3),MONTH($A584)=MONTH(Settings!$B$3)),Settings!$B$13,0))</f>
        <v/>
      </c>
      <c r="R584" s="77">
        <f>IF($A584="","",N584+P584)</f>
        <v/>
      </c>
      <c r="S584" s="78">
        <f>IF($A584="","",O584+Q584)</f>
        <v/>
      </c>
    </row>
    <row r="585">
      <c r="A585" s="67" t="n"/>
      <c r="B585" s="75" t="n"/>
      <c r="C585" s="76" t="n"/>
      <c r="D585" s="75" t="n"/>
      <c r="E585" s="76" t="n"/>
      <c r="F585" s="75" t="n"/>
      <c r="G585" s="76" t="n"/>
      <c r="H585" s="75" t="n"/>
      <c r="I585" s="76" t="n"/>
      <c r="J585" s="77">
        <f>IF($A585="","",B585+D585+F585)</f>
        <v/>
      </c>
      <c r="K585" s="78">
        <f>IF($A585="","",C585+E585+G585)</f>
        <v/>
      </c>
      <c r="L585" s="79">
        <f>IF($A585="","",J585+H585)</f>
        <v/>
      </c>
      <c r="M585" s="80">
        <f>IF($A585="","",K585+I585)</f>
        <v/>
      </c>
      <c r="N585" s="77">
        <f>IF($A585="","",SUMIFS($J$5:$J$800,$A$5:$A$800,"&gt;="&amp;DATE(YEAR($A585),MONTH($A585),1),$A$5:$A$800,"&lt;="&amp;$A585)+IF(AND(YEAR($A585)=YEAR(Settings!$B$3),MONTH($A585)=MONTH(Settings!$B$3)),Settings!$B$10,0))</f>
        <v/>
      </c>
      <c r="O585" s="78">
        <f>IF($A585="","",SUMIFS($K$5:$K$800,$A$5:$A$800,"&gt;="&amp;DATE(YEAR($A585),MONTH($A585),1),$A$5:$A$800,"&lt;="&amp;$A585)+IF(AND(YEAR($A585)=YEAR(Settings!$B$3),MONTH($A585)=MONTH(Settings!$B$3)),Settings!$B$11,0))</f>
        <v/>
      </c>
      <c r="P585" s="77">
        <f>IF($A585="","",SUMIFS($H$5:$H$800,$A$5:$A$800,"&gt;="&amp;DATE(YEAR($A585),MONTH($A585),1),$A$5:$A$800,"&lt;="&amp;$A585)+IF(AND(YEAR($A585)=YEAR(Settings!$B$3),MONTH($A585)=MONTH(Settings!$B$3)),Settings!$B$12,0))</f>
        <v/>
      </c>
      <c r="Q585" s="78">
        <f>IF($A585="","",SUMIFS($I$5:$I$800,$A$5:$A$800,"&gt;="&amp;DATE(YEAR($A585),MONTH($A585),1),$A$5:$A$800,"&lt;="&amp;$A585)+IF(AND(YEAR($A585)=YEAR(Settings!$B$3),MONTH($A585)=MONTH(Settings!$B$3)),Settings!$B$13,0))</f>
        <v/>
      </c>
      <c r="R585" s="77">
        <f>IF($A585="","",N585+P585)</f>
        <v/>
      </c>
      <c r="S585" s="78">
        <f>IF($A585="","",O585+Q585)</f>
        <v/>
      </c>
    </row>
    <row r="586">
      <c r="A586" s="67" t="n"/>
      <c r="B586" s="75" t="n"/>
      <c r="C586" s="76" t="n"/>
      <c r="D586" s="75" t="n"/>
      <c r="E586" s="76" t="n"/>
      <c r="F586" s="75" t="n"/>
      <c r="G586" s="76" t="n"/>
      <c r="H586" s="75" t="n"/>
      <c r="I586" s="76" t="n"/>
      <c r="J586" s="77">
        <f>IF($A586="","",B586+D586+F586)</f>
        <v/>
      </c>
      <c r="K586" s="78">
        <f>IF($A586="","",C586+E586+G586)</f>
        <v/>
      </c>
      <c r="L586" s="79">
        <f>IF($A586="","",J586+H586)</f>
        <v/>
      </c>
      <c r="M586" s="80">
        <f>IF($A586="","",K586+I586)</f>
        <v/>
      </c>
      <c r="N586" s="77">
        <f>IF($A586="","",SUMIFS($J$5:$J$800,$A$5:$A$800,"&gt;="&amp;DATE(YEAR($A586),MONTH($A586),1),$A$5:$A$800,"&lt;="&amp;$A586)+IF(AND(YEAR($A586)=YEAR(Settings!$B$3),MONTH($A586)=MONTH(Settings!$B$3)),Settings!$B$10,0))</f>
        <v/>
      </c>
      <c r="O586" s="78">
        <f>IF($A586="","",SUMIFS($K$5:$K$800,$A$5:$A$800,"&gt;="&amp;DATE(YEAR($A586),MONTH($A586),1),$A$5:$A$800,"&lt;="&amp;$A586)+IF(AND(YEAR($A586)=YEAR(Settings!$B$3),MONTH($A586)=MONTH(Settings!$B$3)),Settings!$B$11,0))</f>
        <v/>
      </c>
      <c r="P586" s="77">
        <f>IF($A586="","",SUMIFS($H$5:$H$800,$A$5:$A$800,"&gt;="&amp;DATE(YEAR($A586),MONTH($A586),1),$A$5:$A$800,"&lt;="&amp;$A586)+IF(AND(YEAR($A586)=YEAR(Settings!$B$3),MONTH($A586)=MONTH(Settings!$B$3)),Settings!$B$12,0))</f>
        <v/>
      </c>
      <c r="Q586" s="78">
        <f>IF($A586="","",SUMIFS($I$5:$I$800,$A$5:$A$800,"&gt;="&amp;DATE(YEAR($A586),MONTH($A586),1),$A$5:$A$800,"&lt;="&amp;$A586)+IF(AND(YEAR($A586)=YEAR(Settings!$B$3),MONTH($A586)=MONTH(Settings!$B$3)),Settings!$B$13,0))</f>
        <v/>
      </c>
      <c r="R586" s="77">
        <f>IF($A586="","",N586+P586)</f>
        <v/>
      </c>
      <c r="S586" s="78">
        <f>IF($A586="","",O586+Q586)</f>
        <v/>
      </c>
    </row>
    <row r="587">
      <c r="A587" s="67" t="n"/>
      <c r="B587" s="75" t="n"/>
      <c r="C587" s="76" t="n"/>
      <c r="D587" s="75" t="n"/>
      <c r="E587" s="76" t="n"/>
      <c r="F587" s="75" t="n"/>
      <c r="G587" s="76" t="n"/>
      <c r="H587" s="75" t="n"/>
      <c r="I587" s="76" t="n"/>
      <c r="J587" s="77">
        <f>IF($A587="","",B587+D587+F587)</f>
        <v/>
      </c>
      <c r="K587" s="78">
        <f>IF($A587="","",C587+E587+G587)</f>
        <v/>
      </c>
      <c r="L587" s="79">
        <f>IF($A587="","",J587+H587)</f>
        <v/>
      </c>
      <c r="M587" s="80">
        <f>IF($A587="","",K587+I587)</f>
        <v/>
      </c>
      <c r="N587" s="77">
        <f>IF($A587="","",SUMIFS($J$5:$J$800,$A$5:$A$800,"&gt;="&amp;DATE(YEAR($A587),MONTH($A587),1),$A$5:$A$800,"&lt;="&amp;$A587)+IF(AND(YEAR($A587)=YEAR(Settings!$B$3),MONTH($A587)=MONTH(Settings!$B$3)),Settings!$B$10,0))</f>
        <v/>
      </c>
      <c r="O587" s="78">
        <f>IF($A587="","",SUMIFS($K$5:$K$800,$A$5:$A$800,"&gt;="&amp;DATE(YEAR($A587),MONTH($A587),1),$A$5:$A$800,"&lt;="&amp;$A587)+IF(AND(YEAR($A587)=YEAR(Settings!$B$3),MONTH($A587)=MONTH(Settings!$B$3)),Settings!$B$11,0))</f>
        <v/>
      </c>
      <c r="P587" s="77">
        <f>IF($A587="","",SUMIFS($H$5:$H$800,$A$5:$A$800,"&gt;="&amp;DATE(YEAR($A587),MONTH($A587),1),$A$5:$A$800,"&lt;="&amp;$A587)+IF(AND(YEAR($A587)=YEAR(Settings!$B$3),MONTH($A587)=MONTH(Settings!$B$3)),Settings!$B$12,0))</f>
        <v/>
      </c>
      <c r="Q587" s="78">
        <f>IF($A587="","",SUMIFS($I$5:$I$800,$A$5:$A$800,"&gt;="&amp;DATE(YEAR($A587),MONTH($A587),1),$A$5:$A$800,"&lt;="&amp;$A587)+IF(AND(YEAR($A587)=YEAR(Settings!$B$3),MONTH($A587)=MONTH(Settings!$B$3)),Settings!$B$13,0))</f>
        <v/>
      </c>
      <c r="R587" s="77">
        <f>IF($A587="","",N587+P587)</f>
        <v/>
      </c>
      <c r="S587" s="78">
        <f>IF($A587="","",O587+Q587)</f>
        <v/>
      </c>
    </row>
    <row r="588">
      <c r="A588" s="67" t="n"/>
      <c r="B588" s="75" t="n"/>
      <c r="C588" s="76" t="n"/>
      <c r="D588" s="75" t="n"/>
      <c r="E588" s="76" t="n"/>
      <c r="F588" s="75" t="n"/>
      <c r="G588" s="76" t="n"/>
      <c r="H588" s="75" t="n"/>
      <c r="I588" s="76" t="n"/>
      <c r="J588" s="77">
        <f>IF($A588="","",B588+D588+F588)</f>
        <v/>
      </c>
      <c r="K588" s="78">
        <f>IF($A588="","",C588+E588+G588)</f>
        <v/>
      </c>
      <c r="L588" s="79">
        <f>IF($A588="","",J588+H588)</f>
        <v/>
      </c>
      <c r="M588" s="80">
        <f>IF($A588="","",K588+I588)</f>
        <v/>
      </c>
      <c r="N588" s="77">
        <f>IF($A588="","",SUMIFS($J$5:$J$800,$A$5:$A$800,"&gt;="&amp;DATE(YEAR($A588),MONTH($A588),1),$A$5:$A$800,"&lt;="&amp;$A588)+IF(AND(YEAR($A588)=YEAR(Settings!$B$3),MONTH($A588)=MONTH(Settings!$B$3)),Settings!$B$10,0))</f>
        <v/>
      </c>
      <c r="O588" s="78">
        <f>IF($A588="","",SUMIFS($K$5:$K$800,$A$5:$A$800,"&gt;="&amp;DATE(YEAR($A588),MONTH($A588),1),$A$5:$A$800,"&lt;="&amp;$A588)+IF(AND(YEAR($A588)=YEAR(Settings!$B$3),MONTH($A588)=MONTH(Settings!$B$3)),Settings!$B$11,0))</f>
        <v/>
      </c>
      <c r="P588" s="77">
        <f>IF($A588="","",SUMIFS($H$5:$H$800,$A$5:$A$800,"&gt;="&amp;DATE(YEAR($A588),MONTH($A588),1),$A$5:$A$800,"&lt;="&amp;$A588)+IF(AND(YEAR($A588)=YEAR(Settings!$B$3),MONTH($A588)=MONTH(Settings!$B$3)),Settings!$B$12,0))</f>
        <v/>
      </c>
      <c r="Q588" s="78">
        <f>IF($A588="","",SUMIFS($I$5:$I$800,$A$5:$A$800,"&gt;="&amp;DATE(YEAR($A588),MONTH($A588),1),$A$5:$A$800,"&lt;="&amp;$A588)+IF(AND(YEAR($A588)=YEAR(Settings!$B$3),MONTH($A588)=MONTH(Settings!$B$3)),Settings!$B$13,0))</f>
        <v/>
      </c>
      <c r="R588" s="77">
        <f>IF($A588="","",N588+P588)</f>
        <v/>
      </c>
      <c r="S588" s="78">
        <f>IF($A588="","",O588+Q588)</f>
        <v/>
      </c>
    </row>
    <row r="589">
      <c r="A589" s="67" t="n"/>
      <c r="B589" s="75" t="n"/>
      <c r="C589" s="76" t="n"/>
      <c r="D589" s="75" t="n"/>
      <c r="E589" s="76" t="n"/>
      <c r="F589" s="75" t="n"/>
      <c r="G589" s="76" t="n"/>
      <c r="H589" s="75" t="n"/>
      <c r="I589" s="76" t="n"/>
      <c r="J589" s="77">
        <f>IF($A589="","",B589+D589+F589)</f>
        <v/>
      </c>
      <c r="K589" s="78">
        <f>IF($A589="","",C589+E589+G589)</f>
        <v/>
      </c>
      <c r="L589" s="79">
        <f>IF($A589="","",J589+H589)</f>
        <v/>
      </c>
      <c r="M589" s="80">
        <f>IF($A589="","",K589+I589)</f>
        <v/>
      </c>
      <c r="N589" s="77">
        <f>IF($A589="","",SUMIFS($J$5:$J$800,$A$5:$A$800,"&gt;="&amp;DATE(YEAR($A589),MONTH($A589),1),$A$5:$A$800,"&lt;="&amp;$A589)+IF(AND(YEAR($A589)=YEAR(Settings!$B$3),MONTH($A589)=MONTH(Settings!$B$3)),Settings!$B$10,0))</f>
        <v/>
      </c>
      <c r="O589" s="78">
        <f>IF($A589="","",SUMIFS($K$5:$K$800,$A$5:$A$800,"&gt;="&amp;DATE(YEAR($A589),MONTH($A589),1),$A$5:$A$800,"&lt;="&amp;$A589)+IF(AND(YEAR($A589)=YEAR(Settings!$B$3),MONTH($A589)=MONTH(Settings!$B$3)),Settings!$B$11,0))</f>
        <v/>
      </c>
      <c r="P589" s="77">
        <f>IF($A589="","",SUMIFS($H$5:$H$800,$A$5:$A$800,"&gt;="&amp;DATE(YEAR($A589),MONTH($A589),1),$A$5:$A$800,"&lt;="&amp;$A589)+IF(AND(YEAR($A589)=YEAR(Settings!$B$3),MONTH($A589)=MONTH(Settings!$B$3)),Settings!$B$12,0))</f>
        <v/>
      </c>
      <c r="Q589" s="78">
        <f>IF($A589="","",SUMIFS($I$5:$I$800,$A$5:$A$800,"&gt;="&amp;DATE(YEAR($A589),MONTH($A589),1),$A$5:$A$800,"&lt;="&amp;$A589)+IF(AND(YEAR($A589)=YEAR(Settings!$B$3),MONTH($A589)=MONTH(Settings!$B$3)),Settings!$B$13,0))</f>
        <v/>
      </c>
      <c r="R589" s="77">
        <f>IF($A589="","",N589+P589)</f>
        <v/>
      </c>
      <c r="S589" s="78">
        <f>IF($A589="","",O589+Q589)</f>
        <v/>
      </c>
    </row>
    <row r="590">
      <c r="A590" s="67" t="n"/>
      <c r="B590" s="75" t="n"/>
      <c r="C590" s="76" t="n"/>
      <c r="D590" s="75" t="n"/>
      <c r="E590" s="76" t="n"/>
      <c r="F590" s="75" t="n"/>
      <c r="G590" s="76" t="n"/>
      <c r="H590" s="75" t="n"/>
      <c r="I590" s="76" t="n"/>
      <c r="J590" s="77">
        <f>IF($A590="","",B590+D590+F590)</f>
        <v/>
      </c>
      <c r="K590" s="78">
        <f>IF($A590="","",C590+E590+G590)</f>
        <v/>
      </c>
      <c r="L590" s="79">
        <f>IF($A590="","",J590+H590)</f>
        <v/>
      </c>
      <c r="M590" s="80">
        <f>IF($A590="","",K590+I590)</f>
        <v/>
      </c>
      <c r="N590" s="77">
        <f>IF($A590="","",SUMIFS($J$5:$J$800,$A$5:$A$800,"&gt;="&amp;DATE(YEAR($A590),MONTH($A590),1),$A$5:$A$800,"&lt;="&amp;$A590)+IF(AND(YEAR($A590)=YEAR(Settings!$B$3),MONTH($A590)=MONTH(Settings!$B$3)),Settings!$B$10,0))</f>
        <v/>
      </c>
      <c r="O590" s="78">
        <f>IF($A590="","",SUMIFS($K$5:$K$800,$A$5:$A$800,"&gt;="&amp;DATE(YEAR($A590),MONTH($A590),1),$A$5:$A$800,"&lt;="&amp;$A590)+IF(AND(YEAR($A590)=YEAR(Settings!$B$3),MONTH($A590)=MONTH(Settings!$B$3)),Settings!$B$11,0))</f>
        <v/>
      </c>
      <c r="P590" s="77">
        <f>IF($A590="","",SUMIFS($H$5:$H$800,$A$5:$A$800,"&gt;="&amp;DATE(YEAR($A590),MONTH($A590),1),$A$5:$A$800,"&lt;="&amp;$A590)+IF(AND(YEAR($A590)=YEAR(Settings!$B$3),MONTH($A590)=MONTH(Settings!$B$3)),Settings!$B$12,0))</f>
        <v/>
      </c>
      <c r="Q590" s="78">
        <f>IF($A590="","",SUMIFS($I$5:$I$800,$A$5:$A$800,"&gt;="&amp;DATE(YEAR($A590),MONTH($A590),1),$A$5:$A$800,"&lt;="&amp;$A590)+IF(AND(YEAR($A590)=YEAR(Settings!$B$3),MONTH($A590)=MONTH(Settings!$B$3)),Settings!$B$13,0))</f>
        <v/>
      </c>
      <c r="R590" s="77">
        <f>IF($A590="","",N590+P590)</f>
        <v/>
      </c>
      <c r="S590" s="78">
        <f>IF($A590="","",O590+Q590)</f>
        <v/>
      </c>
    </row>
    <row r="591">
      <c r="A591" s="67" t="n"/>
      <c r="B591" s="75" t="n"/>
      <c r="C591" s="76" t="n"/>
      <c r="D591" s="75" t="n"/>
      <c r="E591" s="76" t="n"/>
      <c r="F591" s="75" t="n"/>
      <c r="G591" s="76" t="n"/>
      <c r="H591" s="75" t="n"/>
      <c r="I591" s="76" t="n"/>
      <c r="J591" s="77">
        <f>IF($A591="","",B591+D591+F591)</f>
        <v/>
      </c>
      <c r="K591" s="78">
        <f>IF($A591="","",C591+E591+G591)</f>
        <v/>
      </c>
      <c r="L591" s="79">
        <f>IF($A591="","",J591+H591)</f>
        <v/>
      </c>
      <c r="M591" s="80">
        <f>IF($A591="","",K591+I591)</f>
        <v/>
      </c>
      <c r="N591" s="77">
        <f>IF($A591="","",SUMIFS($J$5:$J$800,$A$5:$A$800,"&gt;="&amp;DATE(YEAR($A591),MONTH($A591),1),$A$5:$A$800,"&lt;="&amp;$A591)+IF(AND(YEAR($A591)=YEAR(Settings!$B$3),MONTH($A591)=MONTH(Settings!$B$3)),Settings!$B$10,0))</f>
        <v/>
      </c>
      <c r="O591" s="78">
        <f>IF($A591="","",SUMIFS($K$5:$K$800,$A$5:$A$800,"&gt;="&amp;DATE(YEAR($A591),MONTH($A591),1),$A$5:$A$800,"&lt;="&amp;$A591)+IF(AND(YEAR($A591)=YEAR(Settings!$B$3),MONTH($A591)=MONTH(Settings!$B$3)),Settings!$B$11,0))</f>
        <v/>
      </c>
      <c r="P591" s="77">
        <f>IF($A591="","",SUMIFS($H$5:$H$800,$A$5:$A$800,"&gt;="&amp;DATE(YEAR($A591),MONTH($A591),1),$A$5:$A$800,"&lt;="&amp;$A591)+IF(AND(YEAR($A591)=YEAR(Settings!$B$3),MONTH($A591)=MONTH(Settings!$B$3)),Settings!$B$12,0))</f>
        <v/>
      </c>
      <c r="Q591" s="78">
        <f>IF($A591="","",SUMIFS($I$5:$I$800,$A$5:$A$800,"&gt;="&amp;DATE(YEAR($A591),MONTH($A591),1),$A$5:$A$800,"&lt;="&amp;$A591)+IF(AND(YEAR($A591)=YEAR(Settings!$B$3),MONTH($A591)=MONTH(Settings!$B$3)),Settings!$B$13,0))</f>
        <v/>
      </c>
      <c r="R591" s="77">
        <f>IF($A591="","",N591+P591)</f>
        <v/>
      </c>
      <c r="S591" s="78">
        <f>IF($A591="","",O591+Q591)</f>
        <v/>
      </c>
    </row>
    <row r="592">
      <c r="A592" s="67" t="n"/>
      <c r="B592" s="75" t="n"/>
      <c r="C592" s="76" t="n"/>
      <c r="D592" s="75" t="n"/>
      <c r="E592" s="76" t="n"/>
      <c r="F592" s="75" t="n"/>
      <c r="G592" s="76" t="n"/>
      <c r="H592" s="75" t="n"/>
      <c r="I592" s="76" t="n"/>
      <c r="J592" s="77">
        <f>IF($A592="","",B592+D592+F592)</f>
        <v/>
      </c>
      <c r="K592" s="78">
        <f>IF($A592="","",C592+E592+G592)</f>
        <v/>
      </c>
      <c r="L592" s="79">
        <f>IF($A592="","",J592+H592)</f>
        <v/>
      </c>
      <c r="M592" s="80">
        <f>IF($A592="","",K592+I592)</f>
        <v/>
      </c>
      <c r="N592" s="77">
        <f>IF($A592="","",SUMIFS($J$5:$J$800,$A$5:$A$800,"&gt;="&amp;DATE(YEAR($A592),MONTH($A592),1),$A$5:$A$800,"&lt;="&amp;$A592)+IF(AND(YEAR($A592)=YEAR(Settings!$B$3),MONTH($A592)=MONTH(Settings!$B$3)),Settings!$B$10,0))</f>
        <v/>
      </c>
      <c r="O592" s="78">
        <f>IF($A592="","",SUMIFS($K$5:$K$800,$A$5:$A$800,"&gt;="&amp;DATE(YEAR($A592),MONTH($A592),1),$A$5:$A$800,"&lt;="&amp;$A592)+IF(AND(YEAR($A592)=YEAR(Settings!$B$3),MONTH($A592)=MONTH(Settings!$B$3)),Settings!$B$11,0))</f>
        <v/>
      </c>
      <c r="P592" s="77">
        <f>IF($A592="","",SUMIFS($H$5:$H$800,$A$5:$A$800,"&gt;="&amp;DATE(YEAR($A592),MONTH($A592),1),$A$5:$A$800,"&lt;="&amp;$A592)+IF(AND(YEAR($A592)=YEAR(Settings!$B$3),MONTH($A592)=MONTH(Settings!$B$3)),Settings!$B$12,0))</f>
        <v/>
      </c>
      <c r="Q592" s="78">
        <f>IF($A592="","",SUMIFS($I$5:$I$800,$A$5:$A$800,"&gt;="&amp;DATE(YEAR($A592),MONTH($A592),1),$A$5:$A$800,"&lt;="&amp;$A592)+IF(AND(YEAR($A592)=YEAR(Settings!$B$3),MONTH($A592)=MONTH(Settings!$B$3)),Settings!$B$13,0))</f>
        <v/>
      </c>
      <c r="R592" s="77">
        <f>IF($A592="","",N592+P592)</f>
        <v/>
      </c>
      <c r="S592" s="78">
        <f>IF($A592="","",O592+Q592)</f>
        <v/>
      </c>
    </row>
    <row r="593">
      <c r="A593" s="67" t="n"/>
      <c r="B593" s="75" t="n"/>
      <c r="C593" s="76" t="n"/>
      <c r="D593" s="75" t="n"/>
      <c r="E593" s="76" t="n"/>
      <c r="F593" s="75" t="n"/>
      <c r="G593" s="76" t="n"/>
      <c r="H593" s="75" t="n"/>
      <c r="I593" s="76" t="n"/>
      <c r="J593" s="77">
        <f>IF($A593="","",B593+D593+F593)</f>
        <v/>
      </c>
      <c r="K593" s="78">
        <f>IF($A593="","",C593+E593+G593)</f>
        <v/>
      </c>
      <c r="L593" s="79">
        <f>IF($A593="","",J593+H593)</f>
        <v/>
      </c>
      <c r="M593" s="80">
        <f>IF($A593="","",K593+I593)</f>
        <v/>
      </c>
      <c r="N593" s="77">
        <f>IF($A593="","",SUMIFS($J$5:$J$800,$A$5:$A$800,"&gt;="&amp;DATE(YEAR($A593),MONTH($A593),1),$A$5:$A$800,"&lt;="&amp;$A593)+IF(AND(YEAR($A593)=YEAR(Settings!$B$3),MONTH($A593)=MONTH(Settings!$B$3)),Settings!$B$10,0))</f>
        <v/>
      </c>
      <c r="O593" s="78">
        <f>IF($A593="","",SUMIFS($K$5:$K$800,$A$5:$A$800,"&gt;="&amp;DATE(YEAR($A593),MONTH($A593),1),$A$5:$A$800,"&lt;="&amp;$A593)+IF(AND(YEAR($A593)=YEAR(Settings!$B$3),MONTH($A593)=MONTH(Settings!$B$3)),Settings!$B$11,0))</f>
        <v/>
      </c>
      <c r="P593" s="77">
        <f>IF($A593="","",SUMIFS($H$5:$H$800,$A$5:$A$800,"&gt;="&amp;DATE(YEAR($A593),MONTH($A593),1),$A$5:$A$800,"&lt;="&amp;$A593)+IF(AND(YEAR($A593)=YEAR(Settings!$B$3),MONTH($A593)=MONTH(Settings!$B$3)),Settings!$B$12,0))</f>
        <v/>
      </c>
      <c r="Q593" s="78">
        <f>IF($A593="","",SUMIFS($I$5:$I$800,$A$5:$A$800,"&gt;="&amp;DATE(YEAR($A593),MONTH($A593),1),$A$5:$A$800,"&lt;="&amp;$A593)+IF(AND(YEAR($A593)=YEAR(Settings!$B$3),MONTH($A593)=MONTH(Settings!$B$3)),Settings!$B$13,0))</f>
        <v/>
      </c>
      <c r="R593" s="77">
        <f>IF($A593="","",N593+P593)</f>
        <v/>
      </c>
      <c r="S593" s="78">
        <f>IF($A593="","",O593+Q593)</f>
        <v/>
      </c>
    </row>
    <row r="594">
      <c r="A594" s="67" t="n"/>
      <c r="B594" s="75" t="n"/>
      <c r="C594" s="76" t="n"/>
      <c r="D594" s="75" t="n"/>
      <c r="E594" s="76" t="n"/>
      <c r="F594" s="75" t="n"/>
      <c r="G594" s="76" t="n"/>
      <c r="H594" s="75" t="n"/>
      <c r="I594" s="76" t="n"/>
      <c r="J594" s="77">
        <f>IF($A594="","",B594+D594+F594)</f>
        <v/>
      </c>
      <c r="K594" s="78">
        <f>IF($A594="","",C594+E594+G594)</f>
        <v/>
      </c>
      <c r="L594" s="79">
        <f>IF($A594="","",J594+H594)</f>
        <v/>
      </c>
      <c r="M594" s="80">
        <f>IF($A594="","",K594+I594)</f>
        <v/>
      </c>
      <c r="N594" s="77">
        <f>IF($A594="","",SUMIFS($J$5:$J$800,$A$5:$A$800,"&gt;="&amp;DATE(YEAR($A594),MONTH($A594),1),$A$5:$A$800,"&lt;="&amp;$A594)+IF(AND(YEAR($A594)=YEAR(Settings!$B$3),MONTH($A594)=MONTH(Settings!$B$3)),Settings!$B$10,0))</f>
        <v/>
      </c>
      <c r="O594" s="78">
        <f>IF($A594="","",SUMIFS($K$5:$K$800,$A$5:$A$800,"&gt;="&amp;DATE(YEAR($A594),MONTH($A594),1),$A$5:$A$800,"&lt;="&amp;$A594)+IF(AND(YEAR($A594)=YEAR(Settings!$B$3),MONTH($A594)=MONTH(Settings!$B$3)),Settings!$B$11,0))</f>
        <v/>
      </c>
      <c r="P594" s="77">
        <f>IF($A594="","",SUMIFS($H$5:$H$800,$A$5:$A$800,"&gt;="&amp;DATE(YEAR($A594),MONTH($A594),1),$A$5:$A$800,"&lt;="&amp;$A594)+IF(AND(YEAR($A594)=YEAR(Settings!$B$3),MONTH($A594)=MONTH(Settings!$B$3)),Settings!$B$12,0))</f>
        <v/>
      </c>
      <c r="Q594" s="78">
        <f>IF($A594="","",SUMIFS($I$5:$I$800,$A$5:$A$800,"&gt;="&amp;DATE(YEAR($A594),MONTH($A594),1),$A$5:$A$800,"&lt;="&amp;$A594)+IF(AND(YEAR($A594)=YEAR(Settings!$B$3),MONTH($A594)=MONTH(Settings!$B$3)),Settings!$B$13,0))</f>
        <v/>
      </c>
      <c r="R594" s="77">
        <f>IF($A594="","",N594+P594)</f>
        <v/>
      </c>
      <c r="S594" s="78">
        <f>IF($A594="","",O594+Q594)</f>
        <v/>
      </c>
    </row>
    <row r="595">
      <c r="A595" s="67" t="n"/>
      <c r="B595" s="75" t="n"/>
      <c r="C595" s="76" t="n"/>
      <c r="D595" s="75" t="n"/>
      <c r="E595" s="76" t="n"/>
      <c r="F595" s="75" t="n"/>
      <c r="G595" s="76" t="n"/>
      <c r="H595" s="75" t="n"/>
      <c r="I595" s="76" t="n"/>
      <c r="J595" s="77">
        <f>IF($A595="","",B595+D595+F595)</f>
        <v/>
      </c>
      <c r="K595" s="78">
        <f>IF($A595="","",C595+E595+G595)</f>
        <v/>
      </c>
      <c r="L595" s="79">
        <f>IF($A595="","",J595+H595)</f>
        <v/>
      </c>
      <c r="M595" s="80">
        <f>IF($A595="","",K595+I595)</f>
        <v/>
      </c>
      <c r="N595" s="77">
        <f>IF($A595="","",SUMIFS($J$5:$J$800,$A$5:$A$800,"&gt;="&amp;DATE(YEAR($A595),MONTH($A595),1),$A$5:$A$800,"&lt;="&amp;$A595)+IF(AND(YEAR($A595)=YEAR(Settings!$B$3),MONTH($A595)=MONTH(Settings!$B$3)),Settings!$B$10,0))</f>
        <v/>
      </c>
      <c r="O595" s="78">
        <f>IF($A595="","",SUMIFS($K$5:$K$800,$A$5:$A$800,"&gt;="&amp;DATE(YEAR($A595),MONTH($A595),1),$A$5:$A$800,"&lt;="&amp;$A595)+IF(AND(YEAR($A595)=YEAR(Settings!$B$3),MONTH($A595)=MONTH(Settings!$B$3)),Settings!$B$11,0))</f>
        <v/>
      </c>
      <c r="P595" s="77">
        <f>IF($A595="","",SUMIFS($H$5:$H$800,$A$5:$A$800,"&gt;="&amp;DATE(YEAR($A595),MONTH($A595),1),$A$5:$A$800,"&lt;="&amp;$A595)+IF(AND(YEAR($A595)=YEAR(Settings!$B$3),MONTH($A595)=MONTH(Settings!$B$3)),Settings!$B$12,0))</f>
        <v/>
      </c>
      <c r="Q595" s="78">
        <f>IF($A595="","",SUMIFS($I$5:$I$800,$A$5:$A$800,"&gt;="&amp;DATE(YEAR($A595),MONTH($A595),1),$A$5:$A$800,"&lt;="&amp;$A595)+IF(AND(YEAR($A595)=YEAR(Settings!$B$3),MONTH($A595)=MONTH(Settings!$B$3)),Settings!$B$13,0))</f>
        <v/>
      </c>
      <c r="R595" s="77">
        <f>IF($A595="","",N595+P595)</f>
        <v/>
      </c>
      <c r="S595" s="78">
        <f>IF($A595="","",O595+Q595)</f>
        <v/>
      </c>
    </row>
    <row r="596">
      <c r="A596" s="67" t="n"/>
      <c r="B596" s="75" t="n"/>
      <c r="C596" s="76" t="n"/>
      <c r="D596" s="75" t="n"/>
      <c r="E596" s="76" t="n"/>
      <c r="F596" s="75" t="n"/>
      <c r="G596" s="76" t="n"/>
      <c r="H596" s="75" t="n"/>
      <c r="I596" s="76" t="n"/>
      <c r="J596" s="77">
        <f>IF($A596="","",B596+D596+F596)</f>
        <v/>
      </c>
      <c r="K596" s="78">
        <f>IF($A596="","",C596+E596+G596)</f>
        <v/>
      </c>
      <c r="L596" s="79">
        <f>IF($A596="","",J596+H596)</f>
        <v/>
      </c>
      <c r="M596" s="80">
        <f>IF($A596="","",K596+I596)</f>
        <v/>
      </c>
      <c r="N596" s="77">
        <f>IF($A596="","",SUMIFS($J$5:$J$800,$A$5:$A$800,"&gt;="&amp;DATE(YEAR($A596),MONTH($A596),1),$A$5:$A$800,"&lt;="&amp;$A596)+IF(AND(YEAR($A596)=YEAR(Settings!$B$3),MONTH($A596)=MONTH(Settings!$B$3)),Settings!$B$10,0))</f>
        <v/>
      </c>
      <c r="O596" s="78">
        <f>IF($A596="","",SUMIFS($K$5:$K$800,$A$5:$A$800,"&gt;="&amp;DATE(YEAR($A596),MONTH($A596),1),$A$5:$A$800,"&lt;="&amp;$A596)+IF(AND(YEAR($A596)=YEAR(Settings!$B$3),MONTH($A596)=MONTH(Settings!$B$3)),Settings!$B$11,0))</f>
        <v/>
      </c>
      <c r="P596" s="77">
        <f>IF($A596="","",SUMIFS($H$5:$H$800,$A$5:$A$800,"&gt;="&amp;DATE(YEAR($A596),MONTH($A596),1),$A$5:$A$800,"&lt;="&amp;$A596)+IF(AND(YEAR($A596)=YEAR(Settings!$B$3),MONTH($A596)=MONTH(Settings!$B$3)),Settings!$B$12,0))</f>
        <v/>
      </c>
      <c r="Q596" s="78">
        <f>IF($A596="","",SUMIFS($I$5:$I$800,$A$5:$A$800,"&gt;="&amp;DATE(YEAR($A596),MONTH($A596),1),$A$5:$A$800,"&lt;="&amp;$A596)+IF(AND(YEAR($A596)=YEAR(Settings!$B$3),MONTH($A596)=MONTH(Settings!$B$3)),Settings!$B$13,0))</f>
        <v/>
      </c>
      <c r="R596" s="77">
        <f>IF($A596="","",N596+P596)</f>
        <v/>
      </c>
      <c r="S596" s="78">
        <f>IF($A596="","",O596+Q596)</f>
        <v/>
      </c>
    </row>
    <row r="597">
      <c r="A597" s="67" t="n"/>
      <c r="B597" s="75" t="n"/>
      <c r="C597" s="76" t="n"/>
      <c r="D597" s="75" t="n"/>
      <c r="E597" s="76" t="n"/>
      <c r="F597" s="75" t="n"/>
      <c r="G597" s="76" t="n"/>
      <c r="H597" s="75" t="n"/>
      <c r="I597" s="76" t="n"/>
      <c r="J597" s="77">
        <f>IF($A597="","",B597+D597+F597)</f>
        <v/>
      </c>
      <c r="K597" s="78">
        <f>IF($A597="","",C597+E597+G597)</f>
        <v/>
      </c>
      <c r="L597" s="79">
        <f>IF($A597="","",J597+H597)</f>
        <v/>
      </c>
      <c r="M597" s="80">
        <f>IF($A597="","",K597+I597)</f>
        <v/>
      </c>
      <c r="N597" s="77">
        <f>IF($A597="","",SUMIFS($J$5:$J$800,$A$5:$A$800,"&gt;="&amp;DATE(YEAR($A597),MONTH($A597),1),$A$5:$A$800,"&lt;="&amp;$A597)+IF(AND(YEAR($A597)=YEAR(Settings!$B$3),MONTH($A597)=MONTH(Settings!$B$3)),Settings!$B$10,0))</f>
        <v/>
      </c>
      <c r="O597" s="78">
        <f>IF($A597="","",SUMIFS($K$5:$K$800,$A$5:$A$800,"&gt;="&amp;DATE(YEAR($A597),MONTH($A597),1),$A$5:$A$800,"&lt;="&amp;$A597)+IF(AND(YEAR($A597)=YEAR(Settings!$B$3),MONTH($A597)=MONTH(Settings!$B$3)),Settings!$B$11,0))</f>
        <v/>
      </c>
      <c r="P597" s="77">
        <f>IF($A597="","",SUMIFS($H$5:$H$800,$A$5:$A$800,"&gt;="&amp;DATE(YEAR($A597),MONTH($A597),1),$A$5:$A$800,"&lt;="&amp;$A597)+IF(AND(YEAR($A597)=YEAR(Settings!$B$3),MONTH($A597)=MONTH(Settings!$B$3)),Settings!$B$12,0))</f>
        <v/>
      </c>
      <c r="Q597" s="78">
        <f>IF($A597="","",SUMIFS($I$5:$I$800,$A$5:$A$800,"&gt;="&amp;DATE(YEAR($A597),MONTH($A597),1),$A$5:$A$800,"&lt;="&amp;$A597)+IF(AND(YEAR($A597)=YEAR(Settings!$B$3),MONTH($A597)=MONTH(Settings!$B$3)),Settings!$B$13,0))</f>
        <v/>
      </c>
      <c r="R597" s="77">
        <f>IF($A597="","",N597+P597)</f>
        <v/>
      </c>
      <c r="S597" s="78">
        <f>IF($A597="","",O597+Q597)</f>
        <v/>
      </c>
    </row>
    <row r="598">
      <c r="A598" s="67" t="n"/>
      <c r="B598" s="75" t="n"/>
      <c r="C598" s="76" t="n"/>
      <c r="D598" s="75" t="n"/>
      <c r="E598" s="76" t="n"/>
      <c r="F598" s="75" t="n"/>
      <c r="G598" s="76" t="n"/>
      <c r="H598" s="75" t="n"/>
      <c r="I598" s="76" t="n"/>
      <c r="J598" s="77">
        <f>IF($A598="","",B598+D598+F598)</f>
        <v/>
      </c>
      <c r="K598" s="78">
        <f>IF($A598="","",C598+E598+G598)</f>
        <v/>
      </c>
      <c r="L598" s="79">
        <f>IF($A598="","",J598+H598)</f>
        <v/>
      </c>
      <c r="M598" s="80">
        <f>IF($A598="","",K598+I598)</f>
        <v/>
      </c>
      <c r="N598" s="77">
        <f>IF($A598="","",SUMIFS($J$5:$J$800,$A$5:$A$800,"&gt;="&amp;DATE(YEAR($A598),MONTH($A598),1),$A$5:$A$800,"&lt;="&amp;$A598)+IF(AND(YEAR($A598)=YEAR(Settings!$B$3),MONTH($A598)=MONTH(Settings!$B$3)),Settings!$B$10,0))</f>
        <v/>
      </c>
      <c r="O598" s="78">
        <f>IF($A598="","",SUMIFS($K$5:$K$800,$A$5:$A$800,"&gt;="&amp;DATE(YEAR($A598),MONTH($A598),1),$A$5:$A$800,"&lt;="&amp;$A598)+IF(AND(YEAR($A598)=YEAR(Settings!$B$3),MONTH($A598)=MONTH(Settings!$B$3)),Settings!$B$11,0))</f>
        <v/>
      </c>
      <c r="P598" s="77">
        <f>IF($A598="","",SUMIFS($H$5:$H$800,$A$5:$A$800,"&gt;="&amp;DATE(YEAR($A598),MONTH($A598),1),$A$5:$A$800,"&lt;="&amp;$A598)+IF(AND(YEAR($A598)=YEAR(Settings!$B$3),MONTH($A598)=MONTH(Settings!$B$3)),Settings!$B$12,0))</f>
        <v/>
      </c>
      <c r="Q598" s="78">
        <f>IF($A598="","",SUMIFS($I$5:$I$800,$A$5:$A$800,"&gt;="&amp;DATE(YEAR($A598),MONTH($A598),1),$A$5:$A$800,"&lt;="&amp;$A598)+IF(AND(YEAR($A598)=YEAR(Settings!$B$3),MONTH($A598)=MONTH(Settings!$B$3)),Settings!$B$13,0))</f>
        <v/>
      </c>
      <c r="R598" s="77">
        <f>IF($A598="","",N598+P598)</f>
        <v/>
      </c>
      <c r="S598" s="78">
        <f>IF($A598="","",O598+Q598)</f>
        <v/>
      </c>
    </row>
    <row r="599">
      <c r="A599" s="67" t="n"/>
      <c r="B599" s="75" t="n"/>
      <c r="C599" s="76" t="n"/>
      <c r="D599" s="75" t="n"/>
      <c r="E599" s="76" t="n"/>
      <c r="F599" s="75" t="n"/>
      <c r="G599" s="76" t="n"/>
      <c r="H599" s="75" t="n"/>
      <c r="I599" s="76" t="n"/>
      <c r="J599" s="77">
        <f>IF($A599="","",B599+D599+F599)</f>
        <v/>
      </c>
      <c r="K599" s="78">
        <f>IF($A599="","",C599+E599+G599)</f>
        <v/>
      </c>
      <c r="L599" s="79">
        <f>IF($A599="","",J599+H599)</f>
        <v/>
      </c>
      <c r="M599" s="80">
        <f>IF($A599="","",K599+I599)</f>
        <v/>
      </c>
      <c r="N599" s="77">
        <f>IF($A599="","",SUMIFS($J$5:$J$800,$A$5:$A$800,"&gt;="&amp;DATE(YEAR($A599),MONTH($A599),1),$A$5:$A$800,"&lt;="&amp;$A599)+IF(AND(YEAR($A599)=YEAR(Settings!$B$3),MONTH($A599)=MONTH(Settings!$B$3)),Settings!$B$10,0))</f>
        <v/>
      </c>
      <c r="O599" s="78">
        <f>IF($A599="","",SUMIFS($K$5:$K$800,$A$5:$A$800,"&gt;="&amp;DATE(YEAR($A599),MONTH($A599),1),$A$5:$A$800,"&lt;="&amp;$A599)+IF(AND(YEAR($A599)=YEAR(Settings!$B$3),MONTH($A599)=MONTH(Settings!$B$3)),Settings!$B$11,0))</f>
        <v/>
      </c>
      <c r="P599" s="77">
        <f>IF($A599="","",SUMIFS($H$5:$H$800,$A$5:$A$800,"&gt;="&amp;DATE(YEAR($A599),MONTH($A599),1),$A$5:$A$800,"&lt;="&amp;$A599)+IF(AND(YEAR($A599)=YEAR(Settings!$B$3),MONTH($A599)=MONTH(Settings!$B$3)),Settings!$B$12,0))</f>
        <v/>
      </c>
      <c r="Q599" s="78">
        <f>IF($A599="","",SUMIFS($I$5:$I$800,$A$5:$A$800,"&gt;="&amp;DATE(YEAR($A599),MONTH($A599),1),$A$5:$A$800,"&lt;="&amp;$A599)+IF(AND(YEAR($A599)=YEAR(Settings!$B$3),MONTH($A599)=MONTH(Settings!$B$3)),Settings!$B$13,0))</f>
        <v/>
      </c>
      <c r="R599" s="77">
        <f>IF($A599="","",N599+P599)</f>
        <v/>
      </c>
      <c r="S599" s="78">
        <f>IF($A599="","",O599+Q599)</f>
        <v/>
      </c>
    </row>
    <row r="600">
      <c r="A600" s="67" t="n"/>
      <c r="B600" s="75" t="n"/>
      <c r="C600" s="76" t="n"/>
      <c r="D600" s="75" t="n"/>
      <c r="E600" s="76" t="n"/>
      <c r="F600" s="75" t="n"/>
      <c r="G600" s="76" t="n"/>
      <c r="H600" s="75" t="n"/>
      <c r="I600" s="76" t="n"/>
      <c r="J600" s="77">
        <f>IF($A600="","",B600+D600+F600)</f>
        <v/>
      </c>
      <c r="K600" s="78">
        <f>IF($A600="","",C600+E600+G600)</f>
        <v/>
      </c>
      <c r="L600" s="79">
        <f>IF($A600="","",J600+H600)</f>
        <v/>
      </c>
      <c r="M600" s="80">
        <f>IF($A600="","",K600+I600)</f>
        <v/>
      </c>
      <c r="N600" s="77">
        <f>IF($A600="","",SUMIFS($J$5:$J$800,$A$5:$A$800,"&gt;="&amp;DATE(YEAR($A600),MONTH($A600),1),$A$5:$A$800,"&lt;="&amp;$A600)+IF(AND(YEAR($A600)=YEAR(Settings!$B$3),MONTH($A600)=MONTH(Settings!$B$3)),Settings!$B$10,0))</f>
        <v/>
      </c>
      <c r="O600" s="78">
        <f>IF($A600="","",SUMIFS($K$5:$K$800,$A$5:$A$800,"&gt;="&amp;DATE(YEAR($A600),MONTH($A600),1),$A$5:$A$800,"&lt;="&amp;$A600)+IF(AND(YEAR($A600)=YEAR(Settings!$B$3),MONTH($A600)=MONTH(Settings!$B$3)),Settings!$B$11,0))</f>
        <v/>
      </c>
      <c r="P600" s="77">
        <f>IF($A600="","",SUMIFS($H$5:$H$800,$A$5:$A$800,"&gt;="&amp;DATE(YEAR($A600),MONTH($A600),1),$A$5:$A$800,"&lt;="&amp;$A600)+IF(AND(YEAR($A600)=YEAR(Settings!$B$3),MONTH($A600)=MONTH(Settings!$B$3)),Settings!$B$12,0))</f>
        <v/>
      </c>
      <c r="Q600" s="78">
        <f>IF($A600="","",SUMIFS($I$5:$I$800,$A$5:$A$800,"&gt;="&amp;DATE(YEAR($A600),MONTH($A600),1),$A$5:$A$800,"&lt;="&amp;$A600)+IF(AND(YEAR($A600)=YEAR(Settings!$B$3),MONTH($A600)=MONTH(Settings!$B$3)),Settings!$B$13,0))</f>
        <v/>
      </c>
      <c r="R600" s="77">
        <f>IF($A600="","",N600+P600)</f>
        <v/>
      </c>
      <c r="S600" s="78">
        <f>IF($A600="","",O600+Q600)</f>
        <v/>
      </c>
    </row>
    <row r="601">
      <c r="A601" s="67" t="n"/>
      <c r="B601" s="75" t="n"/>
      <c r="C601" s="76" t="n"/>
      <c r="D601" s="75" t="n"/>
      <c r="E601" s="76" t="n"/>
      <c r="F601" s="75" t="n"/>
      <c r="G601" s="76" t="n"/>
      <c r="H601" s="75" t="n"/>
      <c r="I601" s="76" t="n"/>
      <c r="J601" s="77">
        <f>IF($A601="","",B601+D601+F601)</f>
        <v/>
      </c>
      <c r="K601" s="78">
        <f>IF($A601="","",C601+E601+G601)</f>
        <v/>
      </c>
      <c r="L601" s="79">
        <f>IF($A601="","",J601+H601)</f>
        <v/>
      </c>
      <c r="M601" s="80">
        <f>IF($A601="","",K601+I601)</f>
        <v/>
      </c>
      <c r="N601" s="77">
        <f>IF($A601="","",SUMIFS($J$5:$J$800,$A$5:$A$800,"&gt;="&amp;DATE(YEAR($A601),MONTH($A601),1),$A$5:$A$800,"&lt;="&amp;$A601)+IF(AND(YEAR($A601)=YEAR(Settings!$B$3),MONTH($A601)=MONTH(Settings!$B$3)),Settings!$B$10,0))</f>
        <v/>
      </c>
      <c r="O601" s="78">
        <f>IF($A601="","",SUMIFS($K$5:$K$800,$A$5:$A$800,"&gt;="&amp;DATE(YEAR($A601),MONTH($A601),1),$A$5:$A$800,"&lt;="&amp;$A601)+IF(AND(YEAR($A601)=YEAR(Settings!$B$3),MONTH($A601)=MONTH(Settings!$B$3)),Settings!$B$11,0))</f>
        <v/>
      </c>
      <c r="P601" s="77">
        <f>IF($A601="","",SUMIFS($H$5:$H$800,$A$5:$A$800,"&gt;="&amp;DATE(YEAR($A601),MONTH($A601),1),$A$5:$A$800,"&lt;="&amp;$A601)+IF(AND(YEAR($A601)=YEAR(Settings!$B$3),MONTH($A601)=MONTH(Settings!$B$3)),Settings!$B$12,0))</f>
        <v/>
      </c>
      <c r="Q601" s="78">
        <f>IF($A601="","",SUMIFS($I$5:$I$800,$A$5:$A$800,"&gt;="&amp;DATE(YEAR($A601),MONTH($A601),1),$A$5:$A$800,"&lt;="&amp;$A601)+IF(AND(YEAR($A601)=YEAR(Settings!$B$3),MONTH($A601)=MONTH(Settings!$B$3)),Settings!$B$13,0))</f>
        <v/>
      </c>
      <c r="R601" s="77">
        <f>IF($A601="","",N601+P601)</f>
        <v/>
      </c>
      <c r="S601" s="78">
        <f>IF($A601="","",O601+Q601)</f>
        <v/>
      </c>
    </row>
    <row r="602">
      <c r="A602" s="67" t="n"/>
      <c r="B602" s="75" t="n"/>
      <c r="C602" s="76" t="n"/>
      <c r="D602" s="75" t="n"/>
      <c r="E602" s="76" t="n"/>
      <c r="F602" s="75" t="n"/>
      <c r="G602" s="76" t="n"/>
      <c r="H602" s="75" t="n"/>
      <c r="I602" s="76" t="n"/>
      <c r="J602" s="77">
        <f>IF($A602="","",B602+D602+F602)</f>
        <v/>
      </c>
      <c r="K602" s="78">
        <f>IF($A602="","",C602+E602+G602)</f>
        <v/>
      </c>
      <c r="L602" s="79">
        <f>IF($A602="","",J602+H602)</f>
        <v/>
      </c>
      <c r="M602" s="80">
        <f>IF($A602="","",K602+I602)</f>
        <v/>
      </c>
      <c r="N602" s="77">
        <f>IF($A602="","",SUMIFS($J$5:$J$800,$A$5:$A$800,"&gt;="&amp;DATE(YEAR($A602),MONTH($A602),1),$A$5:$A$800,"&lt;="&amp;$A602)+IF(AND(YEAR($A602)=YEAR(Settings!$B$3),MONTH($A602)=MONTH(Settings!$B$3)),Settings!$B$10,0))</f>
        <v/>
      </c>
      <c r="O602" s="78">
        <f>IF($A602="","",SUMIFS($K$5:$K$800,$A$5:$A$800,"&gt;="&amp;DATE(YEAR($A602),MONTH($A602),1),$A$5:$A$800,"&lt;="&amp;$A602)+IF(AND(YEAR($A602)=YEAR(Settings!$B$3),MONTH($A602)=MONTH(Settings!$B$3)),Settings!$B$11,0))</f>
        <v/>
      </c>
      <c r="P602" s="77">
        <f>IF($A602="","",SUMIFS($H$5:$H$800,$A$5:$A$800,"&gt;="&amp;DATE(YEAR($A602),MONTH($A602),1),$A$5:$A$800,"&lt;="&amp;$A602)+IF(AND(YEAR($A602)=YEAR(Settings!$B$3),MONTH($A602)=MONTH(Settings!$B$3)),Settings!$B$12,0))</f>
        <v/>
      </c>
      <c r="Q602" s="78">
        <f>IF($A602="","",SUMIFS($I$5:$I$800,$A$5:$A$800,"&gt;="&amp;DATE(YEAR($A602),MONTH($A602),1),$A$5:$A$800,"&lt;="&amp;$A602)+IF(AND(YEAR($A602)=YEAR(Settings!$B$3),MONTH($A602)=MONTH(Settings!$B$3)),Settings!$B$13,0))</f>
        <v/>
      </c>
      <c r="R602" s="77">
        <f>IF($A602="","",N602+P602)</f>
        <v/>
      </c>
      <c r="S602" s="78">
        <f>IF($A602="","",O602+Q602)</f>
        <v/>
      </c>
    </row>
    <row r="603">
      <c r="A603" s="67" t="n"/>
      <c r="B603" s="75" t="n"/>
      <c r="C603" s="76" t="n"/>
      <c r="D603" s="75" t="n"/>
      <c r="E603" s="76" t="n"/>
      <c r="F603" s="75" t="n"/>
      <c r="G603" s="76" t="n"/>
      <c r="H603" s="75" t="n"/>
      <c r="I603" s="76" t="n"/>
      <c r="J603" s="77">
        <f>IF($A603="","",B603+D603+F603)</f>
        <v/>
      </c>
      <c r="K603" s="78">
        <f>IF($A603="","",C603+E603+G603)</f>
        <v/>
      </c>
      <c r="L603" s="79">
        <f>IF($A603="","",J603+H603)</f>
        <v/>
      </c>
      <c r="M603" s="80">
        <f>IF($A603="","",K603+I603)</f>
        <v/>
      </c>
      <c r="N603" s="77">
        <f>IF($A603="","",SUMIFS($J$5:$J$800,$A$5:$A$800,"&gt;="&amp;DATE(YEAR($A603),MONTH($A603),1),$A$5:$A$800,"&lt;="&amp;$A603)+IF(AND(YEAR($A603)=YEAR(Settings!$B$3),MONTH($A603)=MONTH(Settings!$B$3)),Settings!$B$10,0))</f>
        <v/>
      </c>
      <c r="O603" s="78">
        <f>IF($A603="","",SUMIFS($K$5:$K$800,$A$5:$A$800,"&gt;="&amp;DATE(YEAR($A603),MONTH($A603),1),$A$5:$A$800,"&lt;="&amp;$A603)+IF(AND(YEAR($A603)=YEAR(Settings!$B$3),MONTH($A603)=MONTH(Settings!$B$3)),Settings!$B$11,0))</f>
        <v/>
      </c>
      <c r="P603" s="77">
        <f>IF($A603="","",SUMIFS($H$5:$H$800,$A$5:$A$800,"&gt;="&amp;DATE(YEAR($A603),MONTH($A603),1),$A$5:$A$800,"&lt;="&amp;$A603)+IF(AND(YEAR($A603)=YEAR(Settings!$B$3),MONTH($A603)=MONTH(Settings!$B$3)),Settings!$B$12,0))</f>
        <v/>
      </c>
      <c r="Q603" s="78">
        <f>IF($A603="","",SUMIFS($I$5:$I$800,$A$5:$A$800,"&gt;="&amp;DATE(YEAR($A603),MONTH($A603),1),$A$5:$A$800,"&lt;="&amp;$A603)+IF(AND(YEAR($A603)=YEAR(Settings!$B$3),MONTH($A603)=MONTH(Settings!$B$3)),Settings!$B$13,0))</f>
        <v/>
      </c>
      <c r="R603" s="77">
        <f>IF($A603="","",N603+P603)</f>
        <v/>
      </c>
      <c r="S603" s="78">
        <f>IF($A603="","",O603+Q603)</f>
        <v/>
      </c>
    </row>
    <row r="604">
      <c r="A604" s="67" t="n"/>
      <c r="B604" s="75" t="n"/>
      <c r="C604" s="76" t="n"/>
      <c r="D604" s="75" t="n"/>
      <c r="E604" s="76" t="n"/>
      <c r="F604" s="75" t="n"/>
      <c r="G604" s="76" t="n"/>
      <c r="H604" s="75" t="n"/>
      <c r="I604" s="76" t="n"/>
      <c r="J604" s="77">
        <f>IF($A604="","",B604+D604+F604)</f>
        <v/>
      </c>
      <c r="K604" s="78">
        <f>IF($A604="","",C604+E604+G604)</f>
        <v/>
      </c>
      <c r="L604" s="79">
        <f>IF($A604="","",J604+H604)</f>
        <v/>
      </c>
      <c r="M604" s="80">
        <f>IF($A604="","",K604+I604)</f>
        <v/>
      </c>
      <c r="N604" s="77">
        <f>IF($A604="","",SUMIFS($J$5:$J$800,$A$5:$A$800,"&gt;="&amp;DATE(YEAR($A604),MONTH($A604),1),$A$5:$A$800,"&lt;="&amp;$A604)+IF(AND(YEAR($A604)=YEAR(Settings!$B$3),MONTH($A604)=MONTH(Settings!$B$3)),Settings!$B$10,0))</f>
        <v/>
      </c>
      <c r="O604" s="78">
        <f>IF($A604="","",SUMIFS($K$5:$K$800,$A$5:$A$800,"&gt;="&amp;DATE(YEAR($A604),MONTH($A604),1),$A$5:$A$800,"&lt;="&amp;$A604)+IF(AND(YEAR($A604)=YEAR(Settings!$B$3),MONTH($A604)=MONTH(Settings!$B$3)),Settings!$B$11,0))</f>
        <v/>
      </c>
      <c r="P604" s="77">
        <f>IF($A604="","",SUMIFS($H$5:$H$800,$A$5:$A$800,"&gt;="&amp;DATE(YEAR($A604),MONTH($A604),1),$A$5:$A$800,"&lt;="&amp;$A604)+IF(AND(YEAR($A604)=YEAR(Settings!$B$3),MONTH($A604)=MONTH(Settings!$B$3)),Settings!$B$12,0))</f>
        <v/>
      </c>
      <c r="Q604" s="78">
        <f>IF($A604="","",SUMIFS($I$5:$I$800,$A$5:$A$800,"&gt;="&amp;DATE(YEAR($A604),MONTH($A604),1),$A$5:$A$800,"&lt;="&amp;$A604)+IF(AND(YEAR($A604)=YEAR(Settings!$B$3),MONTH($A604)=MONTH(Settings!$B$3)),Settings!$B$13,0))</f>
        <v/>
      </c>
      <c r="R604" s="77">
        <f>IF($A604="","",N604+P604)</f>
        <v/>
      </c>
      <c r="S604" s="78">
        <f>IF($A604="","",O604+Q604)</f>
        <v/>
      </c>
    </row>
    <row r="605">
      <c r="A605" s="67" t="n"/>
      <c r="B605" s="75" t="n"/>
      <c r="C605" s="76" t="n"/>
      <c r="D605" s="75" t="n"/>
      <c r="E605" s="76" t="n"/>
      <c r="F605" s="75" t="n"/>
      <c r="G605" s="76" t="n"/>
      <c r="H605" s="75" t="n"/>
      <c r="I605" s="76" t="n"/>
      <c r="J605" s="77">
        <f>IF($A605="","",B605+D605+F605)</f>
        <v/>
      </c>
      <c r="K605" s="78">
        <f>IF($A605="","",C605+E605+G605)</f>
        <v/>
      </c>
      <c r="L605" s="79">
        <f>IF($A605="","",J605+H605)</f>
        <v/>
      </c>
      <c r="M605" s="80">
        <f>IF($A605="","",K605+I605)</f>
        <v/>
      </c>
      <c r="N605" s="77">
        <f>IF($A605="","",SUMIFS($J$5:$J$800,$A$5:$A$800,"&gt;="&amp;DATE(YEAR($A605),MONTH($A605),1),$A$5:$A$800,"&lt;="&amp;$A605)+IF(AND(YEAR($A605)=YEAR(Settings!$B$3),MONTH($A605)=MONTH(Settings!$B$3)),Settings!$B$10,0))</f>
        <v/>
      </c>
      <c r="O605" s="78">
        <f>IF($A605="","",SUMIFS($K$5:$K$800,$A$5:$A$800,"&gt;="&amp;DATE(YEAR($A605),MONTH($A605),1),$A$5:$A$800,"&lt;="&amp;$A605)+IF(AND(YEAR($A605)=YEAR(Settings!$B$3),MONTH($A605)=MONTH(Settings!$B$3)),Settings!$B$11,0))</f>
        <v/>
      </c>
      <c r="P605" s="77">
        <f>IF($A605="","",SUMIFS($H$5:$H$800,$A$5:$A$800,"&gt;="&amp;DATE(YEAR($A605),MONTH($A605),1),$A$5:$A$800,"&lt;="&amp;$A605)+IF(AND(YEAR($A605)=YEAR(Settings!$B$3),MONTH($A605)=MONTH(Settings!$B$3)),Settings!$B$12,0))</f>
        <v/>
      </c>
      <c r="Q605" s="78">
        <f>IF($A605="","",SUMIFS($I$5:$I$800,$A$5:$A$800,"&gt;="&amp;DATE(YEAR($A605),MONTH($A605),1),$A$5:$A$800,"&lt;="&amp;$A605)+IF(AND(YEAR($A605)=YEAR(Settings!$B$3),MONTH($A605)=MONTH(Settings!$B$3)),Settings!$B$13,0))</f>
        <v/>
      </c>
      <c r="R605" s="77">
        <f>IF($A605="","",N605+P605)</f>
        <v/>
      </c>
      <c r="S605" s="78">
        <f>IF($A605="","",O605+Q605)</f>
        <v/>
      </c>
    </row>
    <row r="606">
      <c r="A606" s="67" t="n"/>
      <c r="B606" s="75" t="n"/>
      <c r="C606" s="76" t="n"/>
      <c r="D606" s="75" t="n"/>
      <c r="E606" s="76" t="n"/>
      <c r="F606" s="75" t="n"/>
      <c r="G606" s="76" t="n"/>
      <c r="H606" s="75" t="n"/>
      <c r="I606" s="76" t="n"/>
      <c r="J606" s="77">
        <f>IF($A606="","",B606+D606+F606)</f>
        <v/>
      </c>
      <c r="K606" s="78">
        <f>IF($A606="","",C606+E606+G606)</f>
        <v/>
      </c>
      <c r="L606" s="79">
        <f>IF($A606="","",J606+H606)</f>
        <v/>
      </c>
      <c r="M606" s="80">
        <f>IF($A606="","",K606+I606)</f>
        <v/>
      </c>
      <c r="N606" s="77">
        <f>IF($A606="","",SUMIFS($J$5:$J$800,$A$5:$A$800,"&gt;="&amp;DATE(YEAR($A606),MONTH($A606),1),$A$5:$A$800,"&lt;="&amp;$A606)+IF(AND(YEAR($A606)=YEAR(Settings!$B$3),MONTH($A606)=MONTH(Settings!$B$3)),Settings!$B$10,0))</f>
        <v/>
      </c>
      <c r="O606" s="78">
        <f>IF($A606="","",SUMIFS($K$5:$K$800,$A$5:$A$800,"&gt;="&amp;DATE(YEAR($A606),MONTH($A606),1),$A$5:$A$800,"&lt;="&amp;$A606)+IF(AND(YEAR($A606)=YEAR(Settings!$B$3),MONTH($A606)=MONTH(Settings!$B$3)),Settings!$B$11,0))</f>
        <v/>
      </c>
      <c r="P606" s="77">
        <f>IF($A606="","",SUMIFS($H$5:$H$800,$A$5:$A$800,"&gt;="&amp;DATE(YEAR($A606),MONTH($A606),1),$A$5:$A$800,"&lt;="&amp;$A606)+IF(AND(YEAR($A606)=YEAR(Settings!$B$3),MONTH($A606)=MONTH(Settings!$B$3)),Settings!$B$12,0))</f>
        <v/>
      </c>
      <c r="Q606" s="78">
        <f>IF($A606="","",SUMIFS($I$5:$I$800,$A$5:$A$800,"&gt;="&amp;DATE(YEAR($A606),MONTH($A606),1),$A$5:$A$800,"&lt;="&amp;$A606)+IF(AND(YEAR($A606)=YEAR(Settings!$B$3),MONTH($A606)=MONTH(Settings!$B$3)),Settings!$B$13,0))</f>
        <v/>
      </c>
      <c r="R606" s="77">
        <f>IF($A606="","",N606+P606)</f>
        <v/>
      </c>
      <c r="S606" s="78">
        <f>IF($A606="","",O606+Q606)</f>
        <v/>
      </c>
    </row>
    <row r="607">
      <c r="A607" s="67" t="n"/>
      <c r="B607" s="75" t="n"/>
      <c r="C607" s="76" t="n"/>
      <c r="D607" s="75" t="n"/>
      <c r="E607" s="76" t="n"/>
      <c r="F607" s="75" t="n"/>
      <c r="G607" s="76" t="n"/>
      <c r="H607" s="75" t="n"/>
      <c r="I607" s="76" t="n"/>
      <c r="J607" s="77">
        <f>IF($A607="","",B607+D607+F607)</f>
        <v/>
      </c>
      <c r="K607" s="78">
        <f>IF($A607="","",C607+E607+G607)</f>
        <v/>
      </c>
      <c r="L607" s="79">
        <f>IF($A607="","",J607+H607)</f>
        <v/>
      </c>
      <c r="M607" s="80">
        <f>IF($A607="","",K607+I607)</f>
        <v/>
      </c>
      <c r="N607" s="77">
        <f>IF($A607="","",SUMIFS($J$5:$J$800,$A$5:$A$800,"&gt;="&amp;DATE(YEAR($A607),MONTH($A607),1),$A$5:$A$800,"&lt;="&amp;$A607)+IF(AND(YEAR($A607)=YEAR(Settings!$B$3),MONTH($A607)=MONTH(Settings!$B$3)),Settings!$B$10,0))</f>
        <v/>
      </c>
      <c r="O607" s="78">
        <f>IF($A607="","",SUMIFS($K$5:$K$800,$A$5:$A$800,"&gt;="&amp;DATE(YEAR($A607),MONTH($A607),1),$A$5:$A$800,"&lt;="&amp;$A607)+IF(AND(YEAR($A607)=YEAR(Settings!$B$3),MONTH($A607)=MONTH(Settings!$B$3)),Settings!$B$11,0))</f>
        <v/>
      </c>
      <c r="P607" s="77">
        <f>IF($A607="","",SUMIFS($H$5:$H$800,$A$5:$A$800,"&gt;="&amp;DATE(YEAR($A607),MONTH($A607),1),$A$5:$A$800,"&lt;="&amp;$A607)+IF(AND(YEAR($A607)=YEAR(Settings!$B$3),MONTH($A607)=MONTH(Settings!$B$3)),Settings!$B$12,0))</f>
        <v/>
      </c>
      <c r="Q607" s="78">
        <f>IF($A607="","",SUMIFS($I$5:$I$800,$A$5:$A$800,"&gt;="&amp;DATE(YEAR($A607),MONTH($A607),1),$A$5:$A$800,"&lt;="&amp;$A607)+IF(AND(YEAR($A607)=YEAR(Settings!$B$3),MONTH($A607)=MONTH(Settings!$B$3)),Settings!$B$13,0))</f>
        <v/>
      </c>
      <c r="R607" s="77">
        <f>IF($A607="","",N607+P607)</f>
        <v/>
      </c>
      <c r="S607" s="78">
        <f>IF($A607="","",O607+Q607)</f>
        <v/>
      </c>
    </row>
    <row r="608">
      <c r="A608" s="67" t="n"/>
      <c r="B608" s="75" t="n"/>
      <c r="C608" s="76" t="n"/>
      <c r="D608" s="75" t="n"/>
      <c r="E608" s="76" t="n"/>
      <c r="F608" s="75" t="n"/>
      <c r="G608" s="76" t="n"/>
      <c r="H608" s="75" t="n"/>
      <c r="I608" s="76" t="n"/>
      <c r="J608" s="77">
        <f>IF($A608="","",B608+D608+F608)</f>
        <v/>
      </c>
      <c r="K608" s="78">
        <f>IF($A608="","",C608+E608+G608)</f>
        <v/>
      </c>
      <c r="L608" s="79">
        <f>IF($A608="","",J608+H608)</f>
        <v/>
      </c>
      <c r="M608" s="80">
        <f>IF($A608="","",K608+I608)</f>
        <v/>
      </c>
      <c r="N608" s="77">
        <f>IF($A608="","",SUMIFS($J$5:$J$800,$A$5:$A$800,"&gt;="&amp;DATE(YEAR($A608),MONTH($A608),1),$A$5:$A$800,"&lt;="&amp;$A608)+IF(AND(YEAR($A608)=YEAR(Settings!$B$3),MONTH($A608)=MONTH(Settings!$B$3)),Settings!$B$10,0))</f>
        <v/>
      </c>
      <c r="O608" s="78">
        <f>IF($A608="","",SUMIFS($K$5:$K$800,$A$5:$A$800,"&gt;="&amp;DATE(YEAR($A608),MONTH($A608),1),$A$5:$A$800,"&lt;="&amp;$A608)+IF(AND(YEAR($A608)=YEAR(Settings!$B$3),MONTH($A608)=MONTH(Settings!$B$3)),Settings!$B$11,0))</f>
        <v/>
      </c>
      <c r="P608" s="77">
        <f>IF($A608="","",SUMIFS($H$5:$H$800,$A$5:$A$800,"&gt;="&amp;DATE(YEAR($A608),MONTH($A608),1),$A$5:$A$800,"&lt;="&amp;$A608)+IF(AND(YEAR($A608)=YEAR(Settings!$B$3),MONTH($A608)=MONTH(Settings!$B$3)),Settings!$B$12,0))</f>
        <v/>
      </c>
      <c r="Q608" s="78">
        <f>IF($A608="","",SUMIFS($I$5:$I$800,$A$5:$A$800,"&gt;="&amp;DATE(YEAR($A608),MONTH($A608),1),$A$5:$A$800,"&lt;="&amp;$A608)+IF(AND(YEAR($A608)=YEAR(Settings!$B$3),MONTH($A608)=MONTH(Settings!$B$3)),Settings!$B$13,0))</f>
        <v/>
      </c>
      <c r="R608" s="77">
        <f>IF($A608="","",N608+P608)</f>
        <v/>
      </c>
      <c r="S608" s="78">
        <f>IF($A608="","",O608+Q608)</f>
        <v/>
      </c>
    </row>
    <row r="609">
      <c r="A609" s="67" t="n"/>
      <c r="B609" s="75" t="n"/>
      <c r="C609" s="76" t="n"/>
      <c r="D609" s="75" t="n"/>
      <c r="E609" s="76" t="n"/>
      <c r="F609" s="75" t="n"/>
      <c r="G609" s="76" t="n"/>
      <c r="H609" s="75" t="n"/>
      <c r="I609" s="76" t="n"/>
      <c r="J609" s="77">
        <f>IF($A609="","",B609+D609+F609)</f>
        <v/>
      </c>
      <c r="K609" s="78">
        <f>IF($A609="","",C609+E609+G609)</f>
        <v/>
      </c>
      <c r="L609" s="79">
        <f>IF($A609="","",J609+H609)</f>
        <v/>
      </c>
      <c r="M609" s="80">
        <f>IF($A609="","",K609+I609)</f>
        <v/>
      </c>
      <c r="N609" s="77">
        <f>IF($A609="","",SUMIFS($J$5:$J$800,$A$5:$A$800,"&gt;="&amp;DATE(YEAR($A609),MONTH($A609),1),$A$5:$A$800,"&lt;="&amp;$A609)+IF(AND(YEAR($A609)=YEAR(Settings!$B$3),MONTH($A609)=MONTH(Settings!$B$3)),Settings!$B$10,0))</f>
        <v/>
      </c>
      <c r="O609" s="78">
        <f>IF($A609="","",SUMIFS($K$5:$K$800,$A$5:$A$800,"&gt;="&amp;DATE(YEAR($A609),MONTH($A609),1),$A$5:$A$800,"&lt;="&amp;$A609)+IF(AND(YEAR($A609)=YEAR(Settings!$B$3),MONTH($A609)=MONTH(Settings!$B$3)),Settings!$B$11,0))</f>
        <v/>
      </c>
      <c r="P609" s="77">
        <f>IF($A609="","",SUMIFS($H$5:$H$800,$A$5:$A$800,"&gt;="&amp;DATE(YEAR($A609),MONTH($A609),1),$A$5:$A$800,"&lt;="&amp;$A609)+IF(AND(YEAR($A609)=YEAR(Settings!$B$3),MONTH($A609)=MONTH(Settings!$B$3)),Settings!$B$12,0))</f>
        <v/>
      </c>
      <c r="Q609" s="78">
        <f>IF($A609="","",SUMIFS($I$5:$I$800,$A$5:$A$800,"&gt;="&amp;DATE(YEAR($A609),MONTH($A609),1),$A$5:$A$800,"&lt;="&amp;$A609)+IF(AND(YEAR($A609)=YEAR(Settings!$B$3),MONTH($A609)=MONTH(Settings!$B$3)),Settings!$B$13,0))</f>
        <v/>
      </c>
      <c r="R609" s="77">
        <f>IF($A609="","",N609+P609)</f>
        <v/>
      </c>
      <c r="S609" s="78">
        <f>IF($A609="","",O609+Q609)</f>
        <v/>
      </c>
    </row>
    <row r="610">
      <c r="A610" s="67" t="n"/>
      <c r="B610" s="75" t="n"/>
      <c r="C610" s="76" t="n"/>
      <c r="D610" s="75" t="n"/>
      <c r="E610" s="76" t="n"/>
      <c r="F610" s="75" t="n"/>
      <c r="G610" s="76" t="n"/>
      <c r="H610" s="75" t="n"/>
      <c r="I610" s="76" t="n"/>
      <c r="J610" s="77">
        <f>IF($A610="","",B610+D610+F610)</f>
        <v/>
      </c>
      <c r="K610" s="78">
        <f>IF($A610="","",C610+E610+G610)</f>
        <v/>
      </c>
      <c r="L610" s="79">
        <f>IF($A610="","",J610+H610)</f>
        <v/>
      </c>
      <c r="M610" s="80">
        <f>IF($A610="","",K610+I610)</f>
        <v/>
      </c>
      <c r="N610" s="77">
        <f>IF($A610="","",SUMIFS($J$5:$J$800,$A$5:$A$800,"&gt;="&amp;DATE(YEAR($A610),MONTH($A610),1),$A$5:$A$800,"&lt;="&amp;$A610)+IF(AND(YEAR($A610)=YEAR(Settings!$B$3),MONTH($A610)=MONTH(Settings!$B$3)),Settings!$B$10,0))</f>
        <v/>
      </c>
      <c r="O610" s="78">
        <f>IF($A610="","",SUMIFS($K$5:$K$800,$A$5:$A$800,"&gt;="&amp;DATE(YEAR($A610),MONTH($A610),1),$A$5:$A$800,"&lt;="&amp;$A610)+IF(AND(YEAR($A610)=YEAR(Settings!$B$3),MONTH($A610)=MONTH(Settings!$B$3)),Settings!$B$11,0))</f>
        <v/>
      </c>
      <c r="P610" s="77">
        <f>IF($A610="","",SUMIFS($H$5:$H$800,$A$5:$A$800,"&gt;="&amp;DATE(YEAR($A610),MONTH($A610),1),$A$5:$A$800,"&lt;="&amp;$A610)+IF(AND(YEAR($A610)=YEAR(Settings!$B$3),MONTH($A610)=MONTH(Settings!$B$3)),Settings!$B$12,0))</f>
        <v/>
      </c>
      <c r="Q610" s="78">
        <f>IF($A610="","",SUMIFS($I$5:$I$800,$A$5:$A$800,"&gt;="&amp;DATE(YEAR($A610),MONTH($A610),1),$A$5:$A$800,"&lt;="&amp;$A610)+IF(AND(YEAR($A610)=YEAR(Settings!$B$3),MONTH($A610)=MONTH(Settings!$B$3)),Settings!$B$13,0))</f>
        <v/>
      </c>
      <c r="R610" s="77">
        <f>IF($A610="","",N610+P610)</f>
        <v/>
      </c>
      <c r="S610" s="78">
        <f>IF($A610="","",O610+Q610)</f>
        <v/>
      </c>
    </row>
    <row r="611">
      <c r="A611" s="67" t="n"/>
      <c r="B611" s="75" t="n"/>
      <c r="C611" s="76" t="n"/>
      <c r="D611" s="75" t="n"/>
      <c r="E611" s="76" t="n"/>
      <c r="F611" s="75" t="n"/>
      <c r="G611" s="76" t="n"/>
      <c r="H611" s="75" t="n"/>
      <c r="I611" s="76" t="n"/>
      <c r="J611" s="77">
        <f>IF($A611="","",B611+D611+F611)</f>
        <v/>
      </c>
      <c r="K611" s="78">
        <f>IF($A611="","",C611+E611+G611)</f>
        <v/>
      </c>
      <c r="L611" s="79">
        <f>IF($A611="","",J611+H611)</f>
        <v/>
      </c>
      <c r="M611" s="80">
        <f>IF($A611="","",K611+I611)</f>
        <v/>
      </c>
      <c r="N611" s="77">
        <f>IF($A611="","",SUMIFS($J$5:$J$800,$A$5:$A$800,"&gt;="&amp;DATE(YEAR($A611),MONTH($A611),1),$A$5:$A$800,"&lt;="&amp;$A611)+IF(AND(YEAR($A611)=YEAR(Settings!$B$3),MONTH($A611)=MONTH(Settings!$B$3)),Settings!$B$10,0))</f>
        <v/>
      </c>
      <c r="O611" s="78">
        <f>IF($A611="","",SUMIFS($K$5:$K$800,$A$5:$A$800,"&gt;="&amp;DATE(YEAR($A611),MONTH($A611),1),$A$5:$A$800,"&lt;="&amp;$A611)+IF(AND(YEAR($A611)=YEAR(Settings!$B$3),MONTH($A611)=MONTH(Settings!$B$3)),Settings!$B$11,0))</f>
        <v/>
      </c>
      <c r="P611" s="77">
        <f>IF($A611="","",SUMIFS($H$5:$H$800,$A$5:$A$800,"&gt;="&amp;DATE(YEAR($A611),MONTH($A611),1),$A$5:$A$800,"&lt;="&amp;$A611)+IF(AND(YEAR($A611)=YEAR(Settings!$B$3),MONTH($A611)=MONTH(Settings!$B$3)),Settings!$B$12,0))</f>
        <v/>
      </c>
      <c r="Q611" s="78">
        <f>IF($A611="","",SUMIFS($I$5:$I$800,$A$5:$A$800,"&gt;="&amp;DATE(YEAR($A611),MONTH($A611),1),$A$5:$A$800,"&lt;="&amp;$A611)+IF(AND(YEAR($A611)=YEAR(Settings!$B$3),MONTH($A611)=MONTH(Settings!$B$3)),Settings!$B$13,0))</f>
        <v/>
      </c>
      <c r="R611" s="77">
        <f>IF($A611="","",N611+P611)</f>
        <v/>
      </c>
      <c r="S611" s="78">
        <f>IF($A611="","",O611+Q611)</f>
        <v/>
      </c>
    </row>
    <row r="612">
      <c r="A612" s="67" t="n"/>
      <c r="B612" s="75" t="n"/>
      <c r="C612" s="76" t="n"/>
      <c r="D612" s="75" t="n"/>
      <c r="E612" s="76" t="n"/>
      <c r="F612" s="75" t="n"/>
      <c r="G612" s="76" t="n"/>
      <c r="H612" s="75" t="n"/>
      <c r="I612" s="76" t="n"/>
      <c r="J612" s="77">
        <f>IF($A612="","",B612+D612+F612)</f>
        <v/>
      </c>
      <c r="K612" s="78">
        <f>IF($A612="","",C612+E612+G612)</f>
        <v/>
      </c>
      <c r="L612" s="79">
        <f>IF($A612="","",J612+H612)</f>
        <v/>
      </c>
      <c r="M612" s="80">
        <f>IF($A612="","",K612+I612)</f>
        <v/>
      </c>
      <c r="N612" s="77">
        <f>IF($A612="","",SUMIFS($J$5:$J$800,$A$5:$A$800,"&gt;="&amp;DATE(YEAR($A612),MONTH($A612),1),$A$5:$A$800,"&lt;="&amp;$A612)+IF(AND(YEAR($A612)=YEAR(Settings!$B$3),MONTH($A612)=MONTH(Settings!$B$3)),Settings!$B$10,0))</f>
        <v/>
      </c>
      <c r="O612" s="78">
        <f>IF($A612="","",SUMIFS($K$5:$K$800,$A$5:$A$800,"&gt;="&amp;DATE(YEAR($A612),MONTH($A612),1),$A$5:$A$800,"&lt;="&amp;$A612)+IF(AND(YEAR($A612)=YEAR(Settings!$B$3),MONTH($A612)=MONTH(Settings!$B$3)),Settings!$B$11,0))</f>
        <v/>
      </c>
      <c r="P612" s="77">
        <f>IF($A612="","",SUMIFS($H$5:$H$800,$A$5:$A$800,"&gt;="&amp;DATE(YEAR($A612),MONTH($A612),1),$A$5:$A$800,"&lt;="&amp;$A612)+IF(AND(YEAR($A612)=YEAR(Settings!$B$3),MONTH($A612)=MONTH(Settings!$B$3)),Settings!$B$12,0))</f>
        <v/>
      </c>
      <c r="Q612" s="78">
        <f>IF($A612="","",SUMIFS($I$5:$I$800,$A$5:$A$800,"&gt;="&amp;DATE(YEAR($A612),MONTH($A612),1),$A$5:$A$800,"&lt;="&amp;$A612)+IF(AND(YEAR($A612)=YEAR(Settings!$B$3),MONTH($A612)=MONTH(Settings!$B$3)),Settings!$B$13,0))</f>
        <v/>
      </c>
      <c r="R612" s="77">
        <f>IF($A612="","",N612+P612)</f>
        <v/>
      </c>
      <c r="S612" s="78">
        <f>IF($A612="","",O612+Q612)</f>
        <v/>
      </c>
    </row>
    <row r="613">
      <c r="A613" s="67" t="n"/>
      <c r="B613" s="75" t="n"/>
      <c r="C613" s="76" t="n"/>
      <c r="D613" s="75" t="n"/>
      <c r="E613" s="76" t="n"/>
      <c r="F613" s="75" t="n"/>
      <c r="G613" s="76" t="n"/>
      <c r="H613" s="75" t="n"/>
      <c r="I613" s="76" t="n"/>
      <c r="J613" s="77">
        <f>IF($A613="","",B613+D613+F613)</f>
        <v/>
      </c>
      <c r="K613" s="78">
        <f>IF($A613="","",C613+E613+G613)</f>
        <v/>
      </c>
      <c r="L613" s="79">
        <f>IF($A613="","",J613+H613)</f>
        <v/>
      </c>
      <c r="M613" s="80">
        <f>IF($A613="","",K613+I613)</f>
        <v/>
      </c>
      <c r="N613" s="77">
        <f>IF($A613="","",SUMIFS($J$5:$J$800,$A$5:$A$800,"&gt;="&amp;DATE(YEAR($A613),MONTH($A613),1),$A$5:$A$800,"&lt;="&amp;$A613)+IF(AND(YEAR($A613)=YEAR(Settings!$B$3),MONTH($A613)=MONTH(Settings!$B$3)),Settings!$B$10,0))</f>
        <v/>
      </c>
      <c r="O613" s="78">
        <f>IF($A613="","",SUMIFS($K$5:$K$800,$A$5:$A$800,"&gt;="&amp;DATE(YEAR($A613),MONTH($A613),1),$A$5:$A$800,"&lt;="&amp;$A613)+IF(AND(YEAR($A613)=YEAR(Settings!$B$3),MONTH($A613)=MONTH(Settings!$B$3)),Settings!$B$11,0))</f>
        <v/>
      </c>
      <c r="P613" s="77">
        <f>IF($A613="","",SUMIFS($H$5:$H$800,$A$5:$A$800,"&gt;="&amp;DATE(YEAR($A613),MONTH($A613),1),$A$5:$A$800,"&lt;="&amp;$A613)+IF(AND(YEAR($A613)=YEAR(Settings!$B$3),MONTH($A613)=MONTH(Settings!$B$3)),Settings!$B$12,0))</f>
        <v/>
      </c>
      <c r="Q613" s="78">
        <f>IF($A613="","",SUMIFS($I$5:$I$800,$A$5:$A$800,"&gt;="&amp;DATE(YEAR($A613),MONTH($A613),1),$A$5:$A$800,"&lt;="&amp;$A613)+IF(AND(YEAR($A613)=YEAR(Settings!$B$3),MONTH($A613)=MONTH(Settings!$B$3)),Settings!$B$13,0))</f>
        <v/>
      </c>
      <c r="R613" s="77">
        <f>IF($A613="","",N613+P613)</f>
        <v/>
      </c>
      <c r="S613" s="78">
        <f>IF($A613="","",O613+Q613)</f>
        <v/>
      </c>
    </row>
    <row r="614">
      <c r="A614" s="67" t="n"/>
      <c r="B614" s="75" t="n"/>
      <c r="C614" s="76" t="n"/>
      <c r="D614" s="75" t="n"/>
      <c r="E614" s="76" t="n"/>
      <c r="F614" s="75" t="n"/>
      <c r="G614" s="76" t="n"/>
      <c r="H614" s="75" t="n"/>
      <c r="I614" s="76" t="n"/>
      <c r="J614" s="77">
        <f>IF($A614="","",B614+D614+F614)</f>
        <v/>
      </c>
      <c r="K614" s="78">
        <f>IF($A614="","",C614+E614+G614)</f>
        <v/>
      </c>
      <c r="L614" s="79">
        <f>IF($A614="","",J614+H614)</f>
        <v/>
      </c>
      <c r="M614" s="80">
        <f>IF($A614="","",K614+I614)</f>
        <v/>
      </c>
      <c r="N614" s="77">
        <f>IF($A614="","",SUMIFS($J$5:$J$800,$A$5:$A$800,"&gt;="&amp;DATE(YEAR($A614),MONTH($A614),1),$A$5:$A$800,"&lt;="&amp;$A614)+IF(AND(YEAR($A614)=YEAR(Settings!$B$3),MONTH($A614)=MONTH(Settings!$B$3)),Settings!$B$10,0))</f>
        <v/>
      </c>
      <c r="O614" s="78">
        <f>IF($A614="","",SUMIFS($K$5:$K$800,$A$5:$A$800,"&gt;="&amp;DATE(YEAR($A614),MONTH($A614),1),$A$5:$A$800,"&lt;="&amp;$A614)+IF(AND(YEAR($A614)=YEAR(Settings!$B$3),MONTH($A614)=MONTH(Settings!$B$3)),Settings!$B$11,0))</f>
        <v/>
      </c>
      <c r="P614" s="77">
        <f>IF($A614="","",SUMIFS($H$5:$H$800,$A$5:$A$800,"&gt;="&amp;DATE(YEAR($A614),MONTH($A614),1),$A$5:$A$800,"&lt;="&amp;$A614)+IF(AND(YEAR($A614)=YEAR(Settings!$B$3),MONTH($A614)=MONTH(Settings!$B$3)),Settings!$B$12,0))</f>
        <v/>
      </c>
      <c r="Q614" s="78">
        <f>IF($A614="","",SUMIFS($I$5:$I$800,$A$5:$A$800,"&gt;="&amp;DATE(YEAR($A614),MONTH($A614),1),$A$5:$A$800,"&lt;="&amp;$A614)+IF(AND(YEAR($A614)=YEAR(Settings!$B$3),MONTH($A614)=MONTH(Settings!$B$3)),Settings!$B$13,0))</f>
        <v/>
      </c>
      <c r="R614" s="77">
        <f>IF($A614="","",N614+P614)</f>
        <v/>
      </c>
      <c r="S614" s="78">
        <f>IF($A614="","",O614+Q614)</f>
        <v/>
      </c>
    </row>
    <row r="615">
      <c r="A615" s="67" t="n"/>
      <c r="B615" s="75" t="n"/>
      <c r="C615" s="76" t="n"/>
      <c r="D615" s="75" t="n"/>
      <c r="E615" s="76" t="n"/>
      <c r="F615" s="75" t="n"/>
      <c r="G615" s="76" t="n"/>
      <c r="H615" s="75" t="n"/>
      <c r="I615" s="76" t="n"/>
      <c r="J615" s="77">
        <f>IF($A615="","",B615+D615+F615)</f>
        <v/>
      </c>
      <c r="K615" s="78">
        <f>IF($A615="","",C615+E615+G615)</f>
        <v/>
      </c>
      <c r="L615" s="79">
        <f>IF($A615="","",J615+H615)</f>
        <v/>
      </c>
      <c r="M615" s="80">
        <f>IF($A615="","",K615+I615)</f>
        <v/>
      </c>
      <c r="N615" s="77">
        <f>IF($A615="","",SUMIFS($J$5:$J$800,$A$5:$A$800,"&gt;="&amp;DATE(YEAR($A615),MONTH($A615),1),$A$5:$A$800,"&lt;="&amp;$A615)+IF(AND(YEAR($A615)=YEAR(Settings!$B$3),MONTH($A615)=MONTH(Settings!$B$3)),Settings!$B$10,0))</f>
        <v/>
      </c>
      <c r="O615" s="78">
        <f>IF($A615="","",SUMIFS($K$5:$K$800,$A$5:$A$800,"&gt;="&amp;DATE(YEAR($A615),MONTH($A615),1),$A$5:$A$800,"&lt;="&amp;$A615)+IF(AND(YEAR($A615)=YEAR(Settings!$B$3),MONTH($A615)=MONTH(Settings!$B$3)),Settings!$B$11,0))</f>
        <v/>
      </c>
      <c r="P615" s="77">
        <f>IF($A615="","",SUMIFS($H$5:$H$800,$A$5:$A$800,"&gt;="&amp;DATE(YEAR($A615),MONTH($A615),1),$A$5:$A$800,"&lt;="&amp;$A615)+IF(AND(YEAR($A615)=YEAR(Settings!$B$3),MONTH($A615)=MONTH(Settings!$B$3)),Settings!$B$12,0))</f>
        <v/>
      </c>
      <c r="Q615" s="78">
        <f>IF($A615="","",SUMIFS($I$5:$I$800,$A$5:$A$800,"&gt;="&amp;DATE(YEAR($A615),MONTH($A615),1),$A$5:$A$800,"&lt;="&amp;$A615)+IF(AND(YEAR($A615)=YEAR(Settings!$B$3),MONTH($A615)=MONTH(Settings!$B$3)),Settings!$B$13,0))</f>
        <v/>
      </c>
      <c r="R615" s="77">
        <f>IF($A615="","",N615+P615)</f>
        <v/>
      </c>
      <c r="S615" s="78">
        <f>IF($A615="","",O615+Q615)</f>
        <v/>
      </c>
    </row>
    <row r="616">
      <c r="A616" s="67" t="n"/>
      <c r="B616" s="75" t="n"/>
      <c r="C616" s="76" t="n"/>
      <c r="D616" s="75" t="n"/>
      <c r="E616" s="76" t="n"/>
      <c r="F616" s="75" t="n"/>
      <c r="G616" s="76" t="n"/>
      <c r="H616" s="75" t="n"/>
      <c r="I616" s="76" t="n"/>
      <c r="J616" s="77">
        <f>IF($A616="","",B616+D616+F616)</f>
        <v/>
      </c>
      <c r="K616" s="78">
        <f>IF($A616="","",C616+E616+G616)</f>
        <v/>
      </c>
      <c r="L616" s="79">
        <f>IF($A616="","",J616+H616)</f>
        <v/>
      </c>
      <c r="M616" s="80">
        <f>IF($A616="","",K616+I616)</f>
        <v/>
      </c>
      <c r="N616" s="77">
        <f>IF($A616="","",SUMIFS($J$5:$J$800,$A$5:$A$800,"&gt;="&amp;DATE(YEAR($A616),MONTH($A616),1),$A$5:$A$800,"&lt;="&amp;$A616)+IF(AND(YEAR($A616)=YEAR(Settings!$B$3),MONTH($A616)=MONTH(Settings!$B$3)),Settings!$B$10,0))</f>
        <v/>
      </c>
      <c r="O616" s="78">
        <f>IF($A616="","",SUMIFS($K$5:$K$800,$A$5:$A$800,"&gt;="&amp;DATE(YEAR($A616),MONTH($A616),1),$A$5:$A$800,"&lt;="&amp;$A616)+IF(AND(YEAR($A616)=YEAR(Settings!$B$3),MONTH($A616)=MONTH(Settings!$B$3)),Settings!$B$11,0))</f>
        <v/>
      </c>
      <c r="P616" s="77">
        <f>IF($A616="","",SUMIFS($H$5:$H$800,$A$5:$A$800,"&gt;="&amp;DATE(YEAR($A616),MONTH($A616),1),$A$5:$A$800,"&lt;="&amp;$A616)+IF(AND(YEAR($A616)=YEAR(Settings!$B$3),MONTH($A616)=MONTH(Settings!$B$3)),Settings!$B$12,0))</f>
        <v/>
      </c>
      <c r="Q616" s="78">
        <f>IF($A616="","",SUMIFS($I$5:$I$800,$A$5:$A$800,"&gt;="&amp;DATE(YEAR($A616),MONTH($A616),1),$A$5:$A$800,"&lt;="&amp;$A616)+IF(AND(YEAR($A616)=YEAR(Settings!$B$3),MONTH($A616)=MONTH(Settings!$B$3)),Settings!$B$13,0))</f>
        <v/>
      </c>
      <c r="R616" s="77">
        <f>IF($A616="","",N616+P616)</f>
        <v/>
      </c>
      <c r="S616" s="78">
        <f>IF($A616="","",O616+Q616)</f>
        <v/>
      </c>
    </row>
    <row r="617">
      <c r="A617" s="67" t="n"/>
      <c r="B617" s="75" t="n"/>
      <c r="C617" s="76" t="n"/>
      <c r="D617" s="75" t="n"/>
      <c r="E617" s="76" t="n"/>
      <c r="F617" s="75" t="n"/>
      <c r="G617" s="76" t="n"/>
      <c r="H617" s="75" t="n"/>
      <c r="I617" s="76" t="n"/>
      <c r="J617" s="77">
        <f>IF($A617="","",B617+D617+F617)</f>
        <v/>
      </c>
      <c r="K617" s="78">
        <f>IF($A617="","",C617+E617+G617)</f>
        <v/>
      </c>
      <c r="L617" s="79">
        <f>IF($A617="","",J617+H617)</f>
        <v/>
      </c>
      <c r="M617" s="80">
        <f>IF($A617="","",K617+I617)</f>
        <v/>
      </c>
      <c r="N617" s="77">
        <f>IF($A617="","",SUMIFS($J$5:$J$800,$A$5:$A$800,"&gt;="&amp;DATE(YEAR($A617),MONTH($A617),1),$A$5:$A$800,"&lt;="&amp;$A617)+IF(AND(YEAR($A617)=YEAR(Settings!$B$3),MONTH($A617)=MONTH(Settings!$B$3)),Settings!$B$10,0))</f>
        <v/>
      </c>
      <c r="O617" s="78">
        <f>IF($A617="","",SUMIFS($K$5:$K$800,$A$5:$A$800,"&gt;="&amp;DATE(YEAR($A617),MONTH($A617),1),$A$5:$A$800,"&lt;="&amp;$A617)+IF(AND(YEAR($A617)=YEAR(Settings!$B$3),MONTH($A617)=MONTH(Settings!$B$3)),Settings!$B$11,0))</f>
        <v/>
      </c>
      <c r="P617" s="77">
        <f>IF($A617="","",SUMIFS($H$5:$H$800,$A$5:$A$800,"&gt;="&amp;DATE(YEAR($A617),MONTH($A617),1),$A$5:$A$800,"&lt;="&amp;$A617)+IF(AND(YEAR($A617)=YEAR(Settings!$B$3),MONTH($A617)=MONTH(Settings!$B$3)),Settings!$B$12,0))</f>
        <v/>
      </c>
      <c r="Q617" s="78">
        <f>IF($A617="","",SUMIFS($I$5:$I$800,$A$5:$A$800,"&gt;="&amp;DATE(YEAR($A617),MONTH($A617),1),$A$5:$A$800,"&lt;="&amp;$A617)+IF(AND(YEAR($A617)=YEAR(Settings!$B$3),MONTH($A617)=MONTH(Settings!$B$3)),Settings!$B$13,0))</f>
        <v/>
      </c>
      <c r="R617" s="77">
        <f>IF($A617="","",N617+P617)</f>
        <v/>
      </c>
      <c r="S617" s="78">
        <f>IF($A617="","",O617+Q617)</f>
        <v/>
      </c>
    </row>
    <row r="618">
      <c r="A618" s="67" t="n"/>
      <c r="B618" s="75" t="n"/>
      <c r="C618" s="76" t="n"/>
      <c r="D618" s="75" t="n"/>
      <c r="E618" s="76" t="n"/>
      <c r="F618" s="75" t="n"/>
      <c r="G618" s="76" t="n"/>
      <c r="H618" s="75" t="n"/>
      <c r="I618" s="76" t="n"/>
      <c r="J618" s="77">
        <f>IF($A618="","",B618+D618+F618)</f>
        <v/>
      </c>
      <c r="K618" s="78">
        <f>IF($A618="","",C618+E618+G618)</f>
        <v/>
      </c>
      <c r="L618" s="79">
        <f>IF($A618="","",J618+H618)</f>
        <v/>
      </c>
      <c r="M618" s="80">
        <f>IF($A618="","",K618+I618)</f>
        <v/>
      </c>
      <c r="N618" s="77">
        <f>IF($A618="","",SUMIFS($J$5:$J$800,$A$5:$A$800,"&gt;="&amp;DATE(YEAR($A618),MONTH($A618),1),$A$5:$A$800,"&lt;="&amp;$A618)+IF(AND(YEAR($A618)=YEAR(Settings!$B$3),MONTH($A618)=MONTH(Settings!$B$3)),Settings!$B$10,0))</f>
        <v/>
      </c>
      <c r="O618" s="78">
        <f>IF($A618="","",SUMIFS($K$5:$K$800,$A$5:$A$800,"&gt;="&amp;DATE(YEAR($A618),MONTH($A618),1),$A$5:$A$800,"&lt;="&amp;$A618)+IF(AND(YEAR($A618)=YEAR(Settings!$B$3),MONTH($A618)=MONTH(Settings!$B$3)),Settings!$B$11,0))</f>
        <v/>
      </c>
      <c r="P618" s="77">
        <f>IF($A618="","",SUMIFS($H$5:$H$800,$A$5:$A$800,"&gt;="&amp;DATE(YEAR($A618),MONTH($A618),1),$A$5:$A$800,"&lt;="&amp;$A618)+IF(AND(YEAR($A618)=YEAR(Settings!$B$3),MONTH($A618)=MONTH(Settings!$B$3)),Settings!$B$12,0))</f>
        <v/>
      </c>
      <c r="Q618" s="78">
        <f>IF($A618="","",SUMIFS($I$5:$I$800,$A$5:$A$800,"&gt;="&amp;DATE(YEAR($A618),MONTH($A618),1),$A$5:$A$800,"&lt;="&amp;$A618)+IF(AND(YEAR($A618)=YEAR(Settings!$B$3),MONTH($A618)=MONTH(Settings!$B$3)),Settings!$B$13,0))</f>
        <v/>
      </c>
      <c r="R618" s="77">
        <f>IF($A618="","",N618+P618)</f>
        <v/>
      </c>
      <c r="S618" s="78">
        <f>IF($A618="","",O618+Q618)</f>
        <v/>
      </c>
    </row>
    <row r="619">
      <c r="A619" s="67" t="n"/>
      <c r="B619" s="75" t="n"/>
      <c r="C619" s="76" t="n"/>
      <c r="D619" s="75" t="n"/>
      <c r="E619" s="76" t="n"/>
      <c r="F619" s="75" t="n"/>
      <c r="G619" s="76" t="n"/>
      <c r="H619" s="75" t="n"/>
      <c r="I619" s="76" t="n"/>
      <c r="J619" s="77">
        <f>IF($A619="","",B619+D619+F619)</f>
        <v/>
      </c>
      <c r="K619" s="78">
        <f>IF($A619="","",C619+E619+G619)</f>
        <v/>
      </c>
      <c r="L619" s="79">
        <f>IF($A619="","",J619+H619)</f>
        <v/>
      </c>
      <c r="M619" s="80">
        <f>IF($A619="","",K619+I619)</f>
        <v/>
      </c>
      <c r="N619" s="77">
        <f>IF($A619="","",SUMIFS($J$5:$J$800,$A$5:$A$800,"&gt;="&amp;DATE(YEAR($A619),MONTH($A619),1),$A$5:$A$800,"&lt;="&amp;$A619)+IF(AND(YEAR($A619)=YEAR(Settings!$B$3),MONTH($A619)=MONTH(Settings!$B$3)),Settings!$B$10,0))</f>
        <v/>
      </c>
      <c r="O619" s="78">
        <f>IF($A619="","",SUMIFS($K$5:$K$800,$A$5:$A$800,"&gt;="&amp;DATE(YEAR($A619),MONTH($A619),1),$A$5:$A$800,"&lt;="&amp;$A619)+IF(AND(YEAR($A619)=YEAR(Settings!$B$3),MONTH($A619)=MONTH(Settings!$B$3)),Settings!$B$11,0))</f>
        <v/>
      </c>
      <c r="P619" s="77">
        <f>IF($A619="","",SUMIFS($H$5:$H$800,$A$5:$A$800,"&gt;="&amp;DATE(YEAR($A619),MONTH($A619),1),$A$5:$A$800,"&lt;="&amp;$A619)+IF(AND(YEAR($A619)=YEAR(Settings!$B$3),MONTH($A619)=MONTH(Settings!$B$3)),Settings!$B$12,0))</f>
        <v/>
      </c>
      <c r="Q619" s="78">
        <f>IF($A619="","",SUMIFS($I$5:$I$800,$A$5:$A$800,"&gt;="&amp;DATE(YEAR($A619),MONTH($A619),1),$A$5:$A$800,"&lt;="&amp;$A619)+IF(AND(YEAR($A619)=YEAR(Settings!$B$3),MONTH($A619)=MONTH(Settings!$B$3)),Settings!$B$13,0))</f>
        <v/>
      </c>
      <c r="R619" s="77">
        <f>IF($A619="","",N619+P619)</f>
        <v/>
      </c>
      <c r="S619" s="78">
        <f>IF($A619="","",O619+Q619)</f>
        <v/>
      </c>
    </row>
    <row r="620">
      <c r="A620" s="67" t="n"/>
      <c r="B620" s="75" t="n"/>
      <c r="C620" s="76" t="n"/>
      <c r="D620" s="75" t="n"/>
      <c r="E620" s="76" t="n"/>
      <c r="F620" s="75" t="n"/>
      <c r="G620" s="76" t="n"/>
      <c r="H620" s="75" t="n"/>
      <c r="I620" s="76" t="n"/>
      <c r="J620" s="77">
        <f>IF($A620="","",B620+D620+F620)</f>
        <v/>
      </c>
      <c r="K620" s="78">
        <f>IF($A620="","",C620+E620+G620)</f>
        <v/>
      </c>
      <c r="L620" s="79">
        <f>IF($A620="","",J620+H620)</f>
        <v/>
      </c>
      <c r="M620" s="80">
        <f>IF($A620="","",K620+I620)</f>
        <v/>
      </c>
      <c r="N620" s="77">
        <f>IF($A620="","",SUMIFS($J$5:$J$800,$A$5:$A$800,"&gt;="&amp;DATE(YEAR($A620),MONTH($A620),1),$A$5:$A$800,"&lt;="&amp;$A620)+IF(AND(YEAR($A620)=YEAR(Settings!$B$3),MONTH($A620)=MONTH(Settings!$B$3)),Settings!$B$10,0))</f>
        <v/>
      </c>
      <c r="O620" s="78">
        <f>IF($A620="","",SUMIFS($K$5:$K$800,$A$5:$A$800,"&gt;="&amp;DATE(YEAR($A620),MONTH($A620),1),$A$5:$A$800,"&lt;="&amp;$A620)+IF(AND(YEAR($A620)=YEAR(Settings!$B$3),MONTH($A620)=MONTH(Settings!$B$3)),Settings!$B$11,0))</f>
        <v/>
      </c>
      <c r="P620" s="77">
        <f>IF($A620="","",SUMIFS($H$5:$H$800,$A$5:$A$800,"&gt;="&amp;DATE(YEAR($A620),MONTH($A620),1),$A$5:$A$800,"&lt;="&amp;$A620)+IF(AND(YEAR($A620)=YEAR(Settings!$B$3),MONTH($A620)=MONTH(Settings!$B$3)),Settings!$B$12,0))</f>
        <v/>
      </c>
      <c r="Q620" s="78">
        <f>IF($A620="","",SUMIFS($I$5:$I$800,$A$5:$A$800,"&gt;="&amp;DATE(YEAR($A620),MONTH($A620),1),$A$5:$A$800,"&lt;="&amp;$A620)+IF(AND(YEAR($A620)=YEAR(Settings!$B$3),MONTH($A620)=MONTH(Settings!$B$3)),Settings!$B$13,0))</f>
        <v/>
      </c>
      <c r="R620" s="77">
        <f>IF($A620="","",N620+P620)</f>
        <v/>
      </c>
      <c r="S620" s="78">
        <f>IF($A620="","",O620+Q620)</f>
        <v/>
      </c>
    </row>
    <row r="621">
      <c r="A621" s="67" t="n"/>
      <c r="B621" s="75" t="n"/>
      <c r="C621" s="76" t="n"/>
      <c r="D621" s="75" t="n"/>
      <c r="E621" s="76" t="n"/>
      <c r="F621" s="75" t="n"/>
      <c r="G621" s="76" t="n"/>
      <c r="H621" s="75" t="n"/>
      <c r="I621" s="76" t="n"/>
      <c r="J621" s="77">
        <f>IF($A621="","",B621+D621+F621)</f>
        <v/>
      </c>
      <c r="K621" s="78">
        <f>IF($A621="","",C621+E621+G621)</f>
        <v/>
      </c>
      <c r="L621" s="79">
        <f>IF($A621="","",J621+H621)</f>
        <v/>
      </c>
      <c r="M621" s="80">
        <f>IF($A621="","",K621+I621)</f>
        <v/>
      </c>
      <c r="N621" s="77">
        <f>IF($A621="","",SUMIFS($J$5:$J$800,$A$5:$A$800,"&gt;="&amp;DATE(YEAR($A621),MONTH($A621),1),$A$5:$A$800,"&lt;="&amp;$A621)+IF(AND(YEAR($A621)=YEAR(Settings!$B$3),MONTH($A621)=MONTH(Settings!$B$3)),Settings!$B$10,0))</f>
        <v/>
      </c>
      <c r="O621" s="78">
        <f>IF($A621="","",SUMIFS($K$5:$K$800,$A$5:$A$800,"&gt;="&amp;DATE(YEAR($A621),MONTH($A621),1),$A$5:$A$800,"&lt;="&amp;$A621)+IF(AND(YEAR($A621)=YEAR(Settings!$B$3),MONTH($A621)=MONTH(Settings!$B$3)),Settings!$B$11,0))</f>
        <v/>
      </c>
      <c r="P621" s="77">
        <f>IF($A621="","",SUMIFS($H$5:$H$800,$A$5:$A$800,"&gt;="&amp;DATE(YEAR($A621),MONTH($A621),1),$A$5:$A$800,"&lt;="&amp;$A621)+IF(AND(YEAR($A621)=YEAR(Settings!$B$3),MONTH($A621)=MONTH(Settings!$B$3)),Settings!$B$12,0))</f>
        <v/>
      </c>
      <c r="Q621" s="78">
        <f>IF($A621="","",SUMIFS($I$5:$I$800,$A$5:$A$800,"&gt;="&amp;DATE(YEAR($A621),MONTH($A621),1),$A$5:$A$800,"&lt;="&amp;$A621)+IF(AND(YEAR($A621)=YEAR(Settings!$B$3),MONTH($A621)=MONTH(Settings!$B$3)),Settings!$B$13,0))</f>
        <v/>
      </c>
      <c r="R621" s="77">
        <f>IF($A621="","",N621+P621)</f>
        <v/>
      </c>
      <c r="S621" s="78">
        <f>IF($A621="","",O621+Q621)</f>
        <v/>
      </c>
    </row>
    <row r="622">
      <c r="A622" s="67" t="n"/>
      <c r="B622" s="75" t="n"/>
      <c r="C622" s="76" t="n"/>
      <c r="D622" s="75" t="n"/>
      <c r="E622" s="76" t="n"/>
      <c r="F622" s="75" t="n"/>
      <c r="G622" s="76" t="n"/>
      <c r="H622" s="75" t="n"/>
      <c r="I622" s="76" t="n"/>
      <c r="J622" s="77">
        <f>IF($A622="","",B622+D622+F622)</f>
        <v/>
      </c>
      <c r="K622" s="78">
        <f>IF($A622="","",C622+E622+G622)</f>
        <v/>
      </c>
      <c r="L622" s="79">
        <f>IF($A622="","",J622+H622)</f>
        <v/>
      </c>
      <c r="M622" s="80">
        <f>IF($A622="","",K622+I622)</f>
        <v/>
      </c>
      <c r="N622" s="77">
        <f>IF($A622="","",SUMIFS($J$5:$J$800,$A$5:$A$800,"&gt;="&amp;DATE(YEAR($A622),MONTH($A622),1),$A$5:$A$800,"&lt;="&amp;$A622)+IF(AND(YEAR($A622)=YEAR(Settings!$B$3),MONTH($A622)=MONTH(Settings!$B$3)),Settings!$B$10,0))</f>
        <v/>
      </c>
      <c r="O622" s="78">
        <f>IF($A622="","",SUMIFS($K$5:$K$800,$A$5:$A$800,"&gt;="&amp;DATE(YEAR($A622),MONTH($A622),1),$A$5:$A$800,"&lt;="&amp;$A622)+IF(AND(YEAR($A622)=YEAR(Settings!$B$3),MONTH($A622)=MONTH(Settings!$B$3)),Settings!$B$11,0))</f>
        <v/>
      </c>
      <c r="P622" s="77">
        <f>IF($A622="","",SUMIFS($H$5:$H$800,$A$5:$A$800,"&gt;="&amp;DATE(YEAR($A622),MONTH($A622),1),$A$5:$A$800,"&lt;="&amp;$A622)+IF(AND(YEAR($A622)=YEAR(Settings!$B$3),MONTH($A622)=MONTH(Settings!$B$3)),Settings!$B$12,0))</f>
        <v/>
      </c>
      <c r="Q622" s="78">
        <f>IF($A622="","",SUMIFS($I$5:$I$800,$A$5:$A$800,"&gt;="&amp;DATE(YEAR($A622),MONTH($A622),1),$A$5:$A$800,"&lt;="&amp;$A622)+IF(AND(YEAR($A622)=YEAR(Settings!$B$3),MONTH($A622)=MONTH(Settings!$B$3)),Settings!$B$13,0))</f>
        <v/>
      </c>
      <c r="R622" s="77">
        <f>IF($A622="","",N622+P622)</f>
        <v/>
      </c>
      <c r="S622" s="78">
        <f>IF($A622="","",O622+Q622)</f>
        <v/>
      </c>
    </row>
    <row r="623">
      <c r="A623" s="67" t="n"/>
      <c r="B623" s="75" t="n"/>
      <c r="C623" s="76" t="n"/>
      <c r="D623" s="75" t="n"/>
      <c r="E623" s="76" t="n"/>
      <c r="F623" s="75" t="n"/>
      <c r="G623" s="76" t="n"/>
      <c r="H623" s="75" t="n"/>
      <c r="I623" s="76" t="n"/>
      <c r="J623" s="77">
        <f>IF($A623="","",B623+D623+F623)</f>
        <v/>
      </c>
      <c r="K623" s="78">
        <f>IF($A623="","",C623+E623+G623)</f>
        <v/>
      </c>
      <c r="L623" s="79">
        <f>IF($A623="","",J623+H623)</f>
        <v/>
      </c>
      <c r="M623" s="80">
        <f>IF($A623="","",K623+I623)</f>
        <v/>
      </c>
      <c r="N623" s="77">
        <f>IF($A623="","",SUMIFS($J$5:$J$800,$A$5:$A$800,"&gt;="&amp;DATE(YEAR($A623),MONTH($A623),1),$A$5:$A$800,"&lt;="&amp;$A623)+IF(AND(YEAR($A623)=YEAR(Settings!$B$3),MONTH($A623)=MONTH(Settings!$B$3)),Settings!$B$10,0))</f>
        <v/>
      </c>
      <c r="O623" s="78">
        <f>IF($A623="","",SUMIFS($K$5:$K$800,$A$5:$A$800,"&gt;="&amp;DATE(YEAR($A623),MONTH($A623),1),$A$5:$A$800,"&lt;="&amp;$A623)+IF(AND(YEAR($A623)=YEAR(Settings!$B$3),MONTH($A623)=MONTH(Settings!$B$3)),Settings!$B$11,0))</f>
        <v/>
      </c>
      <c r="P623" s="77">
        <f>IF($A623="","",SUMIFS($H$5:$H$800,$A$5:$A$800,"&gt;="&amp;DATE(YEAR($A623),MONTH($A623),1),$A$5:$A$800,"&lt;="&amp;$A623)+IF(AND(YEAR($A623)=YEAR(Settings!$B$3),MONTH($A623)=MONTH(Settings!$B$3)),Settings!$B$12,0))</f>
        <v/>
      </c>
      <c r="Q623" s="78">
        <f>IF($A623="","",SUMIFS($I$5:$I$800,$A$5:$A$800,"&gt;="&amp;DATE(YEAR($A623),MONTH($A623),1),$A$5:$A$800,"&lt;="&amp;$A623)+IF(AND(YEAR($A623)=YEAR(Settings!$B$3),MONTH($A623)=MONTH(Settings!$B$3)),Settings!$B$13,0))</f>
        <v/>
      </c>
      <c r="R623" s="77">
        <f>IF($A623="","",N623+P623)</f>
        <v/>
      </c>
      <c r="S623" s="78">
        <f>IF($A623="","",O623+Q623)</f>
        <v/>
      </c>
    </row>
    <row r="624">
      <c r="A624" s="67" t="n"/>
      <c r="B624" s="75" t="n"/>
      <c r="C624" s="76" t="n"/>
      <c r="D624" s="75" t="n"/>
      <c r="E624" s="76" t="n"/>
      <c r="F624" s="75" t="n"/>
      <c r="G624" s="76" t="n"/>
      <c r="H624" s="75" t="n"/>
      <c r="I624" s="76" t="n"/>
      <c r="J624" s="77">
        <f>IF($A624="","",B624+D624+F624)</f>
        <v/>
      </c>
      <c r="K624" s="78">
        <f>IF($A624="","",C624+E624+G624)</f>
        <v/>
      </c>
      <c r="L624" s="79">
        <f>IF($A624="","",J624+H624)</f>
        <v/>
      </c>
      <c r="M624" s="80">
        <f>IF($A624="","",K624+I624)</f>
        <v/>
      </c>
      <c r="N624" s="77">
        <f>IF($A624="","",SUMIFS($J$5:$J$800,$A$5:$A$800,"&gt;="&amp;DATE(YEAR($A624),MONTH($A624),1),$A$5:$A$800,"&lt;="&amp;$A624)+IF(AND(YEAR($A624)=YEAR(Settings!$B$3),MONTH($A624)=MONTH(Settings!$B$3)),Settings!$B$10,0))</f>
        <v/>
      </c>
      <c r="O624" s="78">
        <f>IF($A624="","",SUMIFS($K$5:$K$800,$A$5:$A$800,"&gt;="&amp;DATE(YEAR($A624),MONTH($A624),1),$A$5:$A$800,"&lt;="&amp;$A624)+IF(AND(YEAR($A624)=YEAR(Settings!$B$3),MONTH($A624)=MONTH(Settings!$B$3)),Settings!$B$11,0))</f>
        <v/>
      </c>
      <c r="P624" s="77">
        <f>IF($A624="","",SUMIFS($H$5:$H$800,$A$5:$A$800,"&gt;="&amp;DATE(YEAR($A624),MONTH($A624),1),$A$5:$A$800,"&lt;="&amp;$A624)+IF(AND(YEAR($A624)=YEAR(Settings!$B$3),MONTH($A624)=MONTH(Settings!$B$3)),Settings!$B$12,0))</f>
        <v/>
      </c>
      <c r="Q624" s="78">
        <f>IF($A624="","",SUMIFS($I$5:$I$800,$A$5:$A$800,"&gt;="&amp;DATE(YEAR($A624),MONTH($A624),1),$A$5:$A$800,"&lt;="&amp;$A624)+IF(AND(YEAR($A624)=YEAR(Settings!$B$3),MONTH($A624)=MONTH(Settings!$B$3)),Settings!$B$13,0))</f>
        <v/>
      </c>
      <c r="R624" s="77">
        <f>IF($A624="","",N624+P624)</f>
        <v/>
      </c>
      <c r="S624" s="78">
        <f>IF($A624="","",O624+Q624)</f>
        <v/>
      </c>
    </row>
    <row r="625">
      <c r="A625" s="67" t="n"/>
      <c r="B625" s="75" t="n"/>
      <c r="C625" s="76" t="n"/>
      <c r="D625" s="75" t="n"/>
      <c r="E625" s="76" t="n"/>
      <c r="F625" s="75" t="n"/>
      <c r="G625" s="76" t="n"/>
      <c r="H625" s="75" t="n"/>
      <c r="I625" s="76" t="n"/>
      <c r="J625" s="77">
        <f>IF($A625="","",B625+D625+F625)</f>
        <v/>
      </c>
      <c r="K625" s="78">
        <f>IF($A625="","",C625+E625+G625)</f>
        <v/>
      </c>
      <c r="L625" s="79">
        <f>IF($A625="","",J625+H625)</f>
        <v/>
      </c>
      <c r="M625" s="80">
        <f>IF($A625="","",K625+I625)</f>
        <v/>
      </c>
      <c r="N625" s="77">
        <f>IF($A625="","",SUMIFS($J$5:$J$800,$A$5:$A$800,"&gt;="&amp;DATE(YEAR($A625),MONTH($A625),1),$A$5:$A$800,"&lt;="&amp;$A625)+IF(AND(YEAR($A625)=YEAR(Settings!$B$3),MONTH($A625)=MONTH(Settings!$B$3)),Settings!$B$10,0))</f>
        <v/>
      </c>
      <c r="O625" s="78">
        <f>IF($A625="","",SUMIFS($K$5:$K$800,$A$5:$A$800,"&gt;="&amp;DATE(YEAR($A625),MONTH($A625),1),$A$5:$A$800,"&lt;="&amp;$A625)+IF(AND(YEAR($A625)=YEAR(Settings!$B$3),MONTH($A625)=MONTH(Settings!$B$3)),Settings!$B$11,0))</f>
        <v/>
      </c>
      <c r="P625" s="77">
        <f>IF($A625="","",SUMIFS($H$5:$H$800,$A$5:$A$800,"&gt;="&amp;DATE(YEAR($A625),MONTH($A625),1),$A$5:$A$800,"&lt;="&amp;$A625)+IF(AND(YEAR($A625)=YEAR(Settings!$B$3),MONTH($A625)=MONTH(Settings!$B$3)),Settings!$B$12,0))</f>
        <v/>
      </c>
      <c r="Q625" s="78">
        <f>IF($A625="","",SUMIFS($I$5:$I$800,$A$5:$A$800,"&gt;="&amp;DATE(YEAR($A625),MONTH($A625),1),$A$5:$A$800,"&lt;="&amp;$A625)+IF(AND(YEAR($A625)=YEAR(Settings!$B$3),MONTH($A625)=MONTH(Settings!$B$3)),Settings!$B$13,0))</f>
        <v/>
      </c>
      <c r="R625" s="77">
        <f>IF($A625="","",N625+P625)</f>
        <v/>
      </c>
      <c r="S625" s="78">
        <f>IF($A625="","",O625+Q625)</f>
        <v/>
      </c>
    </row>
    <row r="626">
      <c r="A626" s="67" t="n"/>
      <c r="B626" s="75" t="n"/>
      <c r="C626" s="76" t="n"/>
      <c r="D626" s="75" t="n"/>
      <c r="E626" s="76" t="n"/>
      <c r="F626" s="75" t="n"/>
      <c r="G626" s="76" t="n"/>
      <c r="H626" s="75" t="n"/>
      <c r="I626" s="76" t="n"/>
      <c r="J626" s="77">
        <f>IF($A626="","",B626+D626+F626)</f>
        <v/>
      </c>
      <c r="K626" s="78">
        <f>IF($A626="","",C626+E626+G626)</f>
        <v/>
      </c>
      <c r="L626" s="79">
        <f>IF($A626="","",J626+H626)</f>
        <v/>
      </c>
      <c r="M626" s="80">
        <f>IF($A626="","",K626+I626)</f>
        <v/>
      </c>
      <c r="N626" s="77">
        <f>IF($A626="","",SUMIFS($J$5:$J$800,$A$5:$A$800,"&gt;="&amp;DATE(YEAR($A626),MONTH($A626),1),$A$5:$A$800,"&lt;="&amp;$A626)+IF(AND(YEAR($A626)=YEAR(Settings!$B$3),MONTH($A626)=MONTH(Settings!$B$3)),Settings!$B$10,0))</f>
        <v/>
      </c>
      <c r="O626" s="78">
        <f>IF($A626="","",SUMIFS($K$5:$K$800,$A$5:$A$800,"&gt;="&amp;DATE(YEAR($A626),MONTH($A626),1),$A$5:$A$800,"&lt;="&amp;$A626)+IF(AND(YEAR($A626)=YEAR(Settings!$B$3),MONTH($A626)=MONTH(Settings!$B$3)),Settings!$B$11,0))</f>
        <v/>
      </c>
      <c r="P626" s="77">
        <f>IF($A626="","",SUMIFS($H$5:$H$800,$A$5:$A$800,"&gt;="&amp;DATE(YEAR($A626),MONTH($A626),1),$A$5:$A$800,"&lt;="&amp;$A626)+IF(AND(YEAR($A626)=YEAR(Settings!$B$3),MONTH($A626)=MONTH(Settings!$B$3)),Settings!$B$12,0))</f>
        <v/>
      </c>
      <c r="Q626" s="78">
        <f>IF($A626="","",SUMIFS($I$5:$I$800,$A$5:$A$800,"&gt;="&amp;DATE(YEAR($A626),MONTH($A626),1),$A$5:$A$800,"&lt;="&amp;$A626)+IF(AND(YEAR($A626)=YEAR(Settings!$B$3),MONTH($A626)=MONTH(Settings!$B$3)),Settings!$B$13,0))</f>
        <v/>
      </c>
      <c r="R626" s="77">
        <f>IF($A626="","",N626+P626)</f>
        <v/>
      </c>
      <c r="S626" s="78">
        <f>IF($A626="","",O626+Q626)</f>
        <v/>
      </c>
    </row>
    <row r="627">
      <c r="A627" s="67" t="n"/>
      <c r="B627" s="75" t="n"/>
      <c r="C627" s="76" t="n"/>
      <c r="D627" s="75" t="n"/>
      <c r="E627" s="76" t="n"/>
      <c r="F627" s="75" t="n"/>
      <c r="G627" s="76" t="n"/>
      <c r="H627" s="75" t="n"/>
      <c r="I627" s="76" t="n"/>
      <c r="J627" s="77">
        <f>IF($A627="","",B627+D627+F627)</f>
        <v/>
      </c>
      <c r="K627" s="78">
        <f>IF($A627="","",C627+E627+G627)</f>
        <v/>
      </c>
      <c r="L627" s="79">
        <f>IF($A627="","",J627+H627)</f>
        <v/>
      </c>
      <c r="M627" s="80">
        <f>IF($A627="","",K627+I627)</f>
        <v/>
      </c>
      <c r="N627" s="77">
        <f>IF($A627="","",SUMIFS($J$5:$J$800,$A$5:$A$800,"&gt;="&amp;DATE(YEAR($A627),MONTH($A627),1),$A$5:$A$800,"&lt;="&amp;$A627)+IF(AND(YEAR($A627)=YEAR(Settings!$B$3),MONTH($A627)=MONTH(Settings!$B$3)),Settings!$B$10,0))</f>
        <v/>
      </c>
      <c r="O627" s="78">
        <f>IF($A627="","",SUMIFS($K$5:$K$800,$A$5:$A$800,"&gt;="&amp;DATE(YEAR($A627),MONTH($A627),1),$A$5:$A$800,"&lt;="&amp;$A627)+IF(AND(YEAR($A627)=YEAR(Settings!$B$3),MONTH($A627)=MONTH(Settings!$B$3)),Settings!$B$11,0))</f>
        <v/>
      </c>
      <c r="P627" s="77">
        <f>IF($A627="","",SUMIFS($H$5:$H$800,$A$5:$A$800,"&gt;="&amp;DATE(YEAR($A627),MONTH($A627),1),$A$5:$A$800,"&lt;="&amp;$A627)+IF(AND(YEAR($A627)=YEAR(Settings!$B$3),MONTH($A627)=MONTH(Settings!$B$3)),Settings!$B$12,0))</f>
        <v/>
      </c>
      <c r="Q627" s="78">
        <f>IF($A627="","",SUMIFS($I$5:$I$800,$A$5:$A$800,"&gt;="&amp;DATE(YEAR($A627),MONTH($A627),1),$A$5:$A$800,"&lt;="&amp;$A627)+IF(AND(YEAR($A627)=YEAR(Settings!$B$3),MONTH($A627)=MONTH(Settings!$B$3)),Settings!$B$13,0))</f>
        <v/>
      </c>
      <c r="R627" s="77">
        <f>IF($A627="","",N627+P627)</f>
        <v/>
      </c>
      <c r="S627" s="78">
        <f>IF($A627="","",O627+Q627)</f>
        <v/>
      </c>
    </row>
    <row r="628">
      <c r="A628" s="67" t="n"/>
      <c r="B628" s="75" t="n"/>
      <c r="C628" s="76" t="n"/>
      <c r="D628" s="75" t="n"/>
      <c r="E628" s="76" t="n"/>
      <c r="F628" s="75" t="n"/>
      <c r="G628" s="76" t="n"/>
      <c r="H628" s="75" t="n"/>
      <c r="I628" s="76" t="n"/>
      <c r="J628" s="77">
        <f>IF($A628="","",B628+D628+F628)</f>
        <v/>
      </c>
      <c r="K628" s="78">
        <f>IF($A628="","",C628+E628+G628)</f>
        <v/>
      </c>
      <c r="L628" s="79">
        <f>IF($A628="","",J628+H628)</f>
        <v/>
      </c>
      <c r="M628" s="80">
        <f>IF($A628="","",K628+I628)</f>
        <v/>
      </c>
      <c r="N628" s="77">
        <f>IF($A628="","",SUMIFS($J$5:$J$800,$A$5:$A$800,"&gt;="&amp;DATE(YEAR($A628),MONTH($A628),1),$A$5:$A$800,"&lt;="&amp;$A628)+IF(AND(YEAR($A628)=YEAR(Settings!$B$3),MONTH($A628)=MONTH(Settings!$B$3)),Settings!$B$10,0))</f>
        <v/>
      </c>
      <c r="O628" s="78">
        <f>IF($A628="","",SUMIFS($K$5:$K$800,$A$5:$A$800,"&gt;="&amp;DATE(YEAR($A628),MONTH($A628),1),$A$5:$A$800,"&lt;="&amp;$A628)+IF(AND(YEAR($A628)=YEAR(Settings!$B$3),MONTH($A628)=MONTH(Settings!$B$3)),Settings!$B$11,0))</f>
        <v/>
      </c>
      <c r="P628" s="77">
        <f>IF($A628="","",SUMIFS($H$5:$H$800,$A$5:$A$800,"&gt;="&amp;DATE(YEAR($A628),MONTH($A628),1),$A$5:$A$800,"&lt;="&amp;$A628)+IF(AND(YEAR($A628)=YEAR(Settings!$B$3),MONTH($A628)=MONTH(Settings!$B$3)),Settings!$B$12,0))</f>
        <v/>
      </c>
      <c r="Q628" s="78">
        <f>IF($A628="","",SUMIFS($I$5:$I$800,$A$5:$A$800,"&gt;="&amp;DATE(YEAR($A628),MONTH($A628),1),$A$5:$A$800,"&lt;="&amp;$A628)+IF(AND(YEAR($A628)=YEAR(Settings!$B$3),MONTH($A628)=MONTH(Settings!$B$3)),Settings!$B$13,0))</f>
        <v/>
      </c>
      <c r="R628" s="77">
        <f>IF($A628="","",N628+P628)</f>
        <v/>
      </c>
      <c r="S628" s="78">
        <f>IF($A628="","",O628+Q628)</f>
        <v/>
      </c>
    </row>
    <row r="629">
      <c r="A629" s="67" t="n"/>
      <c r="B629" s="75" t="n"/>
      <c r="C629" s="76" t="n"/>
      <c r="D629" s="75" t="n"/>
      <c r="E629" s="76" t="n"/>
      <c r="F629" s="75" t="n"/>
      <c r="G629" s="76" t="n"/>
      <c r="H629" s="75" t="n"/>
      <c r="I629" s="76" t="n"/>
      <c r="J629" s="77">
        <f>IF($A629="","",B629+D629+F629)</f>
        <v/>
      </c>
      <c r="K629" s="78">
        <f>IF($A629="","",C629+E629+G629)</f>
        <v/>
      </c>
      <c r="L629" s="79">
        <f>IF($A629="","",J629+H629)</f>
        <v/>
      </c>
      <c r="M629" s="80">
        <f>IF($A629="","",K629+I629)</f>
        <v/>
      </c>
      <c r="N629" s="77">
        <f>IF($A629="","",SUMIFS($J$5:$J$800,$A$5:$A$800,"&gt;="&amp;DATE(YEAR($A629),MONTH($A629),1),$A$5:$A$800,"&lt;="&amp;$A629)+IF(AND(YEAR($A629)=YEAR(Settings!$B$3),MONTH($A629)=MONTH(Settings!$B$3)),Settings!$B$10,0))</f>
        <v/>
      </c>
      <c r="O629" s="78">
        <f>IF($A629="","",SUMIFS($K$5:$K$800,$A$5:$A$800,"&gt;="&amp;DATE(YEAR($A629),MONTH($A629),1),$A$5:$A$800,"&lt;="&amp;$A629)+IF(AND(YEAR($A629)=YEAR(Settings!$B$3),MONTH($A629)=MONTH(Settings!$B$3)),Settings!$B$11,0))</f>
        <v/>
      </c>
      <c r="P629" s="77">
        <f>IF($A629="","",SUMIFS($H$5:$H$800,$A$5:$A$800,"&gt;="&amp;DATE(YEAR($A629),MONTH($A629),1),$A$5:$A$800,"&lt;="&amp;$A629)+IF(AND(YEAR($A629)=YEAR(Settings!$B$3),MONTH($A629)=MONTH(Settings!$B$3)),Settings!$B$12,0))</f>
        <v/>
      </c>
      <c r="Q629" s="78">
        <f>IF($A629="","",SUMIFS($I$5:$I$800,$A$5:$A$800,"&gt;="&amp;DATE(YEAR($A629),MONTH($A629),1),$A$5:$A$800,"&lt;="&amp;$A629)+IF(AND(YEAR($A629)=YEAR(Settings!$B$3),MONTH($A629)=MONTH(Settings!$B$3)),Settings!$B$13,0))</f>
        <v/>
      </c>
      <c r="R629" s="77">
        <f>IF($A629="","",N629+P629)</f>
        <v/>
      </c>
      <c r="S629" s="78">
        <f>IF($A629="","",O629+Q629)</f>
        <v/>
      </c>
    </row>
    <row r="630">
      <c r="A630" s="67" t="n"/>
      <c r="B630" s="75" t="n"/>
      <c r="C630" s="76" t="n"/>
      <c r="D630" s="75" t="n"/>
      <c r="E630" s="76" t="n"/>
      <c r="F630" s="75" t="n"/>
      <c r="G630" s="76" t="n"/>
      <c r="H630" s="75" t="n"/>
      <c r="I630" s="76" t="n"/>
      <c r="J630" s="77">
        <f>IF($A630="","",B630+D630+F630)</f>
        <v/>
      </c>
      <c r="K630" s="78">
        <f>IF($A630="","",C630+E630+G630)</f>
        <v/>
      </c>
      <c r="L630" s="79">
        <f>IF($A630="","",J630+H630)</f>
        <v/>
      </c>
      <c r="M630" s="80">
        <f>IF($A630="","",K630+I630)</f>
        <v/>
      </c>
      <c r="N630" s="77">
        <f>IF($A630="","",SUMIFS($J$5:$J$800,$A$5:$A$800,"&gt;="&amp;DATE(YEAR($A630),MONTH($A630),1),$A$5:$A$800,"&lt;="&amp;$A630)+IF(AND(YEAR($A630)=YEAR(Settings!$B$3),MONTH($A630)=MONTH(Settings!$B$3)),Settings!$B$10,0))</f>
        <v/>
      </c>
      <c r="O630" s="78">
        <f>IF($A630="","",SUMIFS($K$5:$K$800,$A$5:$A$800,"&gt;="&amp;DATE(YEAR($A630),MONTH($A630),1),$A$5:$A$800,"&lt;="&amp;$A630)+IF(AND(YEAR($A630)=YEAR(Settings!$B$3),MONTH($A630)=MONTH(Settings!$B$3)),Settings!$B$11,0))</f>
        <v/>
      </c>
      <c r="P630" s="77">
        <f>IF($A630="","",SUMIFS($H$5:$H$800,$A$5:$A$800,"&gt;="&amp;DATE(YEAR($A630),MONTH($A630),1),$A$5:$A$800,"&lt;="&amp;$A630)+IF(AND(YEAR($A630)=YEAR(Settings!$B$3),MONTH($A630)=MONTH(Settings!$B$3)),Settings!$B$12,0))</f>
        <v/>
      </c>
      <c r="Q630" s="78">
        <f>IF($A630="","",SUMIFS($I$5:$I$800,$A$5:$A$800,"&gt;="&amp;DATE(YEAR($A630),MONTH($A630),1),$A$5:$A$800,"&lt;="&amp;$A630)+IF(AND(YEAR($A630)=YEAR(Settings!$B$3),MONTH($A630)=MONTH(Settings!$B$3)),Settings!$B$13,0))</f>
        <v/>
      </c>
      <c r="R630" s="77">
        <f>IF($A630="","",N630+P630)</f>
        <v/>
      </c>
      <c r="S630" s="78">
        <f>IF($A630="","",O630+Q630)</f>
        <v/>
      </c>
    </row>
    <row r="631">
      <c r="A631" s="67" t="n"/>
      <c r="B631" s="75" t="n"/>
      <c r="C631" s="76" t="n"/>
      <c r="D631" s="75" t="n"/>
      <c r="E631" s="76" t="n"/>
      <c r="F631" s="75" t="n"/>
      <c r="G631" s="76" t="n"/>
      <c r="H631" s="75" t="n"/>
      <c r="I631" s="76" t="n"/>
      <c r="J631" s="77">
        <f>IF($A631="","",B631+D631+F631)</f>
        <v/>
      </c>
      <c r="K631" s="78">
        <f>IF($A631="","",C631+E631+G631)</f>
        <v/>
      </c>
      <c r="L631" s="79">
        <f>IF($A631="","",J631+H631)</f>
        <v/>
      </c>
      <c r="M631" s="80">
        <f>IF($A631="","",K631+I631)</f>
        <v/>
      </c>
      <c r="N631" s="77">
        <f>IF($A631="","",SUMIFS($J$5:$J$800,$A$5:$A$800,"&gt;="&amp;DATE(YEAR($A631),MONTH($A631),1),$A$5:$A$800,"&lt;="&amp;$A631)+IF(AND(YEAR($A631)=YEAR(Settings!$B$3),MONTH($A631)=MONTH(Settings!$B$3)),Settings!$B$10,0))</f>
        <v/>
      </c>
      <c r="O631" s="78">
        <f>IF($A631="","",SUMIFS($K$5:$K$800,$A$5:$A$800,"&gt;="&amp;DATE(YEAR($A631),MONTH($A631),1),$A$5:$A$800,"&lt;="&amp;$A631)+IF(AND(YEAR($A631)=YEAR(Settings!$B$3),MONTH($A631)=MONTH(Settings!$B$3)),Settings!$B$11,0))</f>
        <v/>
      </c>
      <c r="P631" s="77">
        <f>IF($A631="","",SUMIFS($H$5:$H$800,$A$5:$A$800,"&gt;="&amp;DATE(YEAR($A631),MONTH($A631),1),$A$5:$A$800,"&lt;="&amp;$A631)+IF(AND(YEAR($A631)=YEAR(Settings!$B$3),MONTH($A631)=MONTH(Settings!$B$3)),Settings!$B$12,0))</f>
        <v/>
      </c>
      <c r="Q631" s="78">
        <f>IF($A631="","",SUMIFS($I$5:$I$800,$A$5:$A$800,"&gt;="&amp;DATE(YEAR($A631),MONTH($A631),1),$A$5:$A$800,"&lt;="&amp;$A631)+IF(AND(YEAR($A631)=YEAR(Settings!$B$3),MONTH($A631)=MONTH(Settings!$B$3)),Settings!$B$13,0))</f>
        <v/>
      </c>
      <c r="R631" s="77">
        <f>IF($A631="","",N631+P631)</f>
        <v/>
      </c>
      <c r="S631" s="78">
        <f>IF($A631="","",O631+Q631)</f>
        <v/>
      </c>
    </row>
    <row r="632">
      <c r="A632" s="67" t="n"/>
      <c r="B632" s="75" t="n"/>
      <c r="C632" s="76" t="n"/>
      <c r="D632" s="75" t="n"/>
      <c r="E632" s="76" t="n"/>
      <c r="F632" s="75" t="n"/>
      <c r="G632" s="76" t="n"/>
      <c r="H632" s="75" t="n"/>
      <c r="I632" s="76" t="n"/>
      <c r="J632" s="77">
        <f>IF($A632="","",B632+D632+F632)</f>
        <v/>
      </c>
      <c r="K632" s="78">
        <f>IF($A632="","",C632+E632+G632)</f>
        <v/>
      </c>
      <c r="L632" s="79">
        <f>IF($A632="","",J632+H632)</f>
        <v/>
      </c>
      <c r="M632" s="80">
        <f>IF($A632="","",K632+I632)</f>
        <v/>
      </c>
      <c r="N632" s="77">
        <f>IF($A632="","",SUMIFS($J$5:$J$800,$A$5:$A$800,"&gt;="&amp;DATE(YEAR($A632),MONTH($A632),1),$A$5:$A$800,"&lt;="&amp;$A632)+IF(AND(YEAR($A632)=YEAR(Settings!$B$3),MONTH($A632)=MONTH(Settings!$B$3)),Settings!$B$10,0))</f>
        <v/>
      </c>
      <c r="O632" s="78">
        <f>IF($A632="","",SUMIFS($K$5:$K$800,$A$5:$A$800,"&gt;="&amp;DATE(YEAR($A632),MONTH($A632),1),$A$5:$A$800,"&lt;="&amp;$A632)+IF(AND(YEAR($A632)=YEAR(Settings!$B$3),MONTH($A632)=MONTH(Settings!$B$3)),Settings!$B$11,0))</f>
        <v/>
      </c>
      <c r="P632" s="77">
        <f>IF($A632="","",SUMIFS($H$5:$H$800,$A$5:$A$800,"&gt;="&amp;DATE(YEAR($A632),MONTH($A632),1),$A$5:$A$800,"&lt;="&amp;$A632)+IF(AND(YEAR($A632)=YEAR(Settings!$B$3),MONTH($A632)=MONTH(Settings!$B$3)),Settings!$B$12,0))</f>
        <v/>
      </c>
      <c r="Q632" s="78">
        <f>IF($A632="","",SUMIFS($I$5:$I$800,$A$5:$A$800,"&gt;="&amp;DATE(YEAR($A632),MONTH($A632),1),$A$5:$A$800,"&lt;="&amp;$A632)+IF(AND(YEAR($A632)=YEAR(Settings!$B$3),MONTH($A632)=MONTH(Settings!$B$3)),Settings!$B$13,0))</f>
        <v/>
      </c>
      <c r="R632" s="77">
        <f>IF($A632="","",N632+P632)</f>
        <v/>
      </c>
      <c r="S632" s="78">
        <f>IF($A632="","",O632+Q632)</f>
        <v/>
      </c>
    </row>
    <row r="633">
      <c r="A633" s="67" t="n"/>
      <c r="B633" s="75" t="n"/>
      <c r="C633" s="76" t="n"/>
      <c r="D633" s="75" t="n"/>
      <c r="E633" s="76" t="n"/>
      <c r="F633" s="75" t="n"/>
      <c r="G633" s="76" t="n"/>
      <c r="H633" s="75" t="n"/>
      <c r="I633" s="76" t="n"/>
      <c r="J633" s="77">
        <f>IF($A633="","",B633+D633+F633)</f>
        <v/>
      </c>
      <c r="K633" s="78">
        <f>IF($A633="","",C633+E633+G633)</f>
        <v/>
      </c>
      <c r="L633" s="79">
        <f>IF($A633="","",J633+H633)</f>
        <v/>
      </c>
      <c r="M633" s="80">
        <f>IF($A633="","",K633+I633)</f>
        <v/>
      </c>
      <c r="N633" s="77">
        <f>IF($A633="","",SUMIFS($J$5:$J$800,$A$5:$A$800,"&gt;="&amp;DATE(YEAR($A633),MONTH($A633),1),$A$5:$A$800,"&lt;="&amp;$A633)+IF(AND(YEAR($A633)=YEAR(Settings!$B$3),MONTH($A633)=MONTH(Settings!$B$3)),Settings!$B$10,0))</f>
        <v/>
      </c>
      <c r="O633" s="78">
        <f>IF($A633="","",SUMIFS($K$5:$K$800,$A$5:$A$800,"&gt;="&amp;DATE(YEAR($A633),MONTH($A633),1),$A$5:$A$800,"&lt;="&amp;$A633)+IF(AND(YEAR($A633)=YEAR(Settings!$B$3),MONTH($A633)=MONTH(Settings!$B$3)),Settings!$B$11,0))</f>
        <v/>
      </c>
      <c r="P633" s="77">
        <f>IF($A633="","",SUMIFS($H$5:$H$800,$A$5:$A$800,"&gt;="&amp;DATE(YEAR($A633),MONTH($A633),1),$A$5:$A$800,"&lt;="&amp;$A633)+IF(AND(YEAR($A633)=YEAR(Settings!$B$3),MONTH($A633)=MONTH(Settings!$B$3)),Settings!$B$12,0))</f>
        <v/>
      </c>
      <c r="Q633" s="78">
        <f>IF($A633="","",SUMIFS($I$5:$I$800,$A$5:$A$800,"&gt;="&amp;DATE(YEAR($A633),MONTH($A633),1),$A$5:$A$800,"&lt;="&amp;$A633)+IF(AND(YEAR($A633)=YEAR(Settings!$B$3),MONTH($A633)=MONTH(Settings!$B$3)),Settings!$B$13,0))</f>
        <v/>
      </c>
      <c r="R633" s="77">
        <f>IF($A633="","",N633+P633)</f>
        <v/>
      </c>
      <c r="S633" s="78">
        <f>IF($A633="","",O633+Q633)</f>
        <v/>
      </c>
    </row>
    <row r="634">
      <c r="A634" s="67" t="n"/>
      <c r="B634" s="75" t="n"/>
      <c r="C634" s="76" t="n"/>
      <c r="D634" s="75" t="n"/>
      <c r="E634" s="76" t="n"/>
      <c r="F634" s="75" t="n"/>
      <c r="G634" s="76" t="n"/>
      <c r="H634" s="75" t="n"/>
      <c r="I634" s="76" t="n"/>
      <c r="J634" s="77">
        <f>IF($A634="","",B634+D634+F634)</f>
        <v/>
      </c>
      <c r="K634" s="78">
        <f>IF($A634="","",C634+E634+G634)</f>
        <v/>
      </c>
      <c r="L634" s="79">
        <f>IF($A634="","",J634+H634)</f>
        <v/>
      </c>
      <c r="M634" s="80">
        <f>IF($A634="","",K634+I634)</f>
        <v/>
      </c>
      <c r="N634" s="77">
        <f>IF($A634="","",SUMIFS($J$5:$J$800,$A$5:$A$800,"&gt;="&amp;DATE(YEAR($A634),MONTH($A634),1),$A$5:$A$800,"&lt;="&amp;$A634)+IF(AND(YEAR($A634)=YEAR(Settings!$B$3),MONTH($A634)=MONTH(Settings!$B$3)),Settings!$B$10,0))</f>
        <v/>
      </c>
      <c r="O634" s="78">
        <f>IF($A634="","",SUMIFS($K$5:$K$800,$A$5:$A$800,"&gt;="&amp;DATE(YEAR($A634),MONTH($A634),1),$A$5:$A$800,"&lt;="&amp;$A634)+IF(AND(YEAR($A634)=YEAR(Settings!$B$3),MONTH($A634)=MONTH(Settings!$B$3)),Settings!$B$11,0))</f>
        <v/>
      </c>
      <c r="P634" s="77">
        <f>IF($A634="","",SUMIFS($H$5:$H$800,$A$5:$A$800,"&gt;="&amp;DATE(YEAR($A634),MONTH($A634),1),$A$5:$A$800,"&lt;="&amp;$A634)+IF(AND(YEAR($A634)=YEAR(Settings!$B$3),MONTH($A634)=MONTH(Settings!$B$3)),Settings!$B$12,0))</f>
        <v/>
      </c>
      <c r="Q634" s="78">
        <f>IF($A634="","",SUMIFS($I$5:$I$800,$A$5:$A$800,"&gt;="&amp;DATE(YEAR($A634),MONTH($A634),1),$A$5:$A$800,"&lt;="&amp;$A634)+IF(AND(YEAR($A634)=YEAR(Settings!$B$3),MONTH($A634)=MONTH(Settings!$B$3)),Settings!$B$13,0))</f>
        <v/>
      </c>
      <c r="R634" s="77">
        <f>IF($A634="","",N634+P634)</f>
        <v/>
      </c>
      <c r="S634" s="78">
        <f>IF($A634="","",O634+Q634)</f>
        <v/>
      </c>
    </row>
    <row r="635">
      <c r="A635" s="67" t="n"/>
      <c r="B635" s="75" t="n"/>
      <c r="C635" s="76" t="n"/>
      <c r="D635" s="75" t="n"/>
      <c r="E635" s="76" t="n"/>
      <c r="F635" s="75" t="n"/>
      <c r="G635" s="76" t="n"/>
      <c r="H635" s="75" t="n"/>
      <c r="I635" s="76" t="n"/>
      <c r="J635" s="77">
        <f>IF($A635="","",B635+D635+F635)</f>
        <v/>
      </c>
      <c r="K635" s="78">
        <f>IF($A635="","",C635+E635+G635)</f>
        <v/>
      </c>
      <c r="L635" s="79">
        <f>IF($A635="","",J635+H635)</f>
        <v/>
      </c>
      <c r="M635" s="80">
        <f>IF($A635="","",K635+I635)</f>
        <v/>
      </c>
      <c r="N635" s="77">
        <f>IF($A635="","",SUMIFS($J$5:$J$800,$A$5:$A$800,"&gt;="&amp;DATE(YEAR($A635),MONTH($A635),1),$A$5:$A$800,"&lt;="&amp;$A635)+IF(AND(YEAR($A635)=YEAR(Settings!$B$3),MONTH($A635)=MONTH(Settings!$B$3)),Settings!$B$10,0))</f>
        <v/>
      </c>
      <c r="O635" s="78">
        <f>IF($A635="","",SUMIFS($K$5:$K$800,$A$5:$A$800,"&gt;="&amp;DATE(YEAR($A635),MONTH($A635),1),$A$5:$A$800,"&lt;="&amp;$A635)+IF(AND(YEAR($A635)=YEAR(Settings!$B$3),MONTH($A635)=MONTH(Settings!$B$3)),Settings!$B$11,0))</f>
        <v/>
      </c>
      <c r="P635" s="77">
        <f>IF($A635="","",SUMIFS($H$5:$H$800,$A$5:$A$800,"&gt;="&amp;DATE(YEAR($A635),MONTH($A635),1),$A$5:$A$800,"&lt;="&amp;$A635)+IF(AND(YEAR($A635)=YEAR(Settings!$B$3),MONTH($A635)=MONTH(Settings!$B$3)),Settings!$B$12,0))</f>
        <v/>
      </c>
      <c r="Q635" s="78">
        <f>IF($A635="","",SUMIFS($I$5:$I$800,$A$5:$A$800,"&gt;="&amp;DATE(YEAR($A635),MONTH($A635),1),$A$5:$A$800,"&lt;="&amp;$A635)+IF(AND(YEAR($A635)=YEAR(Settings!$B$3),MONTH($A635)=MONTH(Settings!$B$3)),Settings!$B$13,0))</f>
        <v/>
      </c>
      <c r="R635" s="77">
        <f>IF($A635="","",N635+P635)</f>
        <v/>
      </c>
      <c r="S635" s="78">
        <f>IF($A635="","",O635+Q635)</f>
        <v/>
      </c>
    </row>
    <row r="636">
      <c r="A636" s="67" t="n"/>
      <c r="B636" s="75" t="n"/>
      <c r="C636" s="76" t="n"/>
      <c r="D636" s="75" t="n"/>
      <c r="E636" s="76" t="n"/>
      <c r="F636" s="75" t="n"/>
      <c r="G636" s="76" t="n"/>
      <c r="H636" s="75" t="n"/>
      <c r="I636" s="76" t="n"/>
      <c r="J636" s="77">
        <f>IF($A636="","",B636+D636+F636)</f>
        <v/>
      </c>
      <c r="K636" s="78">
        <f>IF($A636="","",C636+E636+G636)</f>
        <v/>
      </c>
      <c r="L636" s="79">
        <f>IF($A636="","",J636+H636)</f>
        <v/>
      </c>
      <c r="M636" s="80">
        <f>IF($A636="","",K636+I636)</f>
        <v/>
      </c>
      <c r="N636" s="77">
        <f>IF($A636="","",SUMIFS($J$5:$J$800,$A$5:$A$800,"&gt;="&amp;DATE(YEAR($A636),MONTH($A636),1),$A$5:$A$800,"&lt;="&amp;$A636)+IF(AND(YEAR($A636)=YEAR(Settings!$B$3),MONTH($A636)=MONTH(Settings!$B$3)),Settings!$B$10,0))</f>
        <v/>
      </c>
      <c r="O636" s="78">
        <f>IF($A636="","",SUMIFS($K$5:$K$800,$A$5:$A$800,"&gt;="&amp;DATE(YEAR($A636),MONTH($A636),1),$A$5:$A$800,"&lt;="&amp;$A636)+IF(AND(YEAR($A636)=YEAR(Settings!$B$3),MONTH($A636)=MONTH(Settings!$B$3)),Settings!$B$11,0))</f>
        <v/>
      </c>
      <c r="P636" s="77">
        <f>IF($A636="","",SUMIFS($H$5:$H$800,$A$5:$A$800,"&gt;="&amp;DATE(YEAR($A636),MONTH($A636),1),$A$5:$A$800,"&lt;="&amp;$A636)+IF(AND(YEAR($A636)=YEAR(Settings!$B$3),MONTH($A636)=MONTH(Settings!$B$3)),Settings!$B$12,0))</f>
        <v/>
      </c>
      <c r="Q636" s="78">
        <f>IF($A636="","",SUMIFS($I$5:$I$800,$A$5:$A$800,"&gt;="&amp;DATE(YEAR($A636),MONTH($A636),1),$A$5:$A$800,"&lt;="&amp;$A636)+IF(AND(YEAR($A636)=YEAR(Settings!$B$3),MONTH($A636)=MONTH(Settings!$B$3)),Settings!$B$13,0))</f>
        <v/>
      </c>
      <c r="R636" s="77">
        <f>IF($A636="","",N636+P636)</f>
        <v/>
      </c>
      <c r="S636" s="78">
        <f>IF($A636="","",O636+Q636)</f>
        <v/>
      </c>
    </row>
    <row r="637">
      <c r="A637" s="67" t="n"/>
      <c r="B637" s="75" t="n"/>
      <c r="C637" s="76" t="n"/>
      <c r="D637" s="75" t="n"/>
      <c r="E637" s="76" t="n"/>
      <c r="F637" s="75" t="n"/>
      <c r="G637" s="76" t="n"/>
      <c r="H637" s="75" t="n"/>
      <c r="I637" s="76" t="n"/>
      <c r="J637" s="77">
        <f>IF($A637="","",B637+D637+F637)</f>
        <v/>
      </c>
      <c r="K637" s="78">
        <f>IF($A637="","",C637+E637+G637)</f>
        <v/>
      </c>
      <c r="L637" s="79">
        <f>IF($A637="","",J637+H637)</f>
        <v/>
      </c>
      <c r="M637" s="80">
        <f>IF($A637="","",K637+I637)</f>
        <v/>
      </c>
      <c r="N637" s="77">
        <f>IF($A637="","",SUMIFS($J$5:$J$800,$A$5:$A$800,"&gt;="&amp;DATE(YEAR($A637),MONTH($A637),1),$A$5:$A$800,"&lt;="&amp;$A637)+IF(AND(YEAR($A637)=YEAR(Settings!$B$3),MONTH($A637)=MONTH(Settings!$B$3)),Settings!$B$10,0))</f>
        <v/>
      </c>
      <c r="O637" s="78">
        <f>IF($A637="","",SUMIFS($K$5:$K$800,$A$5:$A$800,"&gt;="&amp;DATE(YEAR($A637),MONTH($A637),1),$A$5:$A$800,"&lt;="&amp;$A637)+IF(AND(YEAR($A637)=YEAR(Settings!$B$3),MONTH($A637)=MONTH(Settings!$B$3)),Settings!$B$11,0))</f>
        <v/>
      </c>
      <c r="P637" s="77">
        <f>IF($A637="","",SUMIFS($H$5:$H$800,$A$5:$A$800,"&gt;="&amp;DATE(YEAR($A637),MONTH($A637),1),$A$5:$A$800,"&lt;="&amp;$A637)+IF(AND(YEAR($A637)=YEAR(Settings!$B$3),MONTH($A637)=MONTH(Settings!$B$3)),Settings!$B$12,0))</f>
        <v/>
      </c>
      <c r="Q637" s="78">
        <f>IF($A637="","",SUMIFS($I$5:$I$800,$A$5:$A$800,"&gt;="&amp;DATE(YEAR($A637),MONTH($A637),1),$A$5:$A$800,"&lt;="&amp;$A637)+IF(AND(YEAR($A637)=YEAR(Settings!$B$3),MONTH($A637)=MONTH(Settings!$B$3)),Settings!$B$13,0))</f>
        <v/>
      </c>
      <c r="R637" s="77">
        <f>IF($A637="","",N637+P637)</f>
        <v/>
      </c>
      <c r="S637" s="78">
        <f>IF($A637="","",O637+Q637)</f>
        <v/>
      </c>
    </row>
    <row r="638">
      <c r="A638" s="67" t="n"/>
      <c r="B638" s="75" t="n"/>
      <c r="C638" s="76" t="n"/>
      <c r="D638" s="75" t="n"/>
      <c r="E638" s="76" t="n"/>
      <c r="F638" s="75" t="n"/>
      <c r="G638" s="76" t="n"/>
      <c r="H638" s="75" t="n"/>
      <c r="I638" s="76" t="n"/>
      <c r="J638" s="77">
        <f>IF($A638="","",B638+D638+F638)</f>
        <v/>
      </c>
      <c r="K638" s="78">
        <f>IF($A638="","",C638+E638+G638)</f>
        <v/>
      </c>
      <c r="L638" s="79">
        <f>IF($A638="","",J638+H638)</f>
        <v/>
      </c>
      <c r="M638" s="80">
        <f>IF($A638="","",K638+I638)</f>
        <v/>
      </c>
      <c r="N638" s="77">
        <f>IF($A638="","",SUMIFS($J$5:$J$800,$A$5:$A$800,"&gt;="&amp;DATE(YEAR($A638),MONTH($A638),1),$A$5:$A$800,"&lt;="&amp;$A638)+IF(AND(YEAR($A638)=YEAR(Settings!$B$3),MONTH($A638)=MONTH(Settings!$B$3)),Settings!$B$10,0))</f>
        <v/>
      </c>
      <c r="O638" s="78">
        <f>IF($A638="","",SUMIFS($K$5:$K$800,$A$5:$A$800,"&gt;="&amp;DATE(YEAR($A638),MONTH($A638),1),$A$5:$A$800,"&lt;="&amp;$A638)+IF(AND(YEAR($A638)=YEAR(Settings!$B$3),MONTH($A638)=MONTH(Settings!$B$3)),Settings!$B$11,0))</f>
        <v/>
      </c>
      <c r="P638" s="77">
        <f>IF($A638="","",SUMIFS($H$5:$H$800,$A$5:$A$800,"&gt;="&amp;DATE(YEAR($A638),MONTH($A638),1),$A$5:$A$800,"&lt;="&amp;$A638)+IF(AND(YEAR($A638)=YEAR(Settings!$B$3),MONTH($A638)=MONTH(Settings!$B$3)),Settings!$B$12,0))</f>
        <v/>
      </c>
      <c r="Q638" s="78">
        <f>IF($A638="","",SUMIFS($I$5:$I$800,$A$5:$A$800,"&gt;="&amp;DATE(YEAR($A638),MONTH($A638),1),$A$5:$A$800,"&lt;="&amp;$A638)+IF(AND(YEAR($A638)=YEAR(Settings!$B$3),MONTH($A638)=MONTH(Settings!$B$3)),Settings!$B$13,0))</f>
        <v/>
      </c>
      <c r="R638" s="77">
        <f>IF($A638="","",N638+P638)</f>
        <v/>
      </c>
      <c r="S638" s="78">
        <f>IF($A638="","",O638+Q638)</f>
        <v/>
      </c>
    </row>
    <row r="639">
      <c r="A639" s="67" t="n"/>
      <c r="B639" s="75" t="n"/>
      <c r="C639" s="76" t="n"/>
      <c r="D639" s="75" t="n"/>
      <c r="E639" s="76" t="n"/>
      <c r="F639" s="75" t="n"/>
      <c r="G639" s="76" t="n"/>
      <c r="H639" s="75" t="n"/>
      <c r="I639" s="76" t="n"/>
      <c r="J639" s="77">
        <f>IF($A639="","",B639+D639+F639)</f>
        <v/>
      </c>
      <c r="K639" s="78">
        <f>IF($A639="","",C639+E639+G639)</f>
        <v/>
      </c>
      <c r="L639" s="79">
        <f>IF($A639="","",J639+H639)</f>
        <v/>
      </c>
      <c r="M639" s="80">
        <f>IF($A639="","",K639+I639)</f>
        <v/>
      </c>
      <c r="N639" s="77">
        <f>IF($A639="","",SUMIFS($J$5:$J$800,$A$5:$A$800,"&gt;="&amp;DATE(YEAR($A639),MONTH($A639),1),$A$5:$A$800,"&lt;="&amp;$A639)+IF(AND(YEAR($A639)=YEAR(Settings!$B$3),MONTH($A639)=MONTH(Settings!$B$3)),Settings!$B$10,0))</f>
        <v/>
      </c>
      <c r="O639" s="78">
        <f>IF($A639="","",SUMIFS($K$5:$K$800,$A$5:$A$800,"&gt;="&amp;DATE(YEAR($A639),MONTH($A639),1),$A$5:$A$800,"&lt;="&amp;$A639)+IF(AND(YEAR($A639)=YEAR(Settings!$B$3),MONTH($A639)=MONTH(Settings!$B$3)),Settings!$B$11,0))</f>
        <v/>
      </c>
      <c r="P639" s="77">
        <f>IF($A639="","",SUMIFS($H$5:$H$800,$A$5:$A$800,"&gt;="&amp;DATE(YEAR($A639),MONTH($A639),1),$A$5:$A$800,"&lt;="&amp;$A639)+IF(AND(YEAR($A639)=YEAR(Settings!$B$3),MONTH($A639)=MONTH(Settings!$B$3)),Settings!$B$12,0))</f>
        <v/>
      </c>
      <c r="Q639" s="78">
        <f>IF($A639="","",SUMIFS($I$5:$I$800,$A$5:$A$800,"&gt;="&amp;DATE(YEAR($A639),MONTH($A639),1),$A$5:$A$800,"&lt;="&amp;$A639)+IF(AND(YEAR($A639)=YEAR(Settings!$B$3),MONTH($A639)=MONTH(Settings!$B$3)),Settings!$B$13,0))</f>
        <v/>
      </c>
      <c r="R639" s="77">
        <f>IF($A639="","",N639+P639)</f>
        <v/>
      </c>
      <c r="S639" s="78">
        <f>IF($A639="","",O639+Q639)</f>
        <v/>
      </c>
    </row>
    <row r="640">
      <c r="A640" s="67" t="n"/>
      <c r="B640" s="75" t="n"/>
      <c r="C640" s="76" t="n"/>
      <c r="D640" s="75" t="n"/>
      <c r="E640" s="76" t="n"/>
      <c r="F640" s="75" t="n"/>
      <c r="G640" s="76" t="n"/>
      <c r="H640" s="75" t="n"/>
      <c r="I640" s="76" t="n"/>
      <c r="J640" s="77">
        <f>IF($A640="","",B640+D640+F640)</f>
        <v/>
      </c>
      <c r="K640" s="78">
        <f>IF($A640="","",C640+E640+G640)</f>
        <v/>
      </c>
      <c r="L640" s="79">
        <f>IF($A640="","",J640+H640)</f>
        <v/>
      </c>
      <c r="M640" s="80">
        <f>IF($A640="","",K640+I640)</f>
        <v/>
      </c>
      <c r="N640" s="77">
        <f>IF($A640="","",SUMIFS($J$5:$J$800,$A$5:$A$800,"&gt;="&amp;DATE(YEAR($A640),MONTH($A640),1),$A$5:$A$800,"&lt;="&amp;$A640)+IF(AND(YEAR($A640)=YEAR(Settings!$B$3),MONTH($A640)=MONTH(Settings!$B$3)),Settings!$B$10,0))</f>
        <v/>
      </c>
      <c r="O640" s="78">
        <f>IF($A640="","",SUMIFS($K$5:$K$800,$A$5:$A$800,"&gt;="&amp;DATE(YEAR($A640),MONTH($A640),1),$A$5:$A$800,"&lt;="&amp;$A640)+IF(AND(YEAR($A640)=YEAR(Settings!$B$3),MONTH($A640)=MONTH(Settings!$B$3)),Settings!$B$11,0))</f>
        <v/>
      </c>
      <c r="P640" s="77">
        <f>IF($A640="","",SUMIFS($H$5:$H$800,$A$5:$A$800,"&gt;="&amp;DATE(YEAR($A640),MONTH($A640),1),$A$5:$A$800,"&lt;="&amp;$A640)+IF(AND(YEAR($A640)=YEAR(Settings!$B$3),MONTH($A640)=MONTH(Settings!$B$3)),Settings!$B$12,0))</f>
        <v/>
      </c>
      <c r="Q640" s="78">
        <f>IF($A640="","",SUMIFS($I$5:$I$800,$A$5:$A$800,"&gt;="&amp;DATE(YEAR($A640),MONTH($A640),1),$A$5:$A$800,"&lt;="&amp;$A640)+IF(AND(YEAR($A640)=YEAR(Settings!$B$3),MONTH($A640)=MONTH(Settings!$B$3)),Settings!$B$13,0))</f>
        <v/>
      </c>
      <c r="R640" s="77">
        <f>IF($A640="","",N640+P640)</f>
        <v/>
      </c>
      <c r="S640" s="78">
        <f>IF($A640="","",O640+Q640)</f>
        <v/>
      </c>
    </row>
    <row r="641">
      <c r="A641" s="67" t="n"/>
      <c r="B641" s="75" t="n"/>
      <c r="C641" s="76" t="n"/>
      <c r="D641" s="75" t="n"/>
      <c r="E641" s="76" t="n"/>
      <c r="F641" s="75" t="n"/>
      <c r="G641" s="76" t="n"/>
      <c r="H641" s="75" t="n"/>
      <c r="I641" s="76" t="n"/>
      <c r="J641" s="77">
        <f>IF($A641="","",B641+D641+F641)</f>
        <v/>
      </c>
      <c r="K641" s="78">
        <f>IF($A641="","",C641+E641+G641)</f>
        <v/>
      </c>
      <c r="L641" s="79">
        <f>IF($A641="","",J641+H641)</f>
        <v/>
      </c>
      <c r="M641" s="80">
        <f>IF($A641="","",K641+I641)</f>
        <v/>
      </c>
      <c r="N641" s="77">
        <f>IF($A641="","",SUMIFS($J$5:$J$800,$A$5:$A$800,"&gt;="&amp;DATE(YEAR($A641),MONTH($A641),1),$A$5:$A$800,"&lt;="&amp;$A641)+IF(AND(YEAR($A641)=YEAR(Settings!$B$3),MONTH($A641)=MONTH(Settings!$B$3)),Settings!$B$10,0))</f>
        <v/>
      </c>
      <c r="O641" s="78">
        <f>IF($A641="","",SUMIFS($K$5:$K$800,$A$5:$A$800,"&gt;="&amp;DATE(YEAR($A641),MONTH($A641),1),$A$5:$A$800,"&lt;="&amp;$A641)+IF(AND(YEAR($A641)=YEAR(Settings!$B$3),MONTH($A641)=MONTH(Settings!$B$3)),Settings!$B$11,0))</f>
        <v/>
      </c>
      <c r="P641" s="77">
        <f>IF($A641="","",SUMIFS($H$5:$H$800,$A$5:$A$800,"&gt;="&amp;DATE(YEAR($A641),MONTH($A641),1),$A$5:$A$800,"&lt;="&amp;$A641)+IF(AND(YEAR($A641)=YEAR(Settings!$B$3),MONTH($A641)=MONTH(Settings!$B$3)),Settings!$B$12,0))</f>
        <v/>
      </c>
      <c r="Q641" s="78">
        <f>IF($A641="","",SUMIFS($I$5:$I$800,$A$5:$A$800,"&gt;="&amp;DATE(YEAR($A641),MONTH($A641),1),$A$5:$A$800,"&lt;="&amp;$A641)+IF(AND(YEAR($A641)=YEAR(Settings!$B$3),MONTH($A641)=MONTH(Settings!$B$3)),Settings!$B$13,0))</f>
        <v/>
      </c>
      <c r="R641" s="77">
        <f>IF($A641="","",N641+P641)</f>
        <v/>
      </c>
      <c r="S641" s="78">
        <f>IF($A641="","",O641+Q641)</f>
        <v/>
      </c>
    </row>
    <row r="642">
      <c r="A642" s="67" t="n"/>
      <c r="B642" s="75" t="n"/>
      <c r="C642" s="76" t="n"/>
      <c r="D642" s="75" t="n"/>
      <c r="E642" s="76" t="n"/>
      <c r="F642" s="75" t="n"/>
      <c r="G642" s="76" t="n"/>
      <c r="H642" s="75" t="n"/>
      <c r="I642" s="76" t="n"/>
      <c r="J642" s="77">
        <f>IF($A642="","",B642+D642+F642)</f>
        <v/>
      </c>
      <c r="K642" s="78">
        <f>IF($A642="","",C642+E642+G642)</f>
        <v/>
      </c>
      <c r="L642" s="79">
        <f>IF($A642="","",J642+H642)</f>
        <v/>
      </c>
      <c r="M642" s="80">
        <f>IF($A642="","",K642+I642)</f>
        <v/>
      </c>
      <c r="N642" s="77">
        <f>IF($A642="","",SUMIFS($J$5:$J$800,$A$5:$A$800,"&gt;="&amp;DATE(YEAR($A642),MONTH($A642),1),$A$5:$A$800,"&lt;="&amp;$A642)+IF(AND(YEAR($A642)=YEAR(Settings!$B$3),MONTH($A642)=MONTH(Settings!$B$3)),Settings!$B$10,0))</f>
        <v/>
      </c>
      <c r="O642" s="78">
        <f>IF($A642="","",SUMIFS($K$5:$K$800,$A$5:$A$800,"&gt;="&amp;DATE(YEAR($A642),MONTH($A642),1),$A$5:$A$800,"&lt;="&amp;$A642)+IF(AND(YEAR($A642)=YEAR(Settings!$B$3),MONTH($A642)=MONTH(Settings!$B$3)),Settings!$B$11,0))</f>
        <v/>
      </c>
      <c r="P642" s="77">
        <f>IF($A642="","",SUMIFS($H$5:$H$800,$A$5:$A$800,"&gt;="&amp;DATE(YEAR($A642),MONTH($A642),1),$A$5:$A$800,"&lt;="&amp;$A642)+IF(AND(YEAR($A642)=YEAR(Settings!$B$3),MONTH($A642)=MONTH(Settings!$B$3)),Settings!$B$12,0))</f>
        <v/>
      </c>
      <c r="Q642" s="78">
        <f>IF($A642="","",SUMIFS($I$5:$I$800,$A$5:$A$800,"&gt;="&amp;DATE(YEAR($A642),MONTH($A642),1),$A$5:$A$800,"&lt;="&amp;$A642)+IF(AND(YEAR($A642)=YEAR(Settings!$B$3),MONTH($A642)=MONTH(Settings!$B$3)),Settings!$B$13,0))</f>
        <v/>
      </c>
      <c r="R642" s="77">
        <f>IF($A642="","",N642+P642)</f>
        <v/>
      </c>
      <c r="S642" s="78">
        <f>IF($A642="","",O642+Q642)</f>
        <v/>
      </c>
    </row>
    <row r="643">
      <c r="A643" s="67" t="n"/>
      <c r="B643" s="75" t="n"/>
      <c r="C643" s="76" t="n"/>
      <c r="D643" s="75" t="n"/>
      <c r="E643" s="76" t="n"/>
      <c r="F643" s="75" t="n"/>
      <c r="G643" s="76" t="n"/>
      <c r="H643" s="75" t="n"/>
      <c r="I643" s="76" t="n"/>
      <c r="J643" s="77">
        <f>IF($A643="","",B643+D643+F643)</f>
        <v/>
      </c>
      <c r="K643" s="78">
        <f>IF($A643="","",C643+E643+G643)</f>
        <v/>
      </c>
      <c r="L643" s="79">
        <f>IF($A643="","",J643+H643)</f>
        <v/>
      </c>
      <c r="M643" s="80">
        <f>IF($A643="","",K643+I643)</f>
        <v/>
      </c>
      <c r="N643" s="77">
        <f>IF($A643="","",SUMIFS($J$5:$J$800,$A$5:$A$800,"&gt;="&amp;DATE(YEAR($A643),MONTH($A643),1),$A$5:$A$800,"&lt;="&amp;$A643)+IF(AND(YEAR($A643)=YEAR(Settings!$B$3),MONTH($A643)=MONTH(Settings!$B$3)),Settings!$B$10,0))</f>
        <v/>
      </c>
      <c r="O643" s="78">
        <f>IF($A643="","",SUMIFS($K$5:$K$800,$A$5:$A$800,"&gt;="&amp;DATE(YEAR($A643),MONTH($A643),1),$A$5:$A$800,"&lt;="&amp;$A643)+IF(AND(YEAR($A643)=YEAR(Settings!$B$3),MONTH($A643)=MONTH(Settings!$B$3)),Settings!$B$11,0))</f>
        <v/>
      </c>
      <c r="P643" s="77">
        <f>IF($A643="","",SUMIFS($H$5:$H$800,$A$5:$A$800,"&gt;="&amp;DATE(YEAR($A643),MONTH($A643),1),$A$5:$A$800,"&lt;="&amp;$A643)+IF(AND(YEAR($A643)=YEAR(Settings!$B$3),MONTH($A643)=MONTH(Settings!$B$3)),Settings!$B$12,0))</f>
        <v/>
      </c>
      <c r="Q643" s="78">
        <f>IF($A643="","",SUMIFS($I$5:$I$800,$A$5:$A$800,"&gt;="&amp;DATE(YEAR($A643),MONTH($A643),1),$A$5:$A$800,"&lt;="&amp;$A643)+IF(AND(YEAR($A643)=YEAR(Settings!$B$3),MONTH($A643)=MONTH(Settings!$B$3)),Settings!$B$13,0))</f>
        <v/>
      </c>
      <c r="R643" s="77">
        <f>IF($A643="","",N643+P643)</f>
        <v/>
      </c>
      <c r="S643" s="78">
        <f>IF($A643="","",O643+Q643)</f>
        <v/>
      </c>
    </row>
    <row r="644">
      <c r="A644" s="67" t="n"/>
      <c r="B644" s="75" t="n"/>
      <c r="C644" s="76" t="n"/>
      <c r="D644" s="75" t="n"/>
      <c r="E644" s="76" t="n"/>
      <c r="F644" s="75" t="n"/>
      <c r="G644" s="76" t="n"/>
      <c r="H644" s="75" t="n"/>
      <c r="I644" s="76" t="n"/>
      <c r="J644" s="77">
        <f>IF($A644="","",B644+D644+F644)</f>
        <v/>
      </c>
      <c r="K644" s="78">
        <f>IF($A644="","",C644+E644+G644)</f>
        <v/>
      </c>
      <c r="L644" s="79">
        <f>IF($A644="","",J644+H644)</f>
        <v/>
      </c>
      <c r="M644" s="80">
        <f>IF($A644="","",K644+I644)</f>
        <v/>
      </c>
      <c r="N644" s="77">
        <f>IF($A644="","",SUMIFS($J$5:$J$800,$A$5:$A$800,"&gt;="&amp;DATE(YEAR($A644),MONTH($A644),1),$A$5:$A$800,"&lt;="&amp;$A644)+IF(AND(YEAR($A644)=YEAR(Settings!$B$3),MONTH($A644)=MONTH(Settings!$B$3)),Settings!$B$10,0))</f>
        <v/>
      </c>
      <c r="O644" s="78">
        <f>IF($A644="","",SUMIFS($K$5:$K$800,$A$5:$A$800,"&gt;="&amp;DATE(YEAR($A644),MONTH($A644),1),$A$5:$A$800,"&lt;="&amp;$A644)+IF(AND(YEAR($A644)=YEAR(Settings!$B$3),MONTH($A644)=MONTH(Settings!$B$3)),Settings!$B$11,0))</f>
        <v/>
      </c>
      <c r="P644" s="77">
        <f>IF($A644="","",SUMIFS($H$5:$H$800,$A$5:$A$800,"&gt;="&amp;DATE(YEAR($A644),MONTH($A644),1),$A$5:$A$800,"&lt;="&amp;$A644)+IF(AND(YEAR($A644)=YEAR(Settings!$B$3),MONTH($A644)=MONTH(Settings!$B$3)),Settings!$B$12,0))</f>
        <v/>
      </c>
      <c r="Q644" s="78">
        <f>IF($A644="","",SUMIFS($I$5:$I$800,$A$5:$A$800,"&gt;="&amp;DATE(YEAR($A644),MONTH($A644),1),$A$5:$A$800,"&lt;="&amp;$A644)+IF(AND(YEAR($A644)=YEAR(Settings!$B$3),MONTH($A644)=MONTH(Settings!$B$3)),Settings!$B$13,0))</f>
        <v/>
      </c>
      <c r="R644" s="77">
        <f>IF($A644="","",N644+P644)</f>
        <v/>
      </c>
      <c r="S644" s="78">
        <f>IF($A644="","",O644+Q644)</f>
        <v/>
      </c>
    </row>
    <row r="645">
      <c r="A645" s="67" t="n"/>
      <c r="B645" s="75" t="n"/>
      <c r="C645" s="76" t="n"/>
      <c r="D645" s="75" t="n"/>
      <c r="E645" s="76" t="n"/>
      <c r="F645" s="75" t="n"/>
      <c r="G645" s="76" t="n"/>
      <c r="H645" s="75" t="n"/>
      <c r="I645" s="76" t="n"/>
      <c r="J645" s="77">
        <f>IF($A645="","",B645+D645+F645)</f>
        <v/>
      </c>
      <c r="K645" s="78">
        <f>IF($A645="","",C645+E645+G645)</f>
        <v/>
      </c>
      <c r="L645" s="79">
        <f>IF($A645="","",J645+H645)</f>
        <v/>
      </c>
      <c r="M645" s="80">
        <f>IF($A645="","",K645+I645)</f>
        <v/>
      </c>
      <c r="N645" s="77">
        <f>IF($A645="","",SUMIFS($J$5:$J$800,$A$5:$A$800,"&gt;="&amp;DATE(YEAR($A645),MONTH($A645),1),$A$5:$A$800,"&lt;="&amp;$A645)+IF(AND(YEAR($A645)=YEAR(Settings!$B$3),MONTH($A645)=MONTH(Settings!$B$3)),Settings!$B$10,0))</f>
        <v/>
      </c>
      <c r="O645" s="78">
        <f>IF($A645="","",SUMIFS($K$5:$K$800,$A$5:$A$800,"&gt;="&amp;DATE(YEAR($A645),MONTH($A645),1),$A$5:$A$800,"&lt;="&amp;$A645)+IF(AND(YEAR($A645)=YEAR(Settings!$B$3),MONTH($A645)=MONTH(Settings!$B$3)),Settings!$B$11,0))</f>
        <v/>
      </c>
      <c r="P645" s="77">
        <f>IF($A645="","",SUMIFS($H$5:$H$800,$A$5:$A$800,"&gt;="&amp;DATE(YEAR($A645),MONTH($A645),1),$A$5:$A$800,"&lt;="&amp;$A645)+IF(AND(YEAR($A645)=YEAR(Settings!$B$3),MONTH($A645)=MONTH(Settings!$B$3)),Settings!$B$12,0))</f>
        <v/>
      </c>
      <c r="Q645" s="78">
        <f>IF($A645="","",SUMIFS($I$5:$I$800,$A$5:$A$800,"&gt;="&amp;DATE(YEAR($A645),MONTH($A645),1),$A$5:$A$800,"&lt;="&amp;$A645)+IF(AND(YEAR($A645)=YEAR(Settings!$B$3),MONTH($A645)=MONTH(Settings!$B$3)),Settings!$B$13,0))</f>
        <v/>
      </c>
      <c r="R645" s="77">
        <f>IF($A645="","",N645+P645)</f>
        <v/>
      </c>
      <c r="S645" s="78">
        <f>IF($A645="","",O645+Q645)</f>
        <v/>
      </c>
    </row>
    <row r="646">
      <c r="A646" s="67" t="n"/>
      <c r="B646" s="75" t="n"/>
      <c r="C646" s="76" t="n"/>
      <c r="D646" s="75" t="n"/>
      <c r="E646" s="76" t="n"/>
      <c r="F646" s="75" t="n"/>
      <c r="G646" s="76" t="n"/>
      <c r="H646" s="75" t="n"/>
      <c r="I646" s="76" t="n"/>
      <c r="J646" s="77">
        <f>IF($A646="","",B646+D646+F646)</f>
        <v/>
      </c>
      <c r="K646" s="78">
        <f>IF($A646="","",C646+E646+G646)</f>
        <v/>
      </c>
      <c r="L646" s="79">
        <f>IF($A646="","",J646+H646)</f>
        <v/>
      </c>
      <c r="M646" s="80">
        <f>IF($A646="","",K646+I646)</f>
        <v/>
      </c>
      <c r="N646" s="77">
        <f>IF($A646="","",SUMIFS($J$5:$J$800,$A$5:$A$800,"&gt;="&amp;DATE(YEAR($A646),MONTH($A646),1),$A$5:$A$800,"&lt;="&amp;$A646)+IF(AND(YEAR($A646)=YEAR(Settings!$B$3),MONTH($A646)=MONTH(Settings!$B$3)),Settings!$B$10,0))</f>
        <v/>
      </c>
      <c r="O646" s="78">
        <f>IF($A646="","",SUMIFS($K$5:$K$800,$A$5:$A$800,"&gt;="&amp;DATE(YEAR($A646),MONTH($A646),1),$A$5:$A$800,"&lt;="&amp;$A646)+IF(AND(YEAR($A646)=YEAR(Settings!$B$3),MONTH($A646)=MONTH(Settings!$B$3)),Settings!$B$11,0))</f>
        <v/>
      </c>
      <c r="P646" s="77">
        <f>IF($A646="","",SUMIFS($H$5:$H$800,$A$5:$A$800,"&gt;="&amp;DATE(YEAR($A646),MONTH($A646),1),$A$5:$A$800,"&lt;="&amp;$A646)+IF(AND(YEAR($A646)=YEAR(Settings!$B$3),MONTH($A646)=MONTH(Settings!$B$3)),Settings!$B$12,0))</f>
        <v/>
      </c>
      <c r="Q646" s="78">
        <f>IF($A646="","",SUMIFS($I$5:$I$800,$A$5:$A$800,"&gt;="&amp;DATE(YEAR($A646),MONTH($A646),1),$A$5:$A$800,"&lt;="&amp;$A646)+IF(AND(YEAR($A646)=YEAR(Settings!$B$3),MONTH($A646)=MONTH(Settings!$B$3)),Settings!$B$13,0))</f>
        <v/>
      </c>
      <c r="R646" s="77">
        <f>IF($A646="","",N646+P646)</f>
        <v/>
      </c>
      <c r="S646" s="78">
        <f>IF($A646="","",O646+Q646)</f>
        <v/>
      </c>
    </row>
    <row r="647">
      <c r="A647" s="67" t="n"/>
      <c r="B647" s="75" t="n"/>
      <c r="C647" s="76" t="n"/>
      <c r="D647" s="75" t="n"/>
      <c r="E647" s="76" t="n"/>
      <c r="F647" s="75" t="n"/>
      <c r="G647" s="76" t="n"/>
      <c r="H647" s="75" t="n"/>
      <c r="I647" s="76" t="n"/>
      <c r="J647" s="77">
        <f>IF($A647="","",B647+D647+F647)</f>
        <v/>
      </c>
      <c r="K647" s="78">
        <f>IF($A647="","",C647+E647+G647)</f>
        <v/>
      </c>
      <c r="L647" s="79">
        <f>IF($A647="","",J647+H647)</f>
        <v/>
      </c>
      <c r="M647" s="80">
        <f>IF($A647="","",K647+I647)</f>
        <v/>
      </c>
      <c r="N647" s="77">
        <f>IF($A647="","",SUMIFS($J$5:$J$800,$A$5:$A$800,"&gt;="&amp;DATE(YEAR($A647),MONTH($A647),1),$A$5:$A$800,"&lt;="&amp;$A647)+IF(AND(YEAR($A647)=YEAR(Settings!$B$3),MONTH($A647)=MONTH(Settings!$B$3)),Settings!$B$10,0))</f>
        <v/>
      </c>
      <c r="O647" s="78">
        <f>IF($A647="","",SUMIFS($K$5:$K$800,$A$5:$A$800,"&gt;="&amp;DATE(YEAR($A647),MONTH($A647),1),$A$5:$A$800,"&lt;="&amp;$A647)+IF(AND(YEAR($A647)=YEAR(Settings!$B$3),MONTH($A647)=MONTH(Settings!$B$3)),Settings!$B$11,0))</f>
        <v/>
      </c>
      <c r="P647" s="77">
        <f>IF($A647="","",SUMIFS($H$5:$H$800,$A$5:$A$800,"&gt;="&amp;DATE(YEAR($A647),MONTH($A647),1),$A$5:$A$800,"&lt;="&amp;$A647)+IF(AND(YEAR($A647)=YEAR(Settings!$B$3),MONTH($A647)=MONTH(Settings!$B$3)),Settings!$B$12,0))</f>
        <v/>
      </c>
      <c r="Q647" s="78">
        <f>IF($A647="","",SUMIFS($I$5:$I$800,$A$5:$A$800,"&gt;="&amp;DATE(YEAR($A647),MONTH($A647),1),$A$5:$A$800,"&lt;="&amp;$A647)+IF(AND(YEAR($A647)=YEAR(Settings!$B$3),MONTH($A647)=MONTH(Settings!$B$3)),Settings!$B$13,0))</f>
        <v/>
      </c>
      <c r="R647" s="77">
        <f>IF($A647="","",N647+P647)</f>
        <v/>
      </c>
      <c r="S647" s="78">
        <f>IF($A647="","",O647+Q647)</f>
        <v/>
      </c>
    </row>
    <row r="648">
      <c r="A648" s="67" t="n"/>
      <c r="B648" s="75" t="n"/>
      <c r="C648" s="76" t="n"/>
      <c r="D648" s="75" t="n"/>
      <c r="E648" s="76" t="n"/>
      <c r="F648" s="75" t="n"/>
      <c r="G648" s="76" t="n"/>
      <c r="H648" s="75" t="n"/>
      <c r="I648" s="76" t="n"/>
      <c r="J648" s="77">
        <f>IF($A648="","",B648+D648+F648)</f>
        <v/>
      </c>
      <c r="K648" s="78">
        <f>IF($A648="","",C648+E648+G648)</f>
        <v/>
      </c>
      <c r="L648" s="79">
        <f>IF($A648="","",J648+H648)</f>
        <v/>
      </c>
      <c r="M648" s="80">
        <f>IF($A648="","",K648+I648)</f>
        <v/>
      </c>
      <c r="N648" s="77">
        <f>IF($A648="","",SUMIFS($J$5:$J$800,$A$5:$A$800,"&gt;="&amp;DATE(YEAR($A648),MONTH($A648),1),$A$5:$A$800,"&lt;="&amp;$A648)+IF(AND(YEAR($A648)=YEAR(Settings!$B$3),MONTH($A648)=MONTH(Settings!$B$3)),Settings!$B$10,0))</f>
        <v/>
      </c>
      <c r="O648" s="78">
        <f>IF($A648="","",SUMIFS($K$5:$K$800,$A$5:$A$800,"&gt;="&amp;DATE(YEAR($A648),MONTH($A648),1),$A$5:$A$800,"&lt;="&amp;$A648)+IF(AND(YEAR($A648)=YEAR(Settings!$B$3),MONTH($A648)=MONTH(Settings!$B$3)),Settings!$B$11,0))</f>
        <v/>
      </c>
      <c r="P648" s="77">
        <f>IF($A648="","",SUMIFS($H$5:$H$800,$A$5:$A$800,"&gt;="&amp;DATE(YEAR($A648),MONTH($A648),1),$A$5:$A$800,"&lt;="&amp;$A648)+IF(AND(YEAR($A648)=YEAR(Settings!$B$3),MONTH($A648)=MONTH(Settings!$B$3)),Settings!$B$12,0))</f>
        <v/>
      </c>
      <c r="Q648" s="78">
        <f>IF($A648="","",SUMIFS($I$5:$I$800,$A$5:$A$800,"&gt;="&amp;DATE(YEAR($A648),MONTH($A648),1),$A$5:$A$800,"&lt;="&amp;$A648)+IF(AND(YEAR($A648)=YEAR(Settings!$B$3),MONTH($A648)=MONTH(Settings!$B$3)),Settings!$B$13,0))</f>
        <v/>
      </c>
      <c r="R648" s="77">
        <f>IF($A648="","",N648+P648)</f>
        <v/>
      </c>
      <c r="S648" s="78">
        <f>IF($A648="","",O648+Q648)</f>
        <v/>
      </c>
    </row>
    <row r="649">
      <c r="A649" s="67" t="n"/>
      <c r="B649" s="75" t="n"/>
      <c r="C649" s="76" t="n"/>
      <c r="D649" s="75" t="n"/>
      <c r="E649" s="76" t="n"/>
      <c r="F649" s="75" t="n"/>
      <c r="G649" s="76" t="n"/>
      <c r="H649" s="75" t="n"/>
      <c r="I649" s="76" t="n"/>
      <c r="J649" s="77">
        <f>IF($A649="","",B649+D649+F649)</f>
        <v/>
      </c>
      <c r="K649" s="78">
        <f>IF($A649="","",C649+E649+G649)</f>
        <v/>
      </c>
      <c r="L649" s="79">
        <f>IF($A649="","",J649+H649)</f>
        <v/>
      </c>
      <c r="M649" s="80">
        <f>IF($A649="","",K649+I649)</f>
        <v/>
      </c>
      <c r="N649" s="77">
        <f>IF($A649="","",SUMIFS($J$5:$J$800,$A$5:$A$800,"&gt;="&amp;DATE(YEAR($A649),MONTH($A649),1),$A$5:$A$800,"&lt;="&amp;$A649)+IF(AND(YEAR($A649)=YEAR(Settings!$B$3),MONTH($A649)=MONTH(Settings!$B$3)),Settings!$B$10,0))</f>
        <v/>
      </c>
      <c r="O649" s="78">
        <f>IF($A649="","",SUMIFS($K$5:$K$800,$A$5:$A$800,"&gt;="&amp;DATE(YEAR($A649),MONTH($A649),1),$A$5:$A$800,"&lt;="&amp;$A649)+IF(AND(YEAR($A649)=YEAR(Settings!$B$3),MONTH($A649)=MONTH(Settings!$B$3)),Settings!$B$11,0))</f>
        <v/>
      </c>
      <c r="P649" s="77">
        <f>IF($A649="","",SUMIFS($H$5:$H$800,$A$5:$A$800,"&gt;="&amp;DATE(YEAR($A649),MONTH($A649),1),$A$5:$A$800,"&lt;="&amp;$A649)+IF(AND(YEAR($A649)=YEAR(Settings!$B$3),MONTH($A649)=MONTH(Settings!$B$3)),Settings!$B$12,0))</f>
        <v/>
      </c>
      <c r="Q649" s="78">
        <f>IF($A649="","",SUMIFS($I$5:$I$800,$A$5:$A$800,"&gt;="&amp;DATE(YEAR($A649),MONTH($A649),1),$A$5:$A$800,"&lt;="&amp;$A649)+IF(AND(YEAR($A649)=YEAR(Settings!$B$3),MONTH($A649)=MONTH(Settings!$B$3)),Settings!$B$13,0))</f>
        <v/>
      </c>
      <c r="R649" s="77">
        <f>IF($A649="","",N649+P649)</f>
        <v/>
      </c>
      <c r="S649" s="78">
        <f>IF($A649="","",O649+Q649)</f>
        <v/>
      </c>
    </row>
    <row r="650">
      <c r="A650" s="67" t="n"/>
      <c r="B650" s="75" t="n"/>
      <c r="C650" s="76" t="n"/>
      <c r="D650" s="75" t="n"/>
      <c r="E650" s="76" t="n"/>
      <c r="F650" s="75" t="n"/>
      <c r="G650" s="76" t="n"/>
      <c r="H650" s="75" t="n"/>
      <c r="I650" s="76" t="n"/>
      <c r="J650" s="77">
        <f>IF($A650="","",B650+D650+F650)</f>
        <v/>
      </c>
      <c r="K650" s="78">
        <f>IF($A650="","",C650+E650+G650)</f>
        <v/>
      </c>
      <c r="L650" s="79">
        <f>IF($A650="","",J650+H650)</f>
        <v/>
      </c>
      <c r="M650" s="80">
        <f>IF($A650="","",K650+I650)</f>
        <v/>
      </c>
      <c r="N650" s="77">
        <f>IF($A650="","",SUMIFS($J$5:$J$800,$A$5:$A$800,"&gt;="&amp;DATE(YEAR($A650),MONTH($A650),1),$A$5:$A$800,"&lt;="&amp;$A650)+IF(AND(YEAR($A650)=YEAR(Settings!$B$3),MONTH($A650)=MONTH(Settings!$B$3)),Settings!$B$10,0))</f>
        <v/>
      </c>
      <c r="O650" s="78">
        <f>IF($A650="","",SUMIFS($K$5:$K$800,$A$5:$A$800,"&gt;="&amp;DATE(YEAR($A650),MONTH($A650),1),$A$5:$A$800,"&lt;="&amp;$A650)+IF(AND(YEAR($A650)=YEAR(Settings!$B$3),MONTH($A650)=MONTH(Settings!$B$3)),Settings!$B$11,0))</f>
        <v/>
      </c>
      <c r="P650" s="77">
        <f>IF($A650="","",SUMIFS($H$5:$H$800,$A$5:$A$800,"&gt;="&amp;DATE(YEAR($A650),MONTH($A650),1),$A$5:$A$800,"&lt;="&amp;$A650)+IF(AND(YEAR($A650)=YEAR(Settings!$B$3),MONTH($A650)=MONTH(Settings!$B$3)),Settings!$B$12,0))</f>
        <v/>
      </c>
      <c r="Q650" s="78">
        <f>IF($A650="","",SUMIFS($I$5:$I$800,$A$5:$A$800,"&gt;="&amp;DATE(YEAR($A650),MONTH($A650),1),$A$5:$A$800,"&lt;="&amp;$A650)+IF(AND(YEAR($A650)=YEAR(Settings!$B$3),MONTH($A650)=MONTH(Settings!$B$3)),Settings!$B$13,0))</f>
        <v/>
      </c>
      <c r="R650" s="77">
        <f>IF($A650="","",N650+P650)</f>
        <v/>
      </c>
      <c r="S650" s="78">
        <f>IF($A650="","",O650+Q650)</f>
        <v/>
      </c>
    </row>
    <row r="651">
      <c r="A651" s="67" t="n"/>
      <c r="B651" s="75" t="n"/>
      <c r="C651" s="76" t="n"/>
      <c r="D651" s="75" t="n"/>
      <c r="E651" s="76" t="n"/>
      <c r="F651" s="75" t="n"/>
      <c r="G651" s="76" t="n"/>
      <c r="H651" s="75" t="n"/>
      <c r="I651" s="76" t="n"/>
      <c r="J651" s="77">
        <f>IF($A651="","",B651+D651+F651)</f>
        <v/>
      </c>
      <c r="K651" s="78">
        <f>IF($A651="","",C651+E651+G651)</f>
        <v/>
      </c>
      <c r="L651" s="79">
        <f>IF($A651="","",J651+H651)</f>
        <v/>
      </c>
      <c r="M651" s="80">
        <f>IF($A651="","",K651+I651)</f>
        <v/>
      </c>
      <c r="N651" s="77">
        <f>IF($A651="","",SUMIFS($J$5:$J$800,$A$5:$A$800,"&gt;="&amp;DATE(YEAR($A651),MONTH($A651),1),$A$5:$A$800,"&lt;="&amp;$A651)+IF(AND(YEAR($A651)=YEAR(Settings!$B$3),MONTH($A651)=MONTH(Settings!$B$3)),Settings!$B$10,0))</f>
        <v/>
      </c>
      <c r="O651" s="78">
        <f>IF($A651="","",SUMIFS($K$5:$K$800,$A$5:$A$800,"&gt;="&amp;DATE(YEAR($A651),MONTH($A651),1),$A$5:$A$800,"&lt;="&amp;$A651)+IF(AND(YEAR($A651)=YEAR(Settings!$B$3),MONTH($A651)=MONTH(Settings!$B$3)),Settings!$B$11,0))</f>
        <v/>
      </c>
      <c r="P651" s="77">
        <f>IF($A651="","",SUMIFS($H$5:$H$800,$A$5:$A$800,"&gt;="&amp;DATE(YEAR($A651),MONTH($A651),1),$A$5:$A$800,"&lt;="&amp;$A651)+IF(AND(YEAR($A651)=YEAR(Settings!$B$3),MONTH($A651)=MONTH(Settings!$B$3)),Settings!$B$12,0))</f>
        <v/>
      </c>
      <c r="Q651" s="78">
        <f>IF($A651="","",SUMIFS($I$5:$I$800,$A$5:$A$800,"&gt;="&amp;DATE(YEAR($A651),MONTH($A651),1),$A$5:$A$800,"&lt;="&amp;$A651)+IF(AND(YEAR($A651)=YEAR(Settings!$B$3),MONTH($A651)=MONTH(Settings!$B$3)),Settings!$B$13,0))</f>
        <v/>
      </c>
      <c r="R651" s="77">
        <f>IF($A651="","",N651+P651)</f>
        <v/>
      </c>
      <c r="S651" s="78">
        <f>IF($A651="","",O651+Q651)</f>
        <v/>
      </c>
    </row>
    <row r="652">
      <c r="A652" s="67" t="n"/>
      <c r="B652" s="75" t="n"/>
      <c r="C652" s="76" t="n"/>
      <c r="D652" s="75" t="n"/>
      <c r="E652" s="76" t="n"/>
      <c r="F652" s="75" t="n"/>
      <c r="G652" s="76" t="n"/>
      <c r="H652" s="75" t="n"/>
      <c r="I652" s="76" t="n"/>
      <c r="J652" s="77">
        <f>IF($A652="","",B652+D652+F652)</f>
        <v/>
      </c>
      <c r="K652" s="78">
        <f>IF($A652="","",C652+E652+G652)</f>
        <v/>
      </c>
      <c r="L652" s="79">
        <f>IF($A652="","",J652+H652)</f>
        <v/>
      </c>
      <c r="M652" s="80">
        <f>IF($A652="","",K652+I652)</f>
        <v/>
      </c>
      <c r="N652" s="77">
        <f>IF($A652="","",SUMIFS($J$5:$J$800,$A$5:$A$800,"&gt;="&amp;DATE(YEAR($A652),MONTH($A652),1),$A$5:$A$800,"&lt;="&amp;$A652)+IF(AND(YEAR($A652)=YEAR(Settings!$B$3),MONTH($A652)=MONTH(Settings!$B$3)),Settings!$B$10,0))</f>
        <v/>
      </c>
      <c r="O652" s="78">
        <f>IF($A652="","",SUMIFS($K$5:$K$800,$A$5:$A$800,"&gt;="&amp;DATE(YEAR($A652),MONTH($A652),1),$A$5:$A$800,"&lt;="&amp;$A652)+IF(AND(YEAR($A652)=YEAR(Settings!$B$3),MONTH($A652)=MONTH(Settings!$B$3)),Settings!$B$11,0))</f>
        <v/>
      </c>
      <c r="P652" s="77">
        <f>IF($A652="","",SUMIFS($H$5:$H$800,$A$5:$A$800,"&gt;="&amp;DATE(YEAR($A652),MONTH($A652),1),$A$5:$A$800,"&lt;="&amp;$A652)+IF(AND(YEAR($A652)=YEAR(Settings!$B$3),MONTH($A652)=MONTH(Settings!$B$3)),Settings!$B$12,0))</f>
        <v/>
      </c>
      <c r="Q652" s="78">
        <f>IF($A652="","",SUMIFS($I$5:$I$800,$A$5:$A$800,"&gt;="&amp;DATE(YEAR($A652),MONTH($A652),1),$A$5:$A$800,"&lt;="&amp;$A652)+IF(AND(YEAR($A652)=YEAR(Settings!$B$3),MONTH($A652)=MONTH(Settings!$B$3)),Settings!$B$13,0))</f>
        <v/>
      </c>
      <c r="R652" s="77">
        <f>IF($A652="","",N652+P652)</f>
        <v/>
      </c>
      <c r="S652" s="78">
        <f>IF($A652="","",O652+Q652)</f>
        <v/>
      </c>
    </row>
    <row r="653">
      <c r="A653" s="67" t="n"/>
      <c r="B653" s="75" t="n"/>
      <c r="C653" s="76" t="n"/>
      <c r="D653" s="75" t="n"/>
      <c r="E653" s="76" t="n"/>
      <c r="F653" s="75" t="n"/>
      <c r="G653" s="76" t="n"/>
      <c r="H653" s="75" t="n"/>
      <c r="I653" s="76" t="n"/>
      <c r="J653" s="77">
        <f>IF($A653="","",B653+D653+F653)</f>
        <v/>
      </c>
      <c r="K653" s="78">
        <f>IF($A653="","",C653+E653+G653)</f>
        <v/>
      </c>
      <c r="L653" s="79">
        <f>IF($A653="","",J653+H653)</f>
        <v/>
      </c>
      <c r="M653" s="80">
        <f>IF($A653="","",K653+I653)</f>
        <v/>
      </c>
      <c r="N653" s="77">
        <f>IF($A653="","",SUMIFS($J$5:$J$800,$A$5:$A$800,"&gt;="&amp;DATE(YEAR($A653),MONTH($A653),1),$A$5:$A$800,"&lt;="&amp;$A653)+IF(AND(YEAR($A653)=YEAR(Settings!$B$3),MONTH($A653)=MONTH(Settings!$B$3)),Settings!$B$10,0))</f>
        <v/>
      </c>
      <c r="O653" s="78">
        <f>IF($A653="","",SUMIFS($K$5:$K$800,$A$5:$A$800,"&gt;="&amp;DATE(YEAR($A653),MONTH($A653),1),$A$5:$A$800,"&lt;="&amp;$A653)+IF(AND(YEAR($A653)=YEAR(Settings!$B$3),MONTH($A653)=MONTH(Settings!$B$3)),Settings!$B$11,0))</f>
        <v/>
      </c>
      <c r="P653" s="77">
        <f>IF($A653="","",SUMIFS($H$5:$H$800,$A$5:$A$800,"&gt;="&amp;DATE(YEAR($A653),MONTH($A653),1),$A$5:$A$800,"&lt;="&amp;$A653)+IF(AND(YEAR($A653)=YEAR(Settings!$B$3),MONTH($A653)=MONTH(Settings!$B$3)),Settings!$B$12,0))</f>
        <v/>
      </c>
      <c r="Q653" s="78">
        <f>IF($A653="","",SUMIFS($I$5:$I$800,$A$5:$A$800,"&gt;="&amp;DATE(YEAR($A653),MONTH($A653),1),$A$5:$A$800,"&lt;="&amp;$A653)+IF(AND(YEAR($A653)=YEAR(Settings!$B$3),MONTH($A653)=MONTH(Settings!$B$3)),Settings!$B$13,0))</f>
        <v/>
      </c>
      <c r="R653" s="77">
        <f>IF($A653="","",N653+P653)</f>
        <v/>
      </c>
      <c r="S653" s="78">
        <f>IF($A653="","",O653+Q653)</f>
        <v/>
      </c>
    </row>
    <row r="654">
      <c r="A654" s="67" t="n"/>
      <c r="B654" s="75" t="n"/>
      <c r="C654" s="76" t="n"/>
      <c r="D654" s="75" t="n"/>
      <c r="E654" s="76" t="n"/>
      <c r="F654" s="75" t="n"/>
      <c r="G654" s="76" t="n"/>
      <c r="H654" s="75" t="n"/>
      <c r="I654" s="76" t="n"/>
      <c r="J654" s="77">
        <f>IF($A654="","",B654+D654+F654)</f>
        <v/>
      </c>
      <c r="K654" s="78">
        <f>IF($A654="","",C654+E654+G654)</f>
        <v/>
      </c>
      <c r="L654" s="79">
        <f>IF($A654="","",J654+H654)</f>
        <v/>
      </c>
      <c r="M654" s="80">
        <f>IF($A654="","",K654+I654)</f>
        <v/>
      </c>
      <c r="N654" s="77">
        <f>IF($A654="","",SUMIFS($J$5:$J$800,$A$5:$A$800,"&gt;="&amp;DATE(YEAR($A654),MONTH($A654),1),$A$5:$A$800,"&lt;="&amp;$A654)+IF(AND(YEAR($A654)=YEAR(Settings!$B$3),MONTH($A654)=MONTH(Settings!$B$3)),Settings!$B$10,0))</f>
        <v/>
      </c>
      <c r="O654" s="78">
        <f>IF($A654="","",SUMIFS($K$5:$K$800,$A$5:$A$800,"&gt;="&amp;DATE(YEAR($A654),MONTH($A654),1),$A$5:$A$800,"&lt;="&amp;$A654)+IF(AND(YEAR($A654)=YEAR(Settings!$B$3),MONTH($A654)=MONTH(Settings!$B$3)),Settings!$B$11,0))</f>
        <v/>
      </c>
      <c r="P654" s="77">
        <f>IF($A654="","",SUMIFS($H$5:$H$800,$A$5:$A$800,"&gt;="&amp;DATE(YEAR($A654),MONTH($A654),1),$A$5:$A$800,"&lt;="&amp;$A654)+IF(AND(YEAR($A654)=YEAR(Settings!$B$3),MONTH($A654)=MONTH(Settings!$B$3)),Settings!$B$12,0))</f>
        <v/>
      </c>
      <c r="Q654" s="78">
        <f>IF($A654="","",SUMIFS($I$5:$I$800,$A$5:$A$800,"&gt;="&amp;DATE(YEAR($A654),MONTH($A654),1),$A$5:$A$800,"&lt;="&amp;$A654)+IF(AND(YEAR($A654)=YEAR(Settings!$B$3),MONTH($A654)=MONTH(Settings!$B$3)),Settings!$B$13,0))</f>
        <v/>
      </c>
      <c r="R654" s="77">
        <f>IF($A654="","",N654+P654)</f>
        <v/>
      </c>
      <c r="S654" s="78">
        <f>IF($A654="","",O654+Q654)</f>
        <v/>
      </c>
    </row>
    <row r="655">
      <c r="A655" s="67" t="n"/>
      <c r="B655" s="75" t="n"/>
      <c r="C655" s="76" t="n"/>
      <c r="D655" s="75" t="n"/>
      <c r="E655" s="76" t="n"/>
      <c r="F655" s="75" t="n"/>
      <c r="G655" s="76" t="n"/>
      <c r="H655" s="75" t="n"/>
      <c r="I655" s="76" t="n"/>
      <c r="J655" s="77">
        <f>IF($A655="","",B655+D655+F655)</f>
        <v/>
      </c>
      <c r="K655" s="78">
        <f>IF($A655="","",C655+E655+G655)</f>
        <v/>
      </c>
      <c r="L655" s="79">
        <f>IF($A655="","",J655+H655)</f>
        <v/>
      </c>
      <c r="M655" s="80">
        <f>IF($A655="","",K655+I655)</f>
        <v/>
      </c>
      <c r="N655" s="77">
        <f>IF($A655="","",SUMIFS($J$5:$J$800,$A$5:$A$800,"&gt;="&amp;DATE(YEAR($A655),MONTH($A655),1),$A$5:$A$800,"&lt;="&amp;$A655)+IF(AND(YEAR($A655)=YEAR(Settings!$B$3),MONTH($A655)=MONTH(Settings!$B$3)),Settings!$B$10,0))</f>
        <v/>
      </c>
      <c r="O655" s="78">
        <f>IF($A655="","",SUMIFS($K$5:$K$800,$A$5:$A$800,"&gt;="&amp;DATE(YEAR($A655),MONTH($A655),1),$A$5:$A$800,"&lt;="&amp;$A655)+IF(AND(YEAR($A655)=YEAR(Settings!$B$3),MONTH($A655)=MONTH(Settings!$B$3)),Settings!$B$11,0))</f>
        <v/>
      </c>
      <c r="P655" s="77">
        <f>IF($A655="","",SUMIFS($H$5:$H$800,$A$5:$A$800,"&gt;="&amp;DATE(YEAR($A655),MONTH($A655),1),$A$5:$A$800,"&lt;="&amp;$A655)+IF(AND(YEAR($A655)=YEAR(Settings!$B$3),MONTH($A655)=MONTH(Settings!$B$3)),Settings!$B$12,0))</f>
        <v/>
      </c>
      <c r="Q655" s="78">
        <f>IF($A655="","",SUMIFS($I$5:$I$800,$A$5:$A$800,"&gt;="&amp;DATE(YEAR($A655),MONTH($A655),1),$A$5:$A$800,"&lt;="&amp;$A655)+IF(AND(YEAR($A655)=YEAR(Settings!$B$3),MONTH($A655)=MONTH(Settings!$B$3)),Settings!$B$13,0))</f>
        <v/>
      </c>
      <c r="R655" s="77">
        <f>IF($A655="","",N655+P655)</f>
        <v/>
      </c>
      <c r="S655" s="78">
        <f>IF($A655="","",O655+Q655)</f>
        <v/>
      </c>
    </row>
    <row r="656">
      <c r="A656" s="67" t="n"/>
      <c r="B656" s="75" t="n"/>
      <c r="C656" s="76" t="n"/>
      <c r="D656" s="75" t="n"/>
      <c r="E656" s="76" t="n"/>
      <c r="F656" s="75" t="n"/>
      <c r="G656" s="76" t="n"/>
      <c r="H656" s="75" t="n"/>
      <c r="I656" s="76" t="n"/>
      <c r="J656" s="77">
        <f>IF($A656="","",B656+D656+F656)</f>
        <v/>
      </c>
      <c r="K656" s="78">
        <f>IF($A656="","",C656+E656+G656)</f>
        <v/>
      </c>
      <c r="L656" s="79">
        <f>IF($A656="","",J656+H656)</f>
        <v/>
      </c>
      <c r="M656" s="80">
        <f>IF($A656="","",K656+I656)</f>
        <v/>
      </c>
      <c r="N656" s="77">
        <f>IF($A656="","",SUMIFS($J$5:$J$800,$A$5:$A$800,"&gt;="&amp;DATE(YEAR($A656),MONTH($A656),1),$A$5:$A$800,"&lt;="&amp;$A656)+IF(AND(YEAR($A656)=YEAR(Settings!$B$3),MONTH($A656)=MONTH(Settings!$B$3)),Settings!$B$10,0))</f>
        <v/>
      </c>
      <c r="O656" s="78">
        <f>IF($A656="","",SUMIFS($K$5:$K$800,$A$5:$A$800,"&gt;="&amp;DATE(YEAR($A656),MONTH($A656),1),$A$5:$A$800,"&lt;="&amp;$A656)+IF(AND(YEAR($A656)=YEAR(Settings!$B$3),MONTH($A656)=MONTH(Settings!$B$3)),Settings!$B$11,0))</f>
        <v/>
      </c>
      <c r="P656" s="77">
        <f>IF($A656="","",SUMIFS($H$5:$H$800,$A$5:$A$800,"&gt;="&amp;DATE(YEAR($A656),MONTH($A656),1),$A$5:$A$800,"&lt;="&amp;$A656)+IF(AND(YEAR($A656)=YEAR(Settings!$B$3),MONTH($A656)=MONTH(Settings!$B$3)),Settings!$B$12,0))</f>
        <v/>
      </c>
      <c r="Q656" s="78">
        <f>IF($A656="","",SUMIFS($I$5:$I$800,$A$5:$A$800,"&gt;="&amp;DATE(YEAR($A656),MONTH($A656),1),$A$5:$A$800,"&lt;="&amp;$A656)+IF(AND(YEAR($A656)=YEAR(Settings!$B$3),MONTH($A656)=MONTH(Settings!$B$3)),Settings!$B$13,0))</f>
        <v/>
      </c>
      <c r="R656" s="77">
        <f>IF($A656="","",N656+P656)</f>
        <v/>
      </c>
      <c r="S656" s="78">
        <f>IF($A656="","",O656+Q656)</f>
        <v/>
      </c>
    </row>
    <row r="657">
      <c r="A657" s="67" t="n"/>
      <c r="B657" s="75" t="n"/>
      <c r="C657" s="76" t="n"/>
      <c r="D657" s="75" t="n"/>
      <c r="E657" s="76" t="n"/>
      <c r="F657" s="75" t="n"/>
      <c r="G657" s="76" t="n"/>
      <c r="H657" s="75" t="n"/>
      <c r="I657" s="76" t="n"/>
      <c r="J657" s="77">
        <f>IF($A657="","",B657+D657+F657)</f>
        <v/>
      </c>
      <c r="K657" s="78">
        <f>IF($A657="","",C657+E657+G657)</f>
        <v/>
      </c>
      <c r="L657" s="79">
        <f>IF($A657="","",J657+H657)</f>
        <v/>
      </c>
      <c r="M657" s="80">
        <f>IF($A657="","",K657+I657)</f>
        <v/>
      </c>
      <c r="N657" s="77">
        <f>IF($A657="","",SUMIFS($J$5:$J$800,$A$5:$A$800,"&gt;="&amp;DATE(YEAR($A657),MONTH($A657),1),$A$5:$A$800,"&lt;="&amp;$A657)+IF(AND(YEAR($A657)=YEAR(Settings!$B$3),MONTH($A657)=MONTH(Settings!$B$3)),Settings!$B$10,0))</f>
        <v/>
      </c>
      <c r="O657" s="78">
        <f>IF($A657="","",SUMIFS($K$5:$K$800,$A$5:$A$800,"&gt;="&amp;DATE(YEAR($A657),MONTH($A657),1),$A$5:$A$800,"&lt;="&amp;$A657)+IF(AND(YEAR($A657)=YEAR(Settings!$B$3),MONTH($A657)=MONTH(Settings!$B$3)),Settings!$B$11,0))</f>
        <v/>
      </c>
      <c r="P657" s="77">
        <f>IF($A657="","",SUMIFS($H$5:$H$800,$A$5:$A$800,"&gt;="&amp;DATE(YEAR($A657),MONTH($A657),1),$A$5:$A$800,"&lt;="&amp;$A657)+IF(AND(YEAR($A657)=YEAR(Settings!$B$3),MONTH($A657)=MONTH(Settings!$B$3)),Settings!$B$12,0))</f>
        <v/>
      </c>
      <c r="Q657" s="78">
        <f>IF($A657="","",SUMIFS($I$5:$I$800,$A$5:$A$800,"&gt;="&amp;DATE(YEAR($A657),MONTH($A657),1),$A$5:$A$800,"&lt;="&amp;$A657)+IF(AND(YEAR($A657)=YEAR(Settings!$B$3),MONTH($A657)=MONTH(Settings!$B$3)),Settings!$B$13,0))</f>
        <v/>
      </c>
      <c r="R657" s="77">
        <f>IF($A657="","",N657+P657)</f>
        <v/>
      </c>
      <c r="S657" s="78">
        <f>IF($A657="","",O657+Q657)</f>
        <v/>
      </c>
    </row>
    <row r="658">
      <c r="A658" s="67" t="n"/>
      <c r="B658" s="75" t="n"/>
      <c r="C658" s="76" t="n"/>
      <c r="D658" s="75" t="n"/>
      <c r="E658" s="76" t="n"/>
      <c r="F658" s="75" t="n"/>
      <c r="G658" s="76" t="n"/>
      <c r="H658" s="75" t="n"/>
      <c r="I658" s="76" t="n"/>
      <c r="J658" s="77">
        <f>IF($A658="","",B658+D658+F658)</f>
        <v/>
      </c>
      <c r="K658" s="78">
        <f>IF($A658="","",C658+E658+G658)</f>
        <v/>
      </c>
      <c r="L658" s="79">
        <f>IF($A658="","",J658+H658)</f>
        <v/>
      </c>
      <c r="M658" s="80">
        <f>IF($A658="","",K658+I658)</f>
        <v/>
      </c>
      <c r="N658" s="77">
        <f>IF($A658="","",SUMIFS($J$5:$J$800,$A$5:$A$800,"&gt;="&amp;DATE(YEAR($A658),MONTH($A658),1),$A$5:$A$800,"&lt;="&amp;$A658)+IF(AND(YEAR($A658)=YEAR(Settings!$B$3),MONTH($A658)=MONTH(Settings!$B$3)),Settings!$B$10,0))</f>
        <v/>
      </c>
      <c r="O658" s="78">
        <f>IF($A658="","",SUMIFS($K$5:$K$800,$A$5:$A$800,"&gt;="&amp;DATE(YEAR($A658),MONTH($A658),1),$A$5:$A$800,"&lt;="&amp;$A658)+IF(AND(YEAR($A658)=YEAR(Settings!$B$3),MONTH($A658)=MONTH(Settings!$B$3)),Settings!$B$11,0))</f>
        <v/>
      </c>
      <c r="P658" s="77">
        <f>IF($A658="","",SUMIFS($H$5:$H$800,$A$5:$A$800,"&gt;="&amp;DATE(YEAR($A658),MONTH($A658),1),$A$5:$A$800,"&lt;="&amp;$A658)+IF(AND(YEAR($A658)=YEAR(Settings!$B$3),MONTH($A658)=MONTH(Settings!$B$3)),Settings!$B$12,0))</f>
        <v/>
      </c>
      <c r="Q658" s="78">
        <f>IF($A658="","",SUMIFS($I$5:$I$800,$A$5:$A$800,"&gt;="&amp;DATE(YEAR($A658),MONTH($A658),1),$A$5:$A$800,"&lt;="&amp;$A658)+IF(AND(YEAR($A658)=YEAR(Settings!$B$3),MONTH($A658)=MONTH(Settings!$B$3)),Settings!$B$13,0))</f>
        <v/>
      </c>
      <c r="R658" s="77">
        <f>IF($A658="","",N658+P658)</f>
        <v/>
      </c>
      <c r="S658" s="78">
        <f>IF($A658="","",O658+Q658)</f>
        <v/>
      </c>
    </row>
    <row r="659">
      <c r="A659" s="67" t="n"/>
      <c r="B659" s="75" t="n"/>
      <c r="C659" s="76" t="n"/>
      <c r="D659" s="75" t="n"/>
      <c r="E659" s="76" t="n"/>
      <c r="F659" s="75" t="n"/>
      <c r="G659" s="76" t="n"/>
      <c r="H659" s="75" t="n"/>
      <c r="I659" s="76" t="n"/>
      <c r="J659" s="77">
        <f>IF($A659="","",B659+D659+F659)</f>
        <v/>
      </c>
      <c r="K659" s="78">
        <f>IF($A659="","",C659+E659+G659)</f>
        <v/>
      </c>
      <c r="L659" s="79">
        <f>IF($A659="","",J659+H659)</f>
        <v/>
      </c>
      <c r="M659" s="80">
        <f>IF($A659="","",K659+I659)</f>
        <v/>
      </c>
      <c r="N659" s="77">
        <f>IF($A659="","",SUMIFS($J$5:$J$800,$A$5:$A$800,"&gt;="&amp;DATE(YEAR($A659),MONTH($A659),1),$A$5:$A$800,"&lt;="&amp;$A659)+IF(AND(YEAR($A659)=YEAR(Settings!$B$3),MONTH($A659)=MONTH(Settings!$B$3)),Settings!$B$10,0))</f>
        <v/>
      </c>
      <c r="O659" s="78">
        <f>IF($A659="","",SUMIFS($K$5:$K$800,$A$5:$A$800,"&gt;="&amp;DATE(YEAR($A659),MONTH($A659),1),$A$5:$A$800,"&lt;="&amp;$A659)+IF(AND(YEAR($A659)=YEAR(Settings!$B$3),MONTH($A659)=MONTH(Settings!$B$3)),Settings!$B$11,0))</f>
        <v/>
      </c>
      <c r="P659" s="77">
        <f>IF($A659="","",SUMIFS($H$5:$H$800,$A$5:$A$800,"&gt;="&amp;DATE(YEAR($A659),MONTH($A659),1),$A$5:$A$800,"&lt;="&amp;$A659)+IF(AND(YEAR($A659)=YEAR(Settings!$B$3),MONTH($A659)=MONTH(Settings!$B$3)),Settings!$B$12,0))</f>
        <v/>
      </c>
      <c r="Q659" s="78">
        <f>IF($A659="","",SUMIFS($I$5:$I$800,$A$5:$A$800,"&gt;="&amp;DATE(YEAR($A659),MONTH($A659),1),$A$5:$A$800,"&lt;="&amp;$A659)+IF(AND(YEAR($A659)=YEAR(Settings!$B$3),MONTH($A659)=MONTH(Settings!$B$3)),Settings!$B$13,0))</f>
        <v/>
      </c>
      <c r="R659" s="77">
        <f>IF($A659="","",N659+P659)</f>
        <v/>
      </c>
      <c r="S659" s="78">
        <f>IF($A659="","",O659+Q659)</f>
        <v/>
      </c>
    </row>
    <row r="660">
      <c r="A660" s="67" t="n"/>
      <c r="B660" s="75" t="n"/>
      <c r="C660" s="76" t="n"/>
      <c r="D660" s="75" t="n"/>
      <c r="E660" s="76" t="n"/>
      <c r="F660" s="75" t="n"/>
      <c r="G660" s="76" t="n"/>
      <c r="H660" s="75" t="n"/>
      <c r="I660" s="76" t="n"/>
      <c r="J660" s="77">
        <f>IF($A660="","",B660+D660+F660)</f>
        <v/>
      </c>
      <c r="K660" s="78">
        <f>IF($A660="","",C660+E660+G660)</f>
        <v/>
      </c>
      <c r="L660" s="79">
        <f>IF($A660="","",J660+H660)</f>
        <v/>
      </c>
      <c r="M660" s="80">
        <f>IF($A660="","",K660+I660)</f>
        <v/>
      </c>
      <c r="N660" s="77">
        <f>IF($A660="","",SUMIFS($J$5:$J$800,$A$5:$A$800,"&gt;="&amp;DATE(YEAR($A660),MONTH($A660),1),$A$5:$A$800,"&lt;="&amp;$A660)+IF(AND(YEAR($A660)=YEAR(Settings!$B$3),MONTH($A660)=MONTH(Settings!$B$3)),Settings!$B$10,0))</f>
        <v/>
      </c>
      <c r="O660" s="78">
        <f>IF($A660="","",SUMIFS($K$5:$K$800,$A$5:$A$800,"&gt;="&amp;DATE(YEAR($A660),MONTH($A660),1),$A$5:$A$800,"&lt;="&amp;$A660)+IF(AND(YEAR($A660)=YEAR(Settings!$B$3),MONTH($A660)=MONTH(Settings!$B$3)),Settings!$B$11,0))</f>
        <v/>
      </c>
      <c r="P660" s="77">
        <f>IF($A660="","",SUMIFS($H$5:$H$800,$A$5:$A$800,"&gt;="&amp;DATE(YEAR($A660),MONTH($A660),1),$A$5:$A$800,"&lt;="&amp;$A660)+IF(AND(YEAR($A660)=YEAR(Settings!$B$3),MONTH($A660)=MONTH(Settings!$B$3)),Settings!$B$12,0))</f>
        <v/>
      </c>
      <c r="Q660" s="78">
        <f>IF($A660="","",SUMIFS($I$5:$I$800,$A$5:$A$800,"&gt;="&amp;DATE(YEAR($A660),MONTH($A660),1),$A$5:$A$800,"&lt;="&amp;$A660)+IF(AND(YEAR($A660)=YEAR(Settings!$B$3),MONTH($A660)=MONTH(Settings!$B$3)),Settings!$B$13,0))</f>
        <v/>
      </c>
      <c r="R660" s="77">
        <f>IF($A660="","",N660+P660)</f>
        <v/>
      </c>
      <c r="S660" s="78">
        <f>IF($A660="","",O660+Q660)</f>
        <v/>
      </c>
    </row>
    <row r="661">
      <c r="A661" s="67" t="n"/>
      <c r="B661" s="75" t="n"/>
      <c r="C661" s="76" t="n"/>
      <c r="D661" s="75" t="n"/>
      <c r="E661" s="76" t="n"/>
      <c r="F661" s="75" t="n"/>
      <c r="G661" s="76" t="n"/>
      <c r="H661" s="75" t="n"/>
      <c r="I661" s="76" t="n"/>
      <c r="J661" s="77">
        <f>IF($A661="","",B661+D661+F661)</f>
        <v/>
      </c>
      <c r="K661" s="78">
        <f>IF($A661="","",C661+E661+G661)</f>
        <v/>
      </c>
      <c r="L661" s="79">
        <f>IF($A661="","",J661+H661)</f>
        <v/>
      </c>
      <c r="M661" s="80">
        <f>IF($A661="","",K661+I661)</f>
        <v/>
      </c>
      <c r="N661" s="77">
        <f>IF($A661="","",SUMIFS($J$5:$J$800,$A$5:$A$800,"&gt;="&amp;DATE(YEAR($A661),MONTH($A661),1),$A$5:$A$800,"&lt;="&amp;$A661)+IF(AND(YEAR($A661)=YEAR(Settings!$B$3),MONTH($A661)=MONTH(Settings!$B$3)),Settings!$B$10,0))</f>
        <v/>
      </c>
      <c r="O661" s="78">
        <f>IF($A661="","",SUMIFS($K$5:$K$800,$A$5:$A$800,"&gt;="&amp;DATE(YEAR($A661),MONTH($A661),1),$A$5:$A$800,"&lt;="&amp;$A661)+IF(AND(YEAR($A661)=YEAR(Settings!$B$3),MONTH($A661)=MONTH(Settings!$B$3)),Settings!$B$11,0))</f>
        <v/>
      </c>
      <c r="P661" s="77">
        <f>IF($A661="","",SUMIFS($H$5:$H$800,$A$5:$A$800,"&gt;="&amp;DATE(YEAR($A661),MONTH($A661),1),$A$5:$A$800,"&lt;="&amp;$A661)+IF(AND(YEAR($A661)=YEAR(Settings!$B$3),MONTH($A661)=MONTH(Settings!$B$3)),Settings!$B$12,0))</f>
        <v/>
      </c>
      <c r="Q661" s="78">
        <f>IF($A661="","",SUMIFS($I$5:$I$800,$A$5:$A$800,"&gt;="&amp;DATE(YEAR($A661),MONTH($A661),1),$A$5:$A$800,"&lt;="&amp;$A661)+IF(AND(YEAR($A661)=YEAR(Settings!$B$3),MONTH($A661)=MONTH(Settings!$B$3)),Settings!$B$13,0))</f>
        <v/>
      </c>
      <c r="R661" s="77">
        <f>IF($A661="","",N661+P661)</f>
        <v/>
      </c>
      <c r="S661" s="78">
        <f>IF($A661="","",O661+Q661)</f>
        <v/>
      </c>
    </row>
    <row r="662">
      <c r="A662" s="67" t="n"/>
      <c r="B662" s="75" t="n"/>
      <c r="C662" s="76" t="n"/>
      <c r="D662" s="75" t="n"/>
      <c r="E662" s="76" t="n"/>
      <c r="F662" s="75" t="n"/>
      <c r="G662" s="76" t="n"/>
      <c r="H662" s="75" t="n"/>
      <c r="I662" s="76" t="n"/>
      <c r="J662" s="77">
        <f>IF($A662="","",B662+D662+F662)</f>
        <v/>
      </c>
      <c r="K662" s="78">
        <f>IF($A662="","",C662+E662+G662)</f>
        <v/>
      </c>
      <c r="L662" s="79">
        <f>IF($A662="","",J662+H662)</f>
        <v/>
      </c>
      <c r="M662" s="80">
        <f>IF($A662="","",K662+I662)</f>
        <v/>
      </c>
      <c r="N662" s="77">
        <f>IF($A662="","",SUMIFS($J$5:$J$800,$A$5:$A$800,"&gt;="&amp;DATE(YEAR($A662),MONTH($A662),1),$A$5:$A$800,"&lt;="&amp;$A662)+IF(AND(YEAR($A662)=YEAR(Settings!$B$3),MONTH($A662)=MONTH(Settings!$B$3)),Settings!$B$10,0))</f>
        <v/>
      </c>
      <c r="O662" s="78">
        <f>IF($A662="","",SUMIFS($K$5:$K$800,$A$5:$A$800,"&gt;="&amp;DATE(YEAR($A662),MONTH($A662),1),$A$5:$A$800,"&lt;="&amp;$A662)+IF(AND(YEAR($A662)=YEAR(Settings!$B$3),MONTH($A662)=MONTH(Settings!$B$3)),Settings!$B$11,0))</f>
        <v/>
      </c>
      <c r="P662" s="77">
        <f>IF($A662="","",SUMIFS($H$5:$H$800,$A$5:$A$800,"&gt;="&amp;DATE(YEAR($A662),MONTH($A662),1),$A$5:$A$800,"&lt;="&amp;$A662)+IF(AND(YEAR($A662)=YEAR(Settings!$B$3),MONTH($A662)=MONTH(Settings!$B$3)),Settings!$B$12,0))</f>
        <v/>
      </c>
      <c r="Q662" s="78">
        <f>IF($A662="","",SUMIFS($I$5:$I$800,$A$5:$A$800,"&gt;="&amp;DATE(YEAR($A662),MONTH($A662),1),$A$5:$A$800,"&lt;="&amp;$A662)+IF(AND(YEAR($A662)=YEAR(Settings!$B$3),MONTH($A662)=MONTH(Settings!$B$3)),Settings!$B$13,0))</f>
        <v/>
      </c>
      <c r="R662" s="77">
        <f>IF($A662="","",N662+P662)</f>
        <v/>
      </c>
      <c r="S662" s="78">
        <f>IF($A662="","",O662+Q662)</f>
        <v/>
      </c>
    </row>
    <row r="663">
      <c r="A663" s="67" t="n"/>
      <c r="B663" s="75" t="n"/>
      <c r="C663" s="76" t="n"/>
      <c r="D663" s="75" t="n"/>
      <c r="E663" s="76" t="n"/>
      <c r="F663" s="75" t="n"/>
      <c r="G663" s="76" t="n"/>
      <c r="H663" s="75" t="n"/>
      <c r="I663" s="76" t="n"/>
      <c r="J663" s="77">
        <f>IF($A663="","",B663+D663+F663)</f>
        <v/>
      </c>
      <c r="K663" s="78">
        <f>IF($A663="","",C663+E663+G663)</f>
        <v/>
      </c>
      <c r="L663" s="79">
        <f>IF($A663="","",J663+H663)</f>
        <v/>
      </c>
      <c r="M663" s="80">
        <f>IF($A663="","",K663+I663)</f>
        <v/>
      </c>
      <c r="N663" s="77">
        <f>IF($A663="","",SUMIFS($J$5:$J$800,$A$5:$A$800,"&gt;="&amp;DATE(YEAR($A663),MONTH($A663),1),$A$5:$A$800,"&lt;="&amp;$A663)+IF(AND(YEAR($A663)=YEAR(Settings!$B$3),MONTH($A663)=MONTH(Settings!$B$3)),Settings!$B$10,0))</f>
        <v/>
      </c>
      <c r="O663" s="78">
        <f>IF($A663="","",SUMIFS($K$5:$K$800,$A$5:$A$800,"&gt;="&amp;DATE(YEAR($A663),MONTH($A663),1),$A$5:$A$800,"&lt;="&amp;$A663)+IF(AND(YEAR($A663)=YEAR(Settings!$B$3),MONTH($A663)=MONTH(Settings!$B$3)),Settings!$B$11,0))</f>
        <v/>
      </c>
      <c r="P663" s="77">
        <f>IF($A663="","",SUMIFS($H$5:$H$800,$A$5:$A$800,"&gt;="&amp;DATE(YEAR($A663),MONTH($A663),1),$A$5:$A$800,"&lt;="&amp;$A663)+IF(AND(YEAR($A663)=YEAR(Settings!$B$3),MONTH($A663)=MONTH(Settings!$B$3)),Settings!$B$12,0))</f>
        <v/>
      </c>
      <c r="Q663" s="78">
        <f>IF($A663="","",SUMIFS($I$5:$I$800,$A$5:$A$800,"&gt;="&amp;DATE(YEAR($A663),MONTH($A663),1),$A$5:$A$800,"&lt;="&amp;$A663)+IF(AND(YEAR($A663)=YEAR(Settings!$B$3),MONTH($A663)=MONTH(Settings!$B$3)),Settings!$B$13,0))</f>
        <v/>
      </c>
      <c r="R663" s="77">
        <f>IF($A663="","",N663+P663)</f>
        <v/>
      </c>
      <c r="S663" s="78">
        <f>IF($A663="","",O663+Q663)</f>
        <v/>
      </c>
    </row>
    <row r="664">
      <c r="A664" s="67" t="n"/>
      <c r="B664" s="75" t="n"/>
      <c r="C664" s="76" t="n"/>
      <c r="D664" s="75" t="n"/>
      <c r="E664" s="76" t="n"/>
      <c r="F664" s="75" t="n"/>
      <c r="G664" s="76" t="n"/>
      <c r="H664" s="75" t="n"/>
      <c r="I664" s="76" t="n"/>
      <c r="J664" s="77">
        <f>IF($A664="","",B664+D664+F664)</f>
        <v/>
      </c>
      <c r="K664" s="78">
        <f>IF($A664="","",C664+E664+G664)</f>
        <v/>
      </c>
      <c r="L664" s="79">
        <f>IF($A664="","",J664+H664)</f>
        <v/>
      </c>
      <c r="M664" s="80">
        <f>IF($A664="","",K664+I664)</f>
        <v/>
      </c>
      <c r="N664" s="77">
        <f>IF($A664="","",SUMIFS($J$5:$J$800,$A$5:$A$800,"&gt;="&amp;DATE(YEAR($A664),MONTH($A664),1),$A$5:$A$800,"&lt;="&amp;$A664)+IF(AND(YEAR($A664)=YEAR(Settings!$B$3),MONTH($A664)=MONTH(Settings!$B$3)),Settings!$B$10,0))</f>
        <v/>
      </c>
      <c r="O664" s="78">
        <f>IF($A664="","",SUMIFS($K$5:$K$800,$A$5:$A$800,"&gt;="&amp;DATE(YEAR($A664),MONTH($A664),1),$A$5:$A$800,"&lt;="&amp;$A664)+IF(AND(YEAR($A664)=YEAR(Settings!$B$3),MONTH($A664)=MONTH(Settings!$B$3)),Settings!$B$11,0))</f>
        <v/>
      </c>
      <c r="P664" s="77">
        <f>IF($A664="","",SUMIFS($H$5:$H$800,$A$5:$A$800,"&gt;="&amp;DATE(YEAR($A664),MONTH($A664),1),$A$5:$A$800,"&lt;="&amp;$A664)+IF(AND(YEAR($A664)=YEAR(Settings!$B$3),MONTH($A664)=MONTH(Settings!$B$3)),Settings!$B$12,0))</f>
        <v/>
      </c>
      <c r="Q664" s="78">
        <f>IF($A664="","",SUMIFS($I$5:$I$800,$A$5:$A$800,"&gt;="&amp;DATE(YEAR($A664),MONTH($A664),1),$A$5:$A$800,"&lt;="&amp;$A664)+IF(AND(YEAR($A664)=YEAR(Settings!$B$3),MONTH($A664)=MONTH(Settings!$B$3)),Settings!$B$13,0))</f>
        <v/>
      </c>
      <c r="R664" s="77">
        <f>IF($A664="","",N664+P664)</f>
        <v/>
      </c>
      <c r="S664" s="78">
        <f>IF($A664="","",O664+Q664)</f>
        <v/>
      </c>
    </row>
    <row r="665">
      <c r="A665" s="67" t="n"/>
      <c r="B665" s="75" t="n"/>
      <c r="C665" s="76" t="n"/>
      <c r="D665" s="75" t="n"/>
      <c r="E665" s="76" t="n"/>
      <c r="F665" s="75" t="n"/>
      <c r="G665" s="76" t="n"/>
      <c r="H665" s="75" t="n"/>
      <c r="I665" s="76" t="n"/>
      <c r="J665" s="77">
        <f>IF($A665="","",B665+D665+F665)</f>
        <v/>
      </c>
      <c r="K665" s="78">
        <f>IF($A665="","",C665+E665+G665)</f>
        <v/>
      </c>
      <c r="L665" s="79">
        <f>IF($A665="","",J665+H665)</f>
        <v/>
      </c>
      <c r="M665" s="80">
        <f>IF($A665="","",K665+I665)</f>
        <v/>
      </c>
      <c r="N665" s="77">
        <f>IF($A665="","",SUMIFS($J$5:$J$800,$A$5:$A$800,"&gt;="&amp;DATE(YEAR($A665),MONTH($A665),1),$A$5:$A$800,"&lt;="&amp;$A665)+IF(AND(YEAR($A665)=YEAR(Settings!$B$3),MONTH($A665)=MONTH(Settings!$B$3)),Settings!$B$10,0))</f>
        <v/>
      </c>
      <c r="O665" s="78">
        <f>IF($A665="","",SUMIFS($K$5:$K$800,$A$5:$A$800,"&gt;="&amp;DATE(YEAR($A665),MONTH($A665),1),$A$5:$A$800,"&lt;="&amp;$A665)+IF(AND(YEAR($A665)=YEAR(Settings!$B$3),MONTH($A665)=MONTH(Settings!$B$3)),Settings!$B$11,0))</f>
        <v/>
      </c>
      <c r="P665" s="77">
        <f>IF($A665="","",SUMIFS($H$5:$H$800,$A$5:$A$800,"&gt;="&amp;DATE(YEAR($A665),MONTH($A665),1),$A$5:$A$800,"&lt;="&amp;$A665)+IF(AND(YEAR($A665)=YEAR(Settings!$B$3),MONTH($A665)=MONTH(Settings!$B$3)),Settings!$B$12,0))</f>
        <v/>
      </c>
      <c r="Q665" s="78">
        <f>IF($A665="","",SUMIFS($I$5:$I$800,$A$5:$A$800,"&gt;="&amp;DATE(YEAR($A665),MONTH($A665),1),$A$5:$A$800,"&lt;="&amp;$A665)+IF(AND(YEAR($A665)=YEAR(Settings!$B$3),MONTH($A665)=MONTH(Settings!$B$3)),Settings!$B$13,0))</f>
        <v/>
      </c>
      <c r="R665" s="77">
        <f>IF($A665="","",N665+P665)</f>
        <v/>
      </c>
      <c r="S665" s="78">
        <f>IF($A665="","",O665+Q665)</f>
        <v/>
      </c>
    </row>
    <row r="666">
      <c r="A666" s="67" t="n"/>
      <c r="B666" s="75" t="n"/>
      <c r="C666" s="76" t="n"/>
      <c r="D666" s="75" t="n"/>
      <c r="E666" s="76" t="n"/>
      <c r="F666" s="75" t="n"/>
      <c r="G666" s="76" t="n"/>
      <c r="H666" s="75" t="n"/>
      <c r="I666" s="76" t="n"/>
      <c r="J666" s="77">
        <f>IF($A666="","",B666+D666+F666)</f>
        <v/>
      </c>
      <c r="K666" s="78">
        <f>IF($A666="","",C666+E666+G666)</f>
        <v/>
      </c>
      <c r="L666" s="79">
        <f>IF($A666="","",J666+H666)</f>
        <v/>
      </c>
      <c r="M666" s="80">
        <f>IF($A666="","",K666+I666)</f>
        <v/>
      </c>
      <c r="N666" s="77">
        <f>IF($A666="","",SUMIFS($J$5:$J$800,$A$5:$A$800,"&gt;="&amp;DATE(YEAR($A666),MONTH($A666),1),$A$5:$A$800,"&lt;="&amp;$A666)+IF(AND(YEAR($A666)=YEAR(Settings!$B$3),MONTH($A666)=MONTH(Settings!$B$3)),Settings!$B$10,0))</f>
        <v/>
      </c>
      <c r="O666" s="78">
        <f>IF($A666="","",SUMIFS($K$5:$K$800,$A$5:$A$800,"&gt;="&amp;DATE(YEAR($A666),MONTH($A666),1),$A$5:$A$800,"&lt;="&amp;$A666)+IF(AND(YEAR($A666)=YEAR(Settings!$B$3),MONTH($A666)=MONTH(Settings!$B$3)),Settings!$B$11,0))</f>
        <v/>
      </c>
      <c r="P666" s="77">
        <f>IF($A666="","",SUMIFS($H$5:$H$800,$A$5:$A$800,"&gt;="&amp;DATE(YEAR($A666),MONTH($A666),1),$A$5:$A$800,"&lt;="&amp;$A666)+IF(AND(YEAR($A666)=YEAR(Settings!$B$3),MONTH($A666)=MONTH(Settings!$B$3)),Settings!$B$12,0))</f>
        <v/>
      </c>
      <c r="Q666" s="78">
        <f>IF($A666="","",SUMIFS($I$5:$I$800,$A$5:$A$800,"&gt;="&amp;DATE(YEAR($A666),MONTH($A666),1),$A$5:$A$800,"&lt;="&amp;$A666)+IF(AND(YEAR($A666)=YEAR(Settings!$B$3),MONTH($A666)=MONTH(Settings!$B$3)),Settings!$B$13,0))</f>
        <v/>
      </c>
      <c r="R666" s="77">
        <f>IF($A666="","",N666+P666)</f>
        <v/>
      </c>
      <c r="S666" s="78">
        <f>IF($A666="","",O666+Q666)</f>
        <v/>
      </c>
    </row>
    <row r="667">
      <c r="A667" s="67" t="n"/>
      <c r="B667" s="75" t="n"/>
      <c r="C667" s="76" t="n"/>
      <c r="D667" s="75" t="n"/>
      <c r="E667" s="76" t="n"/>
      <c r="F667" s="75" t="n"/>
      <c r="G667" s="76" t="n"/>
      <c r="H667" s="75" t="n"/>
      <c r="I667" s="76" t="n"/>
      <c r="J667" s="77">
        <f>IF($A667="","",B667+D667+F667)</f>
        <v/>
      </c>
      <c r="K667" s="78">
        <f>IF($A667="","",C667+E667+G667)</f>
        <v/>
      </c>
      <c r="L667" s="79">
        <f>IF($A667="","",J667+H667)</f>
        <v/>
      </c>
      <c r="M667" s="80">
        <f>IF($A667="","",K667+I667)</f>
        <v/>
      </c>
      <c r="N667" s="77">
        <f>IF($A667="","",SUMIFS($J$5:$J$800,$A$5:$A$800,"&gt;="&amp;DATE(YEAR($A667),MONTH($A667),1),$A$5:$A$800,"&lt;="&amp;$A667)+IF(AND(YEAR($A667)=YEAR(Settings!$B$3),MONTH($A667)=MONTH(Settings!$B$3)),Settings!$B$10,0))</f>
        <v/>
      </c>
      <c r="O667" s="78">
        <f>IF($A667="","",SUMIFS($K$5:$K$800,$A$5:$A$800,"&gt;="&amp;DATE(YEAR($A667),MONTH($A667),1),$A$5:$A$800,"&lt;="&amp;$A667)+IF(AND(YEAR($A667)=YEAR(Settings!$B$3),MONTH($A667)=MONTH(Settings!$B$3)),Settings!$B$11,0))</f>
        <v/>
      </c>
      <c r="P667" s="77">
        <f>IF($A667="","",SUMIFS($H$5:$H$800,$A$5:$A$800,"&gt;="&amp;DATE(YEAR($A667),MONTH($A667),1),$A$5:$A$800,"&lt;="&amp;$A667)+IF(AND(YEAR($A667)=YEAR(Settings!$B$3),MONTH($A667)=MONTH(Settings!$B$3)),Settings!$B$12,0))</f>
        <v/>
      </c>
      <c r="Q667" s="78">
        <f>IF($A667="","",SUMIFS($I$5:$I$800,$A$5:$A$800,"&gt;="&amp;DATE(YEAR($A667),MONTH($A667),1),$A$5:$A$800,"&lt;="&amp;$A667)+IF(AND(YEAR($A667)=YEAR(Settings!$B$3),MONTH($A667)=MONTH(Settings!$B$3)),Settings!$B$13,0))</f>
        <v/>
      </c>
      <c r="R667" s="77">
        <f>IF($A667="","",N667+P667)</f>
        <v/>
      </c>
      <c r="S667" s="78">
        <f>IF($A667="","",O667+Q667)</f>
        <v/>
      </c>
    </row>
    <row r="668">
      <c r="A668" s="67" t="n"/>
      <c r="B668" s="75" t="n"/>
      <c r="C668" s="76" t="n"/>
      <c r="D668" s="75" t="n"/>
      <c r="E668" s="76" t="n"/>
      <c r="F668" s="75" t="n"/>
      <c r="G668" s="76" t="n"/>
      <c r="H668" s="75" t="n"/>
      <c r="I668" s="76" t="n"/>
      <c r="J668" s="77">
        <f>IF($A668="","",B668+D668+F668)</f>
        <v/>
      </c>
      <c r="K668" s="78">
        <f>IF($A668="","",C668+E668+G668)</f>
        <v/>
      </c>
      <c r="L668" s="79">
        <f>IF($A668="","",J668+H668)</f>
        <v/>
      </c>
      <c r="M668" s="80">
        <f>IF($A668="","",K668+I668)</f>
        <v/>
      </c>
      <c r="N668" s="77">
        <f>IF($A668="","",SUMIFS($J$5:$J$800,$A$5:$A$800,"&gt;="&amp;DATE(YEAR($A668),MONTH($A668),1),$A$5:$A$800,"&lt;="&amp;$A668)+IF(AND(YEAR($A668)=YEAR(Settings!$B$3),MONTH($A668)=MONTH(Settings!$B$3)),Settings!$B$10,0))</f>
        <v/>
      </c>
      <c r="O668" s="78">
        <f>IF($A668="","",SUMIFS($K$5:$K$800,$A$5:$A$800,"&gt;="&amp;DATE(YEAR($A668),MONTH($A668),1),$A$5:$A$800,"&lt;="&amp;$A668)+IF(AND(YEAR($A668)=YEAR(Settings!$B$3),MONTH($A668)=MONTH(Settings!$B$3)),Settings!$B$11,0))</f>
        <v/>
      </c>
      <c r="P668" s="77">
        <f>IF($A668="","",SUMIFS($H$5:$H$800,$A$5:$A$800,"&gt;="&amp;DATE(YEAR($A668),MONTH($A668),1),$A$5:$A$800,"&lt;="&amp;$A668)+IF(AND(YEAR($A668)=YEAR(Settings!$B$3),MONTH($A668)=MONTH(Settings!$B$3)),Settings!$B$12,0))</f>
        <v/>
      </c>
      <c r="Q668" s="78">
        <f>IF($A668="","",SUMIFS($I$5:$I$800,$A$5:$A$800,"&gt;="&amp;DATE(YEAR($A668),MONTH($A668),1),$A$5:$A$800,"&lt;="&amp;$A668)+IF(AND(YEAR($A668)=YEAR(Settings!$B$3),MONTH($A668)=MONTH(Settings!$B$3)),Settings!$B$13,0))</f>
        <v/>
      </c>
      <c r="R668" s="77">
        <f>IF($A668="","",N668+P668)</f>
        <v/>
      </c>
      <c r="S668" s="78">
        <f>IF($A668="","",O668+Q668)</f>
        <v/>
      </c>
    </row>
    <row r="669">
      <c r="A669" s="67" t="n"/>
      <c r="B669" s="75" t="n"/>
      <c r="C669" s="76" t="n"/>
      <c r="D669" s="75" t="n"/>
      <c r="E669" s="76" t="n"/>
      <c r="F669" s="75" t="n"/>
      <c r="G669" s="76" t="n"/>
      <c r="H669" s="75" t="n"/>
      <c r="I669" s="76" t="n"/>
      <c r="J669" s="77">
        <f>IF($A669="","",B669+D669+F669)</f>
        <v/>
      </c>
      <c r="K669" s="78">
        <f>IF($A669="","",C669+E669+G669)</f>
        <v/>
      </c>
      <c r="L669" s="79">
        <f>IF($A669="","",J669+H669)</f>
        <v/>
      </c>
      <c r="M669" s="80">
        <f>IF($A669="","",K669+I669)</f>
        <v/>
      </c>
      <c r="N669" s="77">
        <f>IF($A669="","",SUMIFS($J$5:$J$800,$A$5:$A$800,"&gt;="&amp;DATE(YEAR($A669),MONTH($A669),1),$A$5:$A$800,"&lt;="&amp;$A669)+IF(AND(YEAR($A669)=YEAR(Settings!$B$3),MONTH($A669)=MONTH(Settings!$B$3)),Settings!$B$10,0))</f>
        <v/>
      </c>
      <c r="O669" s="78">
        <f>IF($A669="","",SUMIFS($K$5:$K$800,$A$5:$A$800,"&gt;="&amp;DATE(YEAR($A669),MONTH($A669),1),$A$5:$A$800,"&lt;="&amp;$A669)+IF(AND(YEAR($A669)=YEAR(Settings!$B$3),MONTH($A669)=MONTH(Settings!$B$3)),Settings!$B$11,0))</f>
        <v/>
      </c>
      <c r="P669" s="77">
        <f>IF($A669="","",SUMIFS($H$5:$H$800,$A$5:$A$800,"&gt;="&amp;DATE(YEAR($A669),MONTH($A669),1),$A$5:$A$800,"&lt;="&amp;$A669)+IF(AND(YEAR($A669)=YEAR(Settings!$B$3),MONTH($A669)=MONTH(Settings!$B$3)),Settings!$B$12,0))</f>
        <v/>
      </c>
      <c r="Q669" s="78">
        <f>IF($A669="","",SUMIFS($I$5:$I$800,$A$5:$A$800,"&gt;="&amp;DATE(YEAR($A669),MONTH($A669),1),$A$5:$A$800,"&lt;="&amp;$A669)+IF(AND(YEAR($A669)=YEAR(Settings!$B$3),MONTH($A669)=MONTH(Settings!$B$3)),Settings!$B$13,0))</f>
        <v/>
      </c>
      <c r="R669" s="77">
        <f>IF($A669="","",N669+P669)</f>
        <v/>
      </c>
      <c r="S669" s="78">
        <f>IF($A669="","",O669+Q669)</f>
        <v/>
      </c>
    </row>
    <row r="670">
      <c r="A670" s="67" t="n"/>
      <c r="B670" s="75" t="n"/>
      <c r="C670" s="76" t="n"/>
      <c r="D670" s="75" t="n"/>
      <c r="E670" s="76" t="n"/>
      <c r="F670" s="75" t="n"/>
      <c r="G670" s="76" t="n"/>
      <c r="H670" s="75" t="n"/>
      <c r="I670" s="76" t="n"/>
      <c r="J670" s="77">
        <f>IF($A670="","",B670+D670+F670)</f>
        <v/>
      </c>
      <c r="K670" s="78">
        <f>IF($A670="","",C670+E670+G670)</f>
        <v/>
      </c>
      <c r="L670" s="79">
        <f>IF($A670="","",J670+H670)</f>
        <v/>
      </c>
      <c r="M670" s="80">
        <f>IF($A670="","",K670+I670)</f>
        <v/>
      </c>
      <c r="N670" s="77">
        <f>IF($A670="","",SUMIFS($J$5:$J$800,$A$5:$A$800,"&gt;="&amp;DATE(YEAR($A670),MONTH($A670),1),$A$5:$A$800,"&lt;="&amp;$A670)+IF(AND(YEAR($A670)=YEAR(Settings!$B$3),MONTH($A670)=MONTH(Settings!$B$3)),Settings!$B$10,0))</f>
        <v/>
      </c>
      <c r="O670" s="78">
        <f>IF($A670="","",SUMIFS($K$5:$K$800,$A$5:$A$800,"&gt;="&amp;DATE(YEAR($A670),MONTH($A670),1),$A$5:$A$800,"&lt;="&amp;$A670)+IF(AND(YEAR($A670)=YEAR(Settings!$B$3),MONTH($A670)=MONTH(Settings!$B$3)),Settings!$B$11,0))</f>
        <v/>
      </c>
      <c r="P670" s="77">
        <f>IF($A670="","",SUMIFS($H$5:$H$800,$A$5:$A$800,"&gt;="&amp;DATE(YEAR($A670),MONTH($A670),1),$A$5:$A$800,"&lt;="&amp;$A670)+IF(AND(YEAR($A670)=YEAR(Settings!$B$3),MONTH($A670)=MONTH(Settings!$B$3)),Settings!$B$12,0))</f>
        <v/>
      </c>
      <c r="Q670" s="78">
        <f>IF($A670="","",SUMIFS($I$5:$I$800,$A$5:$A$800,"&gt;="&amp;DATE(YEAR($A670),MONTH($A670),1),$A$5:$A$800,"&lt;="&amp;$A670)+IF(AND(YEAR($A670)=YEAR(Settings!$B$3),MONTH($A670)=MONTH(Settings!$B$3)),Settings!$B$13,0))</f>
        <v/>
      </c>
      <c r="R670" s="77">
        <f>IF($A670="","",N670+P670)</f>
        <v/>
      </c>
      <c r="S670" s="78">
        <f>IF($A670="","",O670+Q670)</f>
        <v/>
      </c>
    </row>
    <row r="671">
      <c r="A671" s="67" t="n"/>
      <c r="B671" s="75" t="n"/>
      <c r="C671" s="76" t="n"/>
      <c r="D671" s="75" t="n"/>
      <c r="E671" s="76" t="n"/>
      <c r="F671" s="75" t="n"/>
      <c r="G671" s="76" t="n"/>
      <c r="H671" s="75" t="n"/>
      <c r="I671" s="76" t="n"/>
      <c r="J671" s="77">
        <f>IF($A671="","",B671+D671+F671)</f>
        <v/>
      </c>
      <c r="K671" s="78">
        <f>IF($A671="","",C671+E671+G671)</f>
        <v/>
      </c>
      <c r="L671" s="79">
        <f>IF($A671="","",J671+H671)</f>
        <v/>
      </c>
      <c r="M671" s="80">
        <f>IF($A671="","",K671+I671)</f>
        <v/>
      </c>
      <c r="N671" s="77">
        <f>IF($A671="","",SUMIFS($J$5:$J$800,$A$5:$A$800,"&gt;="&amp;DATE(YEAR($A671),MONTH($A671),1),$A$5:$A$800,"&lt;="&amp;$A671)+IF(AND(YEAR($A671)=YEAR(Settings!$B$3),MONTH($A671)=MONTH(Settings!$B$3)),Settings!$B$10,0))</f>
        <v/>
      </c>
      <c r="O671" s="78">
        <f>IF($A671="","",SUMIFS($K$5:$K$800,$A$5:$A$800,"&gt;="&amp;DATE(YEAR($A671),MONTH($A671),1),$A$5:$A$800,"&lt;="&amp;$A671)+IF(AND(YEAR($A671)=YEAR(Settings!$B$3),MONTH($A671)=MONTH(Settings!$B$3)),Settings!$B$11,0))</f>
        <v/>
      </c>
      <c r="P671" s="77">
        <f>IF($A671="","",SUMIFS($H$5:$H$800,$A$5:$A$800,"&gt;="&amp;DATE(YEAR($A671),MONTH($A671),1),$A$5:$A$800,"&lt;="&amp;$A671)+IF(AND(YEAR($A671)=YEAR(Settings!$B$3),MONTH($A671)=MONTH(Settings!$B$3)),Settings!$B$12,0))</f>
        <v/>
      </c>
      <c r="Q671" s="78">
        <f>IF($A671="","",SUMIFS($I$5:$I$800,$A$5:$A$800,"&gt;="&amp;DATE(YEAR($A671),MONTH($A671),1),$A$5:$A$800,"&lt;="&amp;$A671)+IF(AND(YEAR($A671)=YEAR(Settings!$B$3),MONTH($A671)=MONTH(Settings!$B$3)),Settings!$B$13,0))</f>
        <v/>
      </c>
      <c r="R671" s="77">
        <f>IF($A671="","",N671+P671)</f>
        <v/>
      </c>
      <c r="S671" s="78">
        <f>IF($A671="","",O671+Q671)</f>
        <v/>
      </c>
    </row>
    <row r="672">
      <c r="A672" s="67" t="n"/>
      <c r="B672" s="75" t="n"/>
      <c r="C672" s="76" t="n"/>
      <c r="D672" s="75" t="n"/>
      <c r="E672" s="76" t="n"/>
      <c r="F672" s="75" t="n"/>
      <c r="G672" s="76" t="n"/>
      <c r="H672" s="75" t="n"/>
      <c r="I672" s="76" t="n"/>
      <c r="J672" s="77">
        <f>IF($A672="","",B672+D672+F672)</f>
        <v/>
      </c>
      <c r="K672" s="78">
        <f>IF($A672="","",C672+E672+G672)</f>
        <v/>
      </c>
      <c r="L672" s="79">
        <f>IF($A672="","",J672+H672)</f>
        <v/>
      </c>
      <c r="M672" s="80">
        <f>IF($A672="","",K672+I672)</f>
        <v/>
      </c>
      <c r="N672" s="77">
        <f>IF($A672="","",SUMIFS($J$5:$J$800,$A$5:$A$800,"&gt;="&amp;DATE(YEAR($A672),MONTH($A672),1),$A$5:$A$800,"&lt;="&amp;$A672)+IF(AND(YEAR($A672)=YEAR(Settings!$B$3),MONTH($A672)=MONTH(Settings!$B$3)),Settings!$B$10,0))</f>
        <v/>
      </c>
      <c r="O672" s="78">
        <f>IF($A672="","",SUMIFS($K$5:$K$800,$A$5:$A$800,"&gt;="&amp;DATE(YEAR($A672),MONTH($A672),1),$A$5:$A$800,"&lt;="&amp;$A672)+IF(AND(YEAR($A672)=YEAR(Settings!$B$3),MONTH($A672)=MONTH(Settings!$B$3)),Settings!$B$11,0))</f>
        <v/>
      </c>
      <c r="P672" s="77">
        <f>IF($A672="","",SUMIFS($H$5:$H$800,$A$5:$A$800,"&gt;="&amp;DATE(YEAR($A672),MONTH($A672),1),$A$5:$A$800,"&lt;="&amp;$A672)+IF(AND(YEAR($A672)=YEAR(Settings!$B$3),MONTH($A672)=MONTH(Settings!$B$3)),Settings!$B$12,0))</f>
        <v/>
      </c>
      <c r="Q672" s="78">
        <f>IF($A672="","",SUMIFS($I$5:$I$800,$A$5:$A$800,"&gt;="&amp;DATE(YEAR($A672),MONTH($A672),1),$A$5:$A$800,"&lt;="&amp;$A672)+IF(AND(YEAR($A672)=YEAR(Settings!$B$3),MONTH($A672)=MONTH(Settings!$B$3)),Settings!$B$13,0))</f>
        <v/>
      </c>
      <c r="R672" s="77">
        <f>IF($A672="","",N672+P672)</f>
        <v/>
      </c>
      <c r="S672" s="78">
        <f>IF($A672="","",O672+Q672)</f>
        <v/>
      </c>
    </row>
    <row r="673">
      <c r="A673" s="67" t="n"/>
      <c r="B673" s="75" t="n"/>
      <c r="C673" s="76" t="n"/>
      <c r="D673" s="75" t="n"/>
      <c r="E673" s="76" t="n"/>
      <c r="F673" s="75" t="n"/>
      <c r="G673" s="76" t="n"/>
      <c r="H673" s="75" t="n"/>
      <c r="I673" s="76" t="n"/>
      <c r="J673" s="77">
        <f>IF($A673="","",B673+D673+F673)</f>
        <v/>
      </c>
      <c r="K673" s="78">
        <f>IF($A673="","",C673+E673+G673)</f>
        <v/>
      </c>
      <c r="L673" s="79">
        <f>IF($A673="","",J673+H673)</f>
        <v/>
      </c>
      <c r="M673" s="80">
        <f>IF($A673="","",K673+I673)</f>
        <v/>
      </c>
      <c r="N673" s="77">
        <f>IF($A673="","",SUMIFS($J$5:$J$800,$A$5:$A$800,"&gt;="&amp;DATE(YEAR($A673),MONTH($A673),1),$A$5:$A$800,"&lt;="&amp;$A673)+IF(AND(YEAR($A673)=YEAR(Settings!$B$3),MONTH($A673)=MONTH(Settings!$B$3)),Settings!$B$10,0))</f>
        <v/>
      </c>
      <c r="O673" s="78">
        <f>IF($A673="","",SUMIFS($K$5:$K$800,$A$5:$A$800,"&gt;="&amp;DATE(YEAR($A673),MONTH($A673),1),$A$5:$A$800,"&lt;="&amp;$A673)+IF(AND(YEAR($A673)=YEAR(Settings!$B$3),MONTH($A673)=MONTH(Settings!$B$3)),Settings!$B$11,0))</f>
        <v/>
      </c>
      <c r="P673" s="77">
        <f>IF($A673="","",SUMIFS($H$5:$H$800,$A$5:$A$800,"&gt;="&amp;DATE(YEAR($A673),MONTH($A673),1),$A$5:$A$800,"&lt;="&amp;$A673)+IF(AND(YEAR($A673)=YEAR(Settings!$B$3),MONTH($A673)=MONTH(Settings!$B$3)),Settings!$B$12,0))</f>
        <v/>
      </c>
      <c r="Q673" s="78">
        <f>IF($A673="","",SUMIFS($I$5:$I$800,$A$5:$A$800,"&gt;="&amp;DATE(YEAR($A673),MONTH($A673),1),$A$5:$A$800,"&lt;="&amp;$A673)+IF(AND(YEAR($A673)=YEAR(Settings!$B$3),MONTH($A673)=MONTH(Settings!$B$3)),Settings!$B$13,0))</f>
        <v/>
      </c>
      <c r="R673" s="77">
        <f>IF($A673="","",N673+P673)</f>
        <v/>
      </c>
      <c r="S673" s="78">
        <f>IF($A673="","",O673+Q673)</f>
        <v/>
      </c>
    </row>
    <row r="674">
      <c r="A674" s="67" t="n"/>
      <c r="B674" s="75" t="n"/>
      <c r="C674" s="76" t="n"/>
      <c r="D674" s="75" t="n"/>
      <c r="E674" s="76" t="n"/>
      <c r="F674" s="75" t="n"/>
      <c r="G674" s="76" t="n"/>
      <c r="H674" s="75" t="n"/>
      <c r="I674" s="76" t="n"/>
      <c r="J674" s="77">
        <f>IF($A674="","",B674+D674+F674)</f>
        <v/>
      </c>
      <c r="K674" s="78">
        <f>IF($A674="","",C674+E674+G674)</f>
        <v/>
      </c>
      <c r="L674" s="79">
        <f>IF($A674="","",J674+H674)</f>
        <v/>
      </c>
      <c r="M674" s="80">
        <f>IF($A674="","",K674+I674)</f>
        <v/>
      </c>
      <c r="N674" s="77">
        <f>IF($A674="","",SUMIFS($J$5:$J$800,$A$5:$A$800,"&gt;="&amp;DATE(YEAR($A674),MONTH($A674),1),$A$5:$A$800,"&lt;="&amp;$A674)+IF(AND(YEAR($A674)=YEAR(Settings!$B$3),MONTH($A674)=MONTH(Settings!$B$3)),Settings!$B$10,0))</f>
        <v/>
      </c>
      <c r="O674" s="78">
        <f>IF($A674="","",SUMIFS($K$5:$K$800,$A$5:$A$800,"&gt;="&amp;DATE(YEAR($A674),MONTH($A674),1),$A$5:$A$800,"&lt;="&amp;$A674)+IF(AND(YEAR($A674)=YEAR(Settings!$B$3),MONTH($A674)=MONTH(Settings!$B$3)),Settings!$B$11,0))</f>
        <v/>
      </c>
      <c r="P674" s="77">
        <f>IF($A674="","",SUMIFS($H$5:$H$800,$A$5:$A$800,"&gt;="&amp;DATE(YEAR($A674),MONTH($A674),1),$A$5:$A$800,"&lt;="&amp;$A674)+IF(AND(YEAR($A674)=YEAR(Settings!$B$3),MONTH($A674)=MONTH(Settings!$B$3)),Settings!$B$12,0))</f>
        <v/>
      </c>
      <c r="Q674" s="78">
        <f>IF($A674="","",SUMIFS($I$5:$I$800,$A$5:$A$800,"&gt;="&amp;DATE(YEAR($A674),MONTH($A674),1),$A$5:$A$800,"&lt;="&amp;$A674)+IF(AND(YEAR($A674)=YEAR(Settings!$B$3),MONTH($A674)=MONTH(Settings!$B$3)),Settings!$B$13,0))</f>
        <v/>
      </c>
      <c r="R674" s="77">
        <f>IF($A674="","",N674+P674)</f>
        <v/>
      </c>
      <c r="S674" s="78">
        <f>IF($A674="","",O674+Q674)</f>
        <v/>
      </c>
    </row>
    <row r="675">
      <c r="A675" s="67" t="n"/>
      <c r="B675" s="75" t="n"/>
      <c r="C675" s="76" t="n"/>
      <c r="D675" s="75" t="n"/>
      <c r="E675" s="76" t="n"/>
      <c r="F675" s="75" t="n"/>
      <c r="G675" s="76" t="n"/>
      <c r="H675" s="75" t="n"/>
      <c r="I675" s="76" t="n"/>
      <c r="J675" s="77">
        <f>IF($A675="","",B675+D675+F675)</f>
        <v/>
      </c>
      <c r="K675" s="78">
        <f>IF($A675="","",C675+E675+G675)</f>
        <v/>
      </c>
      <c r="L675" s="79">
        <f>IF($A675="","",J675+H675)</f>
        <v/>
      </c>
      <c r="M675" s="80">
        <f>IF($A675="","",K675+I675)</f>
        <v/>
      </c>
      <c r="N675" s="77">
        <f>IF($A675="","",SUMIFS($J$5:$J$800,$A$5:$A$800,"&gt;="&amp;DATE(YEAR($A675),MONTH($A675),1),$A$5:$A$800,"&lt;="&amp;$A675)+IF(AND(YEAR($A675)=YEAR(Settings!$B$3),MONTH($A675)=MONTH(Settings!$B$3)),Settings!$B$10,0))</f>
        <v/>
      </c>
      <c r="O675" s="78">
        <f>IF($A675="","",SUMIFS($K$5:$K$800,$A$5:$A$800,"&gt;="&amp;DATE(YEAR($A675),MONTH($A675),1),$A$5:$A$800,"&lt;="&amp;$A675)+IF(AND(YEAR($A675)=YEAR(Settings!$B$3),MONTH($A675)=MONTH(Settings!$B$3)),Settings!$B$11,0))</f>
        <v/>
      </c>
      <c r="P675" s="77">
        <f>IF($A675="","",SUMIFS($H$5:$H$800,$A$5:$A$800,"&gt;="&amp;DATE(YEAR($A675),MONTH($A675),1),$A$5:$A$800,"&lt;="&amp;$A675)+IF(AND(YEAR($A675)=YEAR(Settings!$B$3),MONTH($A675)=MONTH(Settings!$B$3)),Settings!$B$12,0))</f>
        <v/>
      </c>
      <c r="Q675" s="78">
        <f>IF($A675="","",SUMIFS($I$5:$I$800,$A$5:$A$800,"&gt;="&amp;DATE(YEAR($A675),MONTH($A675),1),$A$5:$A$800,"&lt;="&amp;$A675)+IF(AND(YEAR($A675)=YEAR(Settings!$B$3),MONTH($A675)=MONTH(Settings!$B$3)),Settings!$B$13,0))</f>
        <v/>
      </c>
      <c r="R675" s="77">
        <f>IF($A675="","",N675+P675)</f>
        <v/>
      </c>
      <c r="S675" s="78">
        <f>IF($A675="","",O675+Q675)</f>
        <v/>
      </c>
    </row>
    <row r="676">
      <c r="A676" s="67" t="n"/>
      <c r="B676" s="75" t="n"/>
      <c r="C676" s="76" t="n"/>
      <c r="D676" s="75" t="n"/>
      <c r="E676" s="76" t="n"/>
      <c r="F676" s="75" t="n"/>
      <c r="G676" s="76" t="n"/>
      <c r="H676" s="75" t="n"/>
      <c r="I676" s="76" t="n"/>
      <c r="J676" s="77">
        <f>IF($A676="","",B676+D676+F676)</f>
        <v/>
      </c>
      <c r="K676" s="78">
        <f>IF($A676="","",C676+E676+G676)</f>
        <v/>
      </c>
      <c r="L676" s="79">
        <f>IF($A676="","",J676+H676)</f>
        <v/>
      </c>
      <c r="M676" s="80">
        <f>IF($A676="","",K676+I676)</f>
        <v/>
      </c>
      <c r="N676" s="77">
        <f>IF($A676="","",SUMIFS($J$5:$J$800,$A$5:$A$800,"&gt;="&amp;DATE(YEAR($A676),MONTH($A676),1),$A$5:$A$800,"&lt;="&amp;$A676)+IF(AND(YEAR($A676)=YEAR(Settings!$B$3),MONTH($A676)=MONTH(Settings!$B$3)),Settings!$B$10,0))</f>
        <v/>
      </c>
      <c r="O676" s="78">
        <f>IF($A676="","",SUMIFS($K$5:$K$800,$A$5:$A$800,"&gt;="&amp;DATE(YEAR($A676),MONTH($A676),1),$A$5:$A$800,"&lt;="&amp;$A676)+IF(AND(YEAR($A676)=YEAR(Settings!$B$3),MONTH($A676)=MONTH(Settings!$B$3)),Settings!$B$11,0))</f>
        <v/>
      </c>
      <c r="P676" s="77">
        <f>IF($A676="","",SUMIFS($H$5:$H$800,$A$5:$A$800,"&gt;="&amp;DATE(YEAR($A676),MONTH($A676),1),$A$5:$A$800,"&lt;="&amp;$A676)+IF(AND(YEAR($A676)=YEAR(Settings!$B$3),MONTH($A676)=MONTH(Settings!$B$3)),Settings!$B$12,0))</f>
        <v/>
      </c>
      <c r="Q676" s="78">
        <f>IF($A676="","",SUMIFS($I$5:$I$800,$A$5:$A$800,"&gt;="&amp;DATE(YEAR($A676),MONTH($A676),1),$A$5:$A$800,"&lt;="&amp;$A676)+IF(AND(YEAR($A676)=YEAR(Settings!$B$3),MONTH($A676)=MONTH(Settings!$B$3)),Settings!$B$13,0))</f>
        <v/>
      </c>
      <c r="R676" s="77">
        <f>IF($A676="","",N676+P676)</f>
        <v/>
      </c>
      <c r="S676" s="78">
        <f>IF($A676="","",O676+Q676)</f>
        <v/>
      </c>
    </row>
    <row r="677">
      <c r="A677" s="67" t="n"/>
      <c r="B677" s="75" t="n"/>
      <c r="C677" s="76" t="n"/>
      <c r="D677" s="75" t="n"/>
      <c r="E677" s="76" t="n"/>
      <c r="F677" s="75" t="n"/>
      <c r="G677" s="76" t="n"/>
      <c r="H677" s="75" t="n"/>
      <c r="I677" s="76" t="n"/>
      <c r="J677" s="77">
        <f>IF($A677="","",B677+D677+F677)</f>
        <v/>
      </c>
      <c r="K677" s="78">
        <f>IF($A677="","",C677+E677+G677)</f>
        <v/>
      </c>
      <c r="L677" s="79">
        <f>IF($A677="","",J677+H677)</f>
        <v/>
      </c>
      <c r="M677" s="80">
        <f>IF($A677="","",K677+I677)</f>
        <v/>
      </c>
      <c r="N677" s="77">
        <f>IF($A677="","",SUMIFS($J$5:$J$800,$A$5:$A$800,"&gt;="&amp;DATE(YEAR($A677),MONTH($A677),1),$A$5:$A$800,"&lt;="&amp;$A677)+IF(AND(YEAR($A677)=YEAR(Settings!$B$3),MONTH($A677)=MONTH(Settings!$B$3)),Settings!$B$10,0))</f>
        <v/>
      </c>
      <c r="O677" s="78">
        <f>IF($A677="","",SUMIFS($K$5:$K$800,$A$5:$A$800,"&gt;="&amp;DATE(YEAR($A677),MONTH($A677),1),$A$5:$A$800,"&lt;="&amp;$A677)+IF(AND(YEAR($A677)=YEAR(Settings!$B$3),MONTH($A677)=MONTH(Settings!$B$3)),Settings!$B$11,0))</f>
        <v/>
      </c>
      <c r="P677" s="77">
        <f>IF($A677="","",SUMIFS($H$5:$H$800,$A$5:$A$800,"&gt;="&amp;DATE(YEAR($A677),MONTH($A677),1),$A$5:$A$800,"&lt;="&amp;$A677)+IF(AND(YEAR($A677)=YEAR(Settings!$B$3),MONTH($A677)=MONTH(Settings!$B$3)),Settings!$B$12,0))</f>
        <v/>
      </c>
      <c r="Q677" s="78">
        <f>IF($A677="","",SUMIFS($I$5:$I$800,$A$5:$A$800,"&gt;="&amp;DATE(YEAR($A677),MONTH($A677),1),$A$5:$A$800,"&lt;="&amp;$A677)+IF(AND(YEAR($A677)=YEAR(Settings!$B$3),MONTH($A677)=MONTH(Settings!$B$3)),Settings!$B$13,0))</f>
        <v/>
      </c>
      <c r="R677" s="77">
        <f>IF($A677="","",N677+P677)</f>
        <v/>
      </c>
      <c r="S677" s="78">
        <f>IF($A677="","",O677+Q677)</f>
        <v/>
      </c>
    </row>
    <row r="678">
      <c r="A678" s="67" t="n"/>
      <c r="B678" s="75" t="n"/>
      <c r="C678" s="76" t="n"/>
      <c r="D678" s="75" t="n"/>
      <c r="E678" s="76" t="n"/>
      <c r="F678" s="75" t="n"/>
      <c r="G678" s="76" t="n"/>
      <c r="H678" s="75" t="n"/>
      <c r="I678" s="76" t="n"/>
      <c r="J678" s="77">
        <f>IF($A678="","",B678+D678+F678)</f>
        <v/>
      </c>
      <c r="K678" s="78">
        <f>IF($A678="","",C678+E678+G678)</f>
        <v/>
      </c>
      <c r="L678" s="79">
        <f>IF($A678="","",J678+H678)</f>
        <v/>
      </c>
      <c r="M678" s="80">
        <f>IF($A678="","",K678+I678)</f>
        <v/>
      </c>
      <c r="N678" s="77">
        <f>IF($A678="","",SUMIFS($J$5:$J$800,$A$5:$A$800,"&gt;="&amp;DATE(YEAR($A678),MONTH($A678),1),$A$5:$A$800,"&lt;="&amp;$A678)+IF(AND(YEAR($A678)=YEAR(Settings!$B$3),MONTH($A678)=MONTH(Settings!$B$3)),Settings!$B$10,0))</f>
        <v/>
      </c>
      <c r="O678" s="78">
        <f>IF($A678="","",SUMIFS($K$5:$K$800,$A$5:$A$800,"&gt;="&amp;DATE(YEAR($A678),MONTH($A678),1),$A$5:$A$800,"&lt;="&amp;$A678)+IF(AND(YEAR($A678)=YEAR(Settings!$B$3),MONTH($A678)=MONTH(Settings!$B$3)),Settings!$B$11,0))</f>
        <v/>
      </c>
      <c r="P678" s="77">
        <f>IF($A678="","",SUMIFS($H$5:$H$800,$A$5:$A$800,"&gt;="&amp;DATE(YEAR($A678),MONTH($A678),1),$A$5:$A$800,"&lt;="&amp;$A678)+IF(AND(YEAR($A678)=YEAR(Settings!$B$3),MONTH($A678)=MONTH(Settings!$B$3)),Settings!$B$12,0))</f>
        <v/>
      </c>
      <c r="Q678" s="78">
        <f>IF($A678="","",SUMIFS($I$5:$I$800,$A$5:$A$800,"&gt;="&amp;DATE(YEAR($A678),MONTH($A678),1),$A$5:$A$800,"&lt;="&amp;$A678)+IF(AND(YEAR($A678)=YEAR(Settings!$B$3),MONTH($A678)=MONTH(Settings!$B$3)),Settings!$B$13,0))</f>
        <v/>
      </c>
      <c r="R678" s="77">
        <f>IF($A678="","",N678+P678)</f>
        <v/>
      </c>
      <c r="S678" s="78">
        <f>IF($A678="","",O678+Q678)</f>
        <v/>
      </c>
    </row>
    <row r="679">
      <c r="A679" s="67" t="n"/>
      <c r="B679" s="75" t="n"/>
      <c r="C679" s="76" t="n"/>
      <c r="D679" s="75" t="n"/>
      <c r="E679" s="76" t="n"/>
      <c r="F679" s="75" t="n"/>
      <c r="G679" s="76" t="n"/>
      <c r="H679" s="75" t="n"/>
      <c r="I679" s="76" t="n"/>
      <c r="J679" s="77">
        <f>IF($A679="","",B679+D679+F679)</f>
        <v/>
      </c>
      <c r="K679" s="78">
        <f>IF($A679="","",C679+E679+G679)</f>
        <v/>
      </c>
      <c r="L679" s="79">
        <f>IF($A679="","",J679+H679)</f>
        <v/>
      </c>
      <c r="M679" s="80">
        <f>IF($A679="","",K679+I679)</f>
        <v/>
      </c>
      <c r="N679" s="77">
        <f>IF($A679="","",SUMIFS($J$5:$J$800,$A$5:$A$800,"&gt;="&amp;DATE(YEAR($A679),MONTH($A679),1),$A$5:$A$800,"&lt;="&amp;$A679)+IF(AND(YEAR($A679)=YEAR(Settings!$B$3),MONTH($A679)=MONTH(Settings!$B$3)),Settings!$B$10,0))</f>
        <v/>
      </c>
      <c r="O679" s="78">
        <f>IF($A679="","",SUMIFS($K$5:$K$800,$A$5:$A$800,"&gt;="&amp;DATE(YEAR($A679),MONTH($A679),1),$A$5:$A$800,"&lt;="&amp;$A679)+IF(AND(YEAR($A679)=YEAR(Settings!$B$3),MONTH($A679)=MONTH(Settings!$B$3)),Settings!$B$11,0))</f>
        <v/>
      </c>
      <c r="P679" s="77">
        <f>IF($A679="","",SUMIFS($H$5:$H$800,$A$5:$A$800,"&gt;="&amp;DATE(YEAR($A679),MONTH($A679),1),$A$5:$A$800,"&lt;="&amp;$A679)+IF(AND(YEAR($A679)=YEAR(Settings!$B$3),MONTH($A679)=MONTH(Settings!$B$3)),Settings!$B$12,0))</f>
        <v/>
      </c>
      <c r="Q679" s="78">
        <f>IF($A679="","",SUMIFS($I$5:$I$800,$A$5:$A$800,"&gt;="&amp;DATE(YEAR($A679),MONTH($A679),1),$A$5:$A$800,"&lt;="&amp;$A679)+IF(AND(YEAR($A679)=YEAR(Settings!$B$3),MONTH($A679)=MONTH(Settings!$B$3)),Settings!$B$13,0))</f>
        <v/>
      </c>
      <c r="R679" s="77">
        <f>IF($A679="","",N679+P679)</f>
        <v/>
      </c>
      <c r="S679" s="78">
        <f>IF($A679="","",O679+Q679)</f>
        <v/>
      </c>
    </row>
    <row r="680">
      <c r="A680" s="67" t="n"/>
      <c r="B680" s="75" t="n"/>
      <c r="C680" s="76" t="n"/>
      <c r="D680" s="75" t="n"/>
      <c r="E680" s="76" t="n"/>
      <c r="F680" s="75" t="n"/>
      <c r="G680" s="76" t="n"/>
      <c r="H680" s="75" t="n"/>
      <c r="I680" s="76" t="n"/>
      <c r="J680" s="77">
        <f>IF($A680="","",B680+D680+F680)</f>
        <v/>
      </c>
      <c r="K680" s="78">
        <f>IF($A680="","",C680+E680+G680)</f>
        <v/>
      </c>
      <c r="L680" s="79">
        <f>IF($A680="","",J680+H680)</f>
        <v/>
      </c>
      <c r="M680" s="80">
        <f>IF($A680="","",K680+I680)</f>
        <v/>
      </c>
      <c r="N680" s="77">
        <f>IF($A680="","",SUMIFS($J$5:$J$800,$A$5:$A$800,"&gt;="&amp;DATE(YEAR($A680),MONTH($A680),1),$A$5:$A$800,"&lt;="&amp;$A680)+IF(AND(YEAR($A680)=YEAR(Settings!$B$3),MONTH($A680)=MONTH(Settings!$B$3)),Settings!$B$10,0))</f>
        <v/>
      </c>
      <c r="O680" s="78">
        <f>IF($A680="","",SUMIFS($K$5:$K$800,$A$5:$A$800,"&gt;="&amp;DATE(YEAR($A680),MONTH($A680),1),$A$5:$A$800,"&lt;="&amp;$A680)+IF(AND(YEAR($A680)=YEAR(Settings!$B$3),MONTH($A680)=MONTH(Settings!$B$3)),Settings!$B$11,0))</f>
        <v/>
      </c>
      <c r="P680" s="77">
        <f>IF($A680="","",SUMIFS($H$5:$H$800,$A$5:$A$800,"&gt;="&amp;DATE(YEAR($A680),MONTH($A680),1),$A$5:$A$800,"&lt;="&amp;$A680)+IF(AND(YEAR($A680)=YEAR(Settings!$B$3),MONTH($A680)=MONTH(Settings!$B$3)),Settings!$B$12,0))</f>
        <v/>
      </c>
      <c r="Q680" s="78">
        <f>IF($A680="","",SUMIFS($I$5:$I$800,$A$5:$A$800,"&gt;="&amp;DATE(YEAR($A680),MONTH($A680),1),$A$5:$A$800,"&lt;="&amp;$A680)+IF(AND(YEAR($A680)=YEAR(Settings!$B$3),MONTH($A680)=MONTH(Settings!$B$3)),Settings!$B$13,0))</f>
        <v/>
      </c>
      <c r="R680" s="77">
        <f>IF($A680="","",N680+P680)</f>
        <v/>
      </c>
      <c r="S680" s="78">
        <f>IF($A680="","",O680+Q680)</f>
        <v/>
      </c>
    </row>
    <row r="681">
      <c r="A681" s="67" t="n"/>
      <c r="B681" s="75" t="n"/>
      <c r="C681" s="76" t="n"/>
      <c r="D681" s="75" t="n"/>
      <c r="E681" s="76" t="n"/>
      <c r="F681" s="75" t="n"/>
      <c r="G681" s="76" t="n"/>
      <c r="H681" s="75" t="n"/>
      <c r="I681" s="76" t="n"/>
      <c r="J681" s="77">
        <f>IF($A681="","",B681+D681+F681)</f>
        <v/>
      </c>
      <c r="K681" s="78">
        <f>IF($A681="","",C681+E681+G681)</f>
        <v/>
      </c>
      <c r="L681" s="79">
        <f>IF($A681="","",J681+H681)</f>
        <v/>
      </c>
      <c r="M681" s="80">
        <f>IF($A681="","",K681+I681)</f>
        <v/>
      </c>
      <c r="N681" s="77">
        <f>IF($A681="","",SUMIFS($J$5:$J$800,$A$5:$A$800,"&gt;="&amp;DATE(YEAR($A681),MONTH($A681),1),$A$5:$A$800,"&lt;="&amp;$A681)+IF(AND(YEAR($A681)=YEAR(Settings!$B$3),MONTH($A681)=MONTH(Settings!$B$3)),Settings!$B$10,0))</f>
        <v/>
      </c>
      <c r="O681" s="78">
        <f>IF($A681="","",SUMIFS($K$5:$K$800,$A$5:$A$800,"&gt;="&amp;DATE(YEAR($A681),MONTH($A681),1),$A$5:$A$800,"&lt;="&amp;$A681)+IF(AND(YEAR($A681)=YEAR(Settings!$B$3),MONTH($A681)=MONTH(Settings!$B$3)),Settings!$B$11,0))</f>
        <v/>
      </c>
      <c r="P681" s="77">
        <f>IF($A681="","",SUMIFS($H$5:$H$800,$A$5:$A$800,"&gt;="&amp;DATE(YEAR($A681),MONTH($A681),1),$A$5:$A$800,"&lt;="&amp;$A681)+IF(AND(YEAR($A681)=YEAR(Settings!$B$3),MONTH($A681)=MONTH(Settings!$B$3)),Settings!$B$12,0))</f>
        <v/>
      </c>
      <c r="Q681" s="78">
        <f>IF($A681="","",SUMIFS($I$5:$I$800,$A$5:$A$800,"&gt;="&amp;DATE(YEAR($A681),MONTH($A681),1),$A$5:$A$800,"&lt;="&amp;$A681)+IF(AND(YEAR($A681)=YEAR(Settings!$B$3),MONTH($A681)=MONTH(Settings!$B$3)),Settings!$B$13,0))</f>
        <v/>
      </c>
      <c r="R681" s="77">
        <f>IF($A681="","",N681+P681)</f>
        <v/>
      </c>
      <c r="S681" s="78">
        <f>IF($A681="","",O681+Q681)</f>
        <v/>
      </c>
    </row>
    <row r="682">
      <c r="A682" s="67" t="n"/>
      <c r="B682" s="75" t="n"/>
      <c r="C682" s="76" t="n"/>
      <c r="D682" s="75" t="n"/>
      <c r="E682" s="76" t="n"/>
      <c r="F682" s="75" t="n"/>
      <c r="G682" s="76" t="n"/>
      <c r="H682" s="75" t="n"/>
      <c r="I682" s="76" t="n"/>
      <c r="J682" s="77">
        <f>IF($A682="","",B682+D682+F682)</f>
        <v/>
      </c>
      <c r="K682" s="78">
        <f>IF($A682="","",C682+E682+G682)</f>
        <v/>
      </c>
      <c r="L682" s="79">
        <f>IF($A682="","",J682+H682)</f>
        <v/>
      </c>
      <c r="M682" s="80">
        <f>IF($A682="","",K682+I682)</f>
        <v/>
      </c>
      <c r="N682" s="77">
        <f>IF($A682="","",SUMIFS($J$5:$J$800,$A$5:$A$800,"&gt;="&amp;DATE(YEAR($A682),MONTH($A682),1),$A$5:$A$800,"&lt;="&amp;$A682)+IF(AND(YEAR($A682)=YEAR(Settings!$B$3),MONTH($A682)=MONTH(Settings!$B$3)),Settings!$B$10,0))</f>
        <v/>
      </c>
      <c r="O682" s="78">
        <f>IF($A682="","",SUMIFS($K$5:$K$800,$A$5:$A$800,"&gt;="&amp;DATE(YEAR($A682),MONTH($A682),1),$A$5:$A$800,"&lt;="&amp;$A682)+IF(AND(YEAR($A682)=YEAR(Settings!$B$3),MONTH($A682)=MONTH(Settings!$B$3)),Settings!$B$11,0))</f>
        <v/>
      </c>
      <c r="P682" s="77">
        <f>IF($A682="","",SUMIFS($H$5:$H$800,$A$5:$A$800,"&gt;="&amp;DATE(YEAR($A682),MONTH($A682),1),$A$5:$A$800,"&lt;="&amp;$A682)+IF(AND(YEAR($A682)=YEAR(Settings!$B$3),MONTH($A682)=MONTH(Settings!$B$3)),Settings!$B$12,0))</f>
        <v/>
      </c>
      <c r="Q682" s="78">
        <f>IF($A682="","",SUMIFS($I$5:$I$800,$A$5:$A$800,"&gt;="&amp;DATE(YEAR($A682),MONTH($A682),1),$A$5:$A$800,"&lt;="&amp;$A682)+IF(AND(YEAR($A682)=YEAR(Settings!$B$3),MONTH($A682)=MONTH(Settings!$B$3)),Settings!$B$13,0))</f>
        <v/>
      </c>
      <c r="R682" s="77">
        <f>IF($A682="","",N682+P682)</f>
        <v/>
      </c>
      <c r="S682" s="78">
        <f>IF($A682="","",O682+Q682)</f>
        <v/>
      </c>
    </row>
    <row r="683">
      <c r="A683" s="67" t="n"/>
      <c r="B683" s="75" t="n"/>
      <c r="C683" s="76" t="n"/>
      <c r="D683" s="75" t="n"/>
      <c r="E683" s="76" t="n"/>
      <c r="F683" s="75" t="n"/>
      <c r="G683" s="76" t="n"/>
      <c r="H683" s="75" t="n"/>
      <c r="I683" s="76" t="n"/>
      <c r="J683" s="77">
        <f>IF($A683="","",B683+D683+F683)</f>
        <v/>
      </c>
      <c r="K683" s="78">
        <f>IF($A683="","",C683+E683+G683)</f>
        <v/>
      </c>
      <c r="L683" s="79">
        <f>IF($A683="","",J683+H683)</f>
        <v/>
      </c>
      <c r="M683" s="80">
        <f>IF($A683="","",K683+I683)</f>
        <v/>
      </c>
      <c r="N683" s="77">
        <f>IF($A683="","",SUMIFS($J$5:$J$800,$A$5:$A$800,"&gt;="&amp;DATE(YEAR($A683),MONTH($A683),1),$A$5:$A$800,"&lt;="&amp;$A683)+IF(AND(YEAR($A683)=YEAR(Settings!$B$3),MONTH($A683)=MONTH(Settings!$B$3)),Settings!$B$10,0))</f>
        <v/>
      </c>
      <c r="O683" s="78">
        <f>IF($A683="","",SUMIFS($K$5:$K$800,$A$5:$A$800,"&gt;="&amp;DATE(YEAR($A683),MONTH($A683),1),$A$5:$A$800,"&lt;="&amp;$A683)+IF(AND(YEAR($A683)=YEAR(Settings!$B$3),MONTH($A683)=MONTH(Settings!$B$3)),Settings!$B$11,0))</f>
        <v/>
      </c>
      <c r="P683" s="77">
        <f>IF($A683="","",SUMIFS($H$5:$H$800,$A$5:$A$800,"&gt;="&amp;DATE(YEAR($A683),MONTH($A683),1),$A$5:$A$800,"&lt;="&amp;$A683)+IF(AND(YEAR($A683)=YEAR(Settings!$B$3),MONTH($A683)=MONTH(Settings!$B$3)),Settings!$B$12,0))</f>
        <v/>
      </c>
      <c r="Q683" s="78">
        <f>IF($A683="","",SUMIFS($I$5:$I$800,$A$5:$A$800,"&gt;="&amp;DATE(YEAR($A683),MONTH($A683),1),$A$5:$A$800,"&lt;="&amp;$A683)+IF(AND(YEAR($A683)=YEAR(Settings!$B$3),MONTH($A683)=MONTH(Settings!$B$3)),Settings!$B$13,0))</f>
        <v/>
      </c>
      <c r="R683" s="77">
        <f>IF($A683="","",N683+P683)</f>
        <v/>
      </c>
      <c r="S683" s="78">
        <f>IF($A683="","",O683+Q683)</f>
        <v/>
      </c>
    </row>
    <row r="684">
      <c r="A684" s="67" t="n"/>
      <c r="B684" s="75" t="n"/>
      <c r="C684" s="76" t="n"/>
      <c r="D684" s="75" t="n"/>
      <c r="E684" s="76" t="n"/>
      <c r="F684" s="75" t="n"/>
      <c r="G684" s="76" t="n"/>
      <c r="H684" s="75" t="n"/>
      <c r="I684" s="76" t="n"/>
      <c r="J684" s="77">
        <f>IF($A684="","",B684+D684+F684)</f>
        <v/>
      </c>
      <c r="K684" s="78">
        <f>IF($A684="","",C684+E684+G684)</f>
        <v/>
      </c>
      <c r="L684" s="79">
        <f>IF($A684="","",J684+H684)</f>
        <v/>
      </c>
      <c r="M684" s="80">
        <f>IF($A684="","",K684+I684)</f>
        <v/>
      </c>
      <c r="N684" s="77">
        <f>IF($A684="","",SUMIFS($J$5:$J$800,$A$5:$A$800,"&gt;="&amp;DATE(YEAR($A684),MONTH($A684),1),$A$5:$A$800,"&lt;="&amp;$A684)+IF(AND(YEAR($A684)=YEAR(Settings!$B$3),MONTH($A684)=MONTH(Settings!$B$3)),Settings!$B$10,0))</f>
        <v/>
      </c>
      <c r="O684" s="78">
        <f>IF($A684="","",SUMIFS($K$5:$K$800,$A$5:$A$800,"&gt;="&amp;DATE(YEAR($A684),MONTH($A684),1),$A$5:$A$800,"&lt;="&amp;$A684)+IF(AND(YEAR($A684)=YEAR(Settings!$B$3),MONTH($A684)=MONTH(Settings!$B$3)),Settings!$B$11,0))</f>
        <v/>
      </c>
      <c r="P684" s="77">
        <f>IF($A684="","",SUMIFS($H$5:$H$800,$A$5:$A$800,"&gt;="&amp;DATE(YEAR($A684),MONTH($A684),1),$A$5:$A$800,"&lt;="&amp;$A684)+IF(AND(YEAR($A684)=YEAR(Settings!$B$3),MONTH($A684)=MONTH(Settings!$B$3)),Settings!$B$12,0))</f>
        <v/>
      </c>
      <c r="Q684" s="78">
        <f>IF($A684="","",SUMIFS($I$5:$I$800,$A$5:$A$800,"&gt;="&amp;DATE(YEAR($A684),MONTH($A684),1),$A$5:$A$800,"&lt;="&amp;$A684)+IF(AND(YEAR($A684)=YEAR(Settings!$B$3),MONTH($A684)=MONTH(Settings!$B$3)),Settings!$B$13,0))</f>
        <v/>
      </c>
      <c r="R684" s="77">
        <f>IF($A684="","",N684+P684)</f>
        <v/>
      </c>
      <c r="S684" s="78">
        <f>IF($A684="","",O684+Q684)</f>
        <v/>
      </c>
    </row>
    <row r="685">
      <c r="A685" s="67" t="n"/>
      <c r="B685" s="75" t="n"/>
      <c r="C685" s="76" t="n"/>
      <c r="D685" s="75" t="n"/>
      <c r="E685" s="76" t="n"/>
      <c r="F685" s="75" t="n"/>
      <c r="G685" s="76" t="n"/>
      <c r="H685" s="75" t="n"/>
      <c r="I685" s="76" t="n"/>
      <c r="J685" s="77">
        <f>IF($A685="","",B685+D685+F685)</f>
        <v/>
      </c>
      <c r="K685" s="78">
        <f>IF($A685="","",C685+E685+G685)</f>
        <v/>
      </c>
      <c r="L685" s="79">
        <f>IF($A685="","",J685+H685)</f>
        <v/>
      </c>
      <c r="M685" s="80">
        <f>IF($A685="","",K685+I685)</f>
        <v/>
      </c>
      <c r="N685" s="77">
        <f>IF($A685="","",SUMIFS($J$5:$J$800,$A$5:$A$800,"&gt;="&amp;DATE(YEAR($A685),MONTH($A685),1),$A$5:$A$800,"&lt;="&amp;$A685)+IF(AND(YEAR($A685)=YEAR(Settings!$B$3),MONTH($A685)=MONTH(Settings!$B$3)),Settings!$B$10,0))</f>
        <v/>
      </c>
      <c r="O685" s="78">
        <f>IF($A685="","",SUMIFS($K$5:$K$800,$A$5:$A$800,"&gt;="&amp;DATE(YEAR($A685),MONTH($A685),1),$A$5:$A$800,"&lt;="&amp;$A685)+IF(AND(YEAR($A685)=YEAR(Settings!$B$3),MONTH($A685)=MONTH(Settings!$B$3)),Settings!$B$11,0))</f>
        <v/>
      </c>
      <c r="P685" s="77">
        <f>IF($A685="","",SUMIFS($H$5:$H$800,$A$5:$A$800,"&gt;="&amp;DATE(YEAR($A685),MONTH($A685),1),$A$5:$A$800,"&lt;="&amp;$A685)+IF(AND(YEAR($A685)=YEAR(Settings!$B$3),MONTH($A685)=MONTH(Settings!$B$3)),Settings!$B$12,0))</f>
        <v/>
      </c>
      <c r="Q685" s="78">
        <f>IF($A685="","",SUMIFS($I$5:$I$800,$A$5:$A$800,"&gt;="&amp;DATE(YEAR($A685),MONTH($A685),1),$A$5:$A$800,"&lt;="&amp;$A685)+IF(AND(YEAR($A685)=YEAR(Settings!$B$3),MONTH($A685)=MONTH(Settings!$B$3)),Settings!$B$13,0))</f>
        <v/>
      </c>
      <c r="R685" s="77">
        <f>IF($A685="","",N685+P685)</f>
        <v/>
      </c>
      <c r="S685" s="78">
        <f>IF($A685="","",O685+Q685)</f>
        <v/>
      </c>
    </row>
    <row r="686">
      <c r="A686" s="67" t="n"/>
      <c r="B686" s="75" t="n"/>
      <c r="C686" s="76" t="n"/>
      <c r="D686" s="75" t="n"/>
      <c r="E686" s="76" t="n"/>
      <c r="F686" s="75" t="n"/>
      <c r="G686" s="76" t="n"/>
      <c r="H686" s="75" t="n"/>
      <c r="I686" s="76" t="n"/>
      <c r="J686" s="77">
        <f>IF($A686="","",B686+D686+F686)</f>
        <v/>
      </c>
      <c r="K686" s="78">
        <f>IF($A686="","",C686+E686+G686)</f>
        <v/>
      </c>
      <c r="L686" s="79">
        <f>IF($A686="","",J686+H686)</f>
        <v/>
      </c>
      <c r="M686" s="80">
        <f>IF($A686="","",K686+I686)</f>
        <v/>
      </c>
      <c r="N686" s="77">
        <f>IF($A686="","",SUMIFS($J$5:$J$800,$A$5:$A$800,"&gt;="&amp;DATE(YEAR($A686),MONTH($A686),1),$A$5:$A$800,"&lt;="&amp;$A686)+IF(AND(YEAR($A686)=YEAR(Settings!$B$3),MONTH($A686)=MONTH(Settings!$B$3)),Settings!$B$10,0))</f>
        <v/>
      </c>
      <c r="O686" s="78">
        <f>IF($A686="","",SUMIFS($K$5:$K$800,$A$5:$A$800,"&gt;="&amp;DATE(YEAR($A686),MONTH($A686),1),$A$5:$A$800,"&lt;="&amp;$A686)+IF(AND(YEAR($A686)=YEAR(Settings!$B$3),MONTH($A686)=MONTH(Settings!$B$3)),Settings!$B$11,0))</f>
        <v/>
      </c>
      <c r="P686" s="77">
        <f>IF($A686="","",SUMIFS($H$5:$H$800,$A$5:$A$800,"&gt;="&amp;DATE(YEAR($A686),MONTH($A686),1),$A$5:$A$800,"&lt;="&amp;$A686)+IF(AND(YEAR($A686)=YEAR(Settings!$B$3),MONTH($A686)=MONTH(Settings!$B$3)),Settings!$B$12,0))</f>
        <v/>
      </c>
      <c r="Q686" s="78">
        <f>IF($A686="","",SUMIFS($I$5:$I$800,$A$5:$A$800,"&gt;="&amp;DATE(YEAR($A686),MONTH($A686),1),$A$5:$A$800,"&lt;="&amp;$A686)+IF(AND(YEAR($A686)=YEAR(Settings!$B$3),MONTH($A686)=MONTH(Settings!$B$3)),Settings!$B$13,0))</f>
        <v/>
      </c>
      <c r="R686" s="77">
        <f>IF($A686="","",N686+P686)</f>
        <v/>
      </c>
      <c r="S686" s="78">
        <f>IF($A686="","",O686+Q686)</f>
        <v/>
      </c>
    </row>
    <row r="687">
      <c r="A687" s="67" t="n"/>
      <c r="B687" s="75" t="n"/>
      <c r="C687" s="76" t="n"/>
      <c r="D687" s="75" t="n"/>
      <c r="E687" s="76" t="n"/>
      <c r="F687" s="75" t="n"/>
      <c r="G687" s="76" t="n"/>
      <c r="H687" s="75" t="n"/>
      <c r="I687" s="76" t="n"/>
      <c r="J687" s="77">
        <f>IF($A687="","",B687+D687+F687)</f>
        <v/>
      </c>
      <c r="K687" s="78">
        <f>IF($A687="","",C687+E687+G687)</f>
        <v/>
      </c>
      <c r="L687" s="79">
        <f>IF($A687="","",J687+H687)</f>
        <v/>
      </c>
      <c r="M687" s="80">
        <f>IF($A687="","",K687+I687)</f>
        <v/>
      </c>
      <c r="N687" s="77">
        <f>IF($A687="","",SUMIFS($J$5:$J$800,$A$5:$A$800,"&gt;="&amp;DATE(YEAR($A687),MONTH($A687),1),$A$5:$A$800,"&lt;="&amp;$A687)+IF(AND(YEAR($A687)=YEAR(Settings!$B$3),MONTH($A687)=MONTH(Settings!$B$3)),Settings!$B$10,0))</f>
        <v/>
      </c>
      <c r="O687" s="78">
        <f>IF($A687="","",SUMIFS($K$5:$K$800,$A$5:$A$800,"&gt;="&amp;DATE(YEAR($A687),MONTH($A687),1),$A$5:$A$800,"&lt;="&amp;$A687)+IF(AND(YEAR($A687)=YEAR(Settings!$B$3),MONTH($A687)=MONTH(Settings!$B$3)),Settings!$B$11,0))</f>
        <v/>
      </c>
      <c r="P687" s="77">
        <f>IF($A687="","",SUMIFS($H$5:$H$800,$A$5:$A$800,"&gt;="&amp;DATE(YEAR($A687),MONTH($A687),1),$A$5:$A$800,"&lt;="&amp;$A687)+IF(AND(YEAR($A687)=YEAR(Settings!$B$3),MONTH($A687)=MONTH(Settings!$B$3)),Settings!$B$12,0))</f>
        <v/>
      </c>
      <c r="Q687" s="78">
        <f>IF($A687="","",SUMIFS($I$5:$I$800,$A$5:$A$800,"&gt;="&amp;DATE(YEAR($A687),MONTH($A687),1),$A$5:$A$800,"&lt;="&amp;$A687)+IF(AND(YEAR($A687)=YEAR(Settings!$B$3),MONTH($A687)=MONTH(Settings!$B$3)),Settings!$B$13,0))</f>
        <v/>
      </c>
      <c r="R687" s="77">
        <f>IF($A687="","",N687+P687)</f>
        <v/>
      </c>
      <c r="S687" s="78">
        <f>IF($A687="","",O687+Q687)</f>
        <v/>
      </c>
    </row>
    <row r="688">
      <c r="A688" s="67" t="n"/>
      <c r="B688" s="75" t="n"/>
      <c r="C688" s="76" t="n"/>
      <c r="D688" s="75" t="n"/>
      <c r="E688" s="76" t="n"/>
      <c r="F688" s="75" t="n"/>
      <c r="G688" s="76" t="n"/>
      <c r="H688" s="75" t="n"/>
      <c r="I688" s="76" t="n"/>
      <c r="J688" s="77">
        <f>IF($A688="","",B688+D688+F688)</f>
        <v/>
      </c>
      <c r="K688" s="78">
        <f>IF($A688="","",C688+E688+G688)</f>
        <v/>
      </c>
      <c r="L688" s="79">
        <f>IF($A688="","",J688+H688)</f>
        <v/>
      </c>
      <c r="M688" s="80">
        <f>IF($A688="","",K688+I688)</f>
        <v/>
      </c>
      <c r="N688" s="77">
        <f>IF($A688="","",SUMIFS($J$5:$J$800,$A$5:$A$800,"&gt;="&amp;DATE(YEAR($A688),MONTH($A688),1),$A$5:$A$800,"&lt;="&amp;$A688)+IF(AND(YEAR($A688)=YEAR(Settings!$B$3),MONTH($A688)=MONTH(Settings!$B$3)),Settings!$B$10,0))</f>
        <v/>
      </c>
      <c r="O688" s="78">
        <f>IF($A688="","",SUMIFS($K$5:$K$800,$A$5:$A$800,"&gt;="&amp;DATE(YEAR($A688),MONTH($A688),1),$A$5:$A$800,"&lt;="&amp;$A688)+IF(AND(YEAR($A688)=YEAR(Settings!$B$3),MONTH($A688)=MONTH(Settings!$B$3)),Settings!$B$11,0))</f>
        <v/>
      </c>
      <c r="P688" s="77">
        <f>IF($A688="","",SUMIFS($H$5:$H$800,$A$5:$A$800,"&gt;="&amp;DATE(YEAR($A688),MONTH($A688),1),$A$5:$A$800,"&lt;="&amp;$A688)+IF(AND(YEAR($A688)=YEAR(Settings!$B$3),MONTH($A688)=MONTH(Settings!$B$3)),Settings!$B$12,0))</f>
        <v/>
      </c>
      <c r="Q688" s="78">
        <f>IF($A688="","",SUMIFS($I$5:$I$800,$A$5:$A$800,"&gt;="&amp;DATE(YEAR($A688),MONTH($A688),1),$A$5:$A$800,"&lt;="&amp;$A688)+IF(AND(YEAR($A688)=YEAR(Settings!$B$3),MONTH($A688)=MONTH(Settings!$B$3)),Settings!$B$13,0))</f>
        <v/>
      </c>
      <c r="R688" s="77">
        <f>IF($A688="","",N688+P688)</f>
        <v/>
      </c>
      <c r="S688" s="78">
        <f>IF($A688="","",O688+Q688)</f>
        <v/>
      </c>
    </row>
    <row r="689">
      <c r="A689" s="67" t="n"/>
      <c r="B689" s="75" t="n"/>
      <c r="C689" s="76" t="n"/>
      <c r="D689" s="75" t="n"/>
      <c r="E689" s="76" t="n"/>
      <c r="F689" s="75" t="n"/>
      <c r="G689" s="76" t="n"/>
      <c r="H689" s="75" t="n"/>
      <c r="I689" s="76" t="n"/>
      <c r="J689" s="77">
        <f>IF($A689="","",B689+D689+F689)</f>
        <v/>
      </c>
      <c r="K689" s="78">
        <f>IF($A689="","",C689+E689+G689)</f>
        <v/>
      </c>
      <c r="L689" s="79">
        <f>IF($A689="","",J689+H689)</f>
        <v/>
      </c>
      <c r="M689" s="80">
        <f>IF($A689="","",K689+I689)</f>
        <v/>
      </c>
      <c r="N689" s="77">
        <f>IF($A689="","",SUMIFS($J$5:$J$800,$A$5:$A$800,"&gt;="&amp;DATE(YEAR($A689),MONTH($A689),1),$A$5:$A$800,"&lt;="&amp;$A689)+IF(AND(YEAR($A689)=YEAR(Settings!$B$3),MONTH($A689)=MONTH(Settings!$B$3)),Settings!$B$10,0))</f>
        <v/>
      </c>
      <c r="O689" s="78">
        <f>IF($A689="","",SUMIFS($K$5:$K$800,$A$5:$A$800,"&gt;="&amp;DATE(YEAR($A689),MONTH($A689),1),$A$5:$A$800,"&lt;="&amp;$A689)+IF(AND(YEAR($A689)=YEAR(Settings!$B$3),MONTH($A689)=MONTH(Settings!$B$3)),Settings!$B$11,0))</f>
        <v/>
      </c>
      <c r="P689" s="77">
        <f>IF($A689="","",SUMIFS($H$5:$H$800,$A$5:$A$800,"&gt;="&amp;DATE(YEAR($A689),MONTH($A689),1),$A$5:$A$800,"&lt;="&amp;$A689)+IF(AND(YEAR($A689)=YEAR(Settings!$B$3),MONTH($A689)=MONTH(Settings!$B$3)),Settings!$B$12,0))</f>
        <v/>
      </c>
      <c r="Q689" s="78">
        <f>IF($A689="","",SUMIFS($I$5:$I$800,$A$5:$A$800,"&gt;="&amp;DATE(YEAR($A689),MONTH($A689),1),$A$5:$A$800,"&lt;="&amp;$A689)+IF(AND(YEAR($A689)=YEAR(Settings!$B$3),MONTH($A689)=MONTH(Settings!$B$3)),Settings!$B$13,0))</f>
        <v/>
      </c>
      <c r="R689" s="77">
        <f>IF($A689="","",N689+P689)</f>
        <v/>
      </c>
      <c r="S689" s="78">
        <f>IF($A689="","",O689+Q689)</f>
        <v/>
      </c>
    </row>
    <row r="690">
      <c r="A690" s="67" t="n"/>
      <c r="B690" s="75" t="n"/>
      <c r="C690" s="76" t="n"/>
      <c r="D690" s="75" t="n"/>
      <c r="E690" s="76" t="n"/>
      <c r="F690" s="75" t="n"/>
      <c r="G690" s="76" t="n"/>
      <c r="H690" s="75" t="n"/>
      <c r="I690" s="76" t="n"/>
      <c r="J690" s="77">
        <f>IF($A690="","",B690+D690+F690)</f>
        <v/>
      </c>
      <c r="K690" s="78">
        <f>IF($A690="","",C690+E690+G690)</f>
        <v/>
      </c>
      <c r="L690" s="79">
        <f>IF($A690="","",J690+H690)</f>
        <v/>
      </c>
      <c r="M690" s="80">
        <f>IF($A690="","",K690+I690)</f>
        <v/>
      </c>
      <c r="N690" s="77">
        <f>IF($A690="","",SUMIFS($J$5:$J$800,$A$5:$A$800,"&gt;="&amp;DATE(YEAR($A690),MONTH($A690),1),$A$5:$A$800,"&lt;="&amp;$A690)+IF(AND(YEAR($A690)=YEAR(Settings!$B$3),MONTH($A690)=MONTH(Settings!$B$3)),Settings!$B$10,0))</f>
        <v/>
      </c>
      <c r="O690" s="78">
        <f>IF($A690="","",SUMIFS($K$5:$K$800,$A$5:$A$800,"&gt;="&amp;DATE(YEAR($A690),MONTH($A690),1),$A$5:$A$800,"&lt;="&amp;$A690)+IF(AND(YEAR($A690)=YEAR(Settings!$B$3),MONTH($A690)=MONTH(Settings!$B$3)),Settings!$B$11,0))</f>
        <v/>
      </c>
      <c r="P690" s="77">
        <f>IF($A690="","",SUMIFS($H$5:$H$800,$A$5:$A$800,"&gt;="&amp;DATE(YEAR($A690),MONTH($A690),1),$A$5:$A$800,"&lt;="&amp;$A690)+IF(AND(YEAR($A690)=YEAR(Settings!$B$3),MONTH($A690)=MONTH(Settings!$B$3)),Settings!$B$12,0))</f>
        <v/>
      </c>
      <c r="Q690" s="78">
        <f>IF($A690="","",SUMIFS($I$5:$I$800,$A$5:$A$800,"&gt;="&amp;DATE(YEAR($A690),MONTH($A690),1),$A$5:$A$800,"&lt;="&amp;$A690)+IF(AND(YEAR($A690)=YEAR(Settings!$B$3),MONTH($A690)=MONTH(Settings!$B$3)),Settings!$B$13,0))</f>
        <v/>
      </c>
      <c r="R690" s="77">
        <f>IF($A690="","",N690+P690)</f>
        <v/>
      </c>
      <c r="S690" s="78">
        <f>IF($A690="","",O690+Q690)</f>
        <v/>
      </c>
    </row>
    <row r="691">
      <c r="A691" s="67" t="n"/>
      <c r="B691" s="75" t="n"/>
      <c r="C691" s="76" t="n"/>
      <c r="D691" s="75" t="n"/>
      <c r="E691" s="76" t="n"/>
      <c r="F691" s="75" t="n"/>
      <c r="G691" s="76" t="n"/>
      <c r="H691" s="75" t="n"/>
      <c r="I691" s="76" t="n"/>
      <c r="J691" s="77">
        <f>IF($A691="","",B691+D691+F691)</f>
        <v/>
      </c>
      <c r="K691" s="78">
        <f>IF($A691="","",C691+E691+G691)</f>
        <v/>
      </c>
      <c r="L691" s="79">
        <f>IF($A691="","",J691+H691)</f>
        <v/>
      </c>
      <c r="M691" s="80">
        <f>IF($A691="","",K691+I691)</f>
        <v/>
      </c>
      <c r="N691" s="77">
        <f>IF($A691="","",SUMIFS($J$5:$J$800,$A$5:$A$800,"&gt;="&amp;DATE(YEAR($A691),MONTH($A691),1),$A$5:$A$800,"&lt;="&amp;$A691)+IF(AND(YEAR($A691)=YEAR(Settings!$B$3),MONTH($A691)=MONTH(Settings!$B$3)),Settings!$B$10,0))</f>
        <v/>
      </c>
      <c r="O691" s="78">
        <f>IF($A691="","",SUMIFS($K$5:$K$800,$A$5:$A$800,"&gt;="&amp;DATE(YEAR($A691),MONTH($A691),1),$A$5:$A$800,"&lt;="&amp;$A691)+IF(AND(YEAR($A691)=YEAR(Settings!$B$3),MONTH($A691)=MONTH(Settings!$B$3)),Settings!$B$11,0))</f>
        <v/>
      </c>
      <c r="P691" s="77">
        <f>IF($A691="","",SUMIFS($H$5:$H$800,$A$5:$A$800,"&gt;="&amp;DATE(YEAR($A691),MONTH($A691),1),$A$5:$A$800,"&lt;="&amp;$A691)+IF(AND(YEAR($A691)=YEAR(Settings!$B$3),MONTH($A691)=MONTH(Settings!$B$3)),Settings!$B$12,0))</f>
        <v/>
      </c>
      <c r="Q691" s="78">
        <f>IF($A691="","",SUMIFS($I$5:$I$800,$A$5:$A$800,"&gt;="&amp;DATE(YEAR($A691),MONTH($A691),1),$A$5:$A$800,"&lt;="&amp;$A691)+IF(AND(YEAR($A691)=YEAR(Settings!$B$3),MONTH($A691)=MONTH(Settings!$B$3)),Settings!$B$13,0))</f>
        <v/>
      </c>
      <c r="R691" s="77">
        <f>IF($A691="","",N691+P691)</f>
        <v/>
      </c>
      <c r="S691" s="78">
        <f>IF($A691="","",O691+Q691)</f>
        <v/>
      </c>
    </row>
    <row r="692">
      <c r="A692" s="67" t="n"/>
      <c r="B692" s="75" t="n"/>
      <c r="C692" s="76" t="n"/>
      <c r="D692" s="75" t="n"/>
      <c r="E692" s="76" t="n"/>
      <c r="F692" s="75" t="n"/>
      <c r="G692" s="76" t="n"/>
      <c r="H692" s="75" t="n"/>
      <c r="I692" s="76" t="n"/>
      <c r="J692" s="77">
        <f>IF($A692="","",B692+D692+F692)</f>
        <v/>
      </c>
      <c r="K692" s="78">
        <f>IF($A692="","",C692+E692+G692)</f>
        <v/>
      </c>
      <c r="L692" s="79">
        <f>IF($A692="","",J692+H692)</f>
        <v/>
      </c>
      <c r="M692" s="80">
        <f>IF($A692="","",K692+I692)</f>
        <v/>
      </c>
      <c r="N692" s="77">
        <f>IF($A692="","",SUMIFS($J$5:$J$800,$A$5:$A$800,"&gt;="&amp;DATE(YEAR($A692),MONTH($A692),1),$A$5:$A$800,"&lt;="&amp;$A692)+IF(AND(YEAR($A692)=YEAR(Settings!$B$3),MONTH($A692)=MONTH(Settings!$B$3)),Settings!$B$10,0))</f>
        <v/>
      </c>
      <c r="O692" s="78">
        <f>IF($A692="","",SUMIFS($K$5:$K$800,$A$5:$A$800,"&gt;="&amp;DATE(YEAR($A692),MONTH($A692),1),$A$5:$A$800,"&lt;="&amp;$A692)+IF(AND(YEAR($A692)=YEAR(Settings!$B$3),MONTH($A692)=MONTH(Settings!$B$3)),Settings!$B$11,0))</f>
        <v/>
      </c>
      <c r="P692" s="77">
        <f>IF($A692="","",SUMIFS($H$5:$H$800,$A$5:$A$800,"&gt;="&amp;DATE(YEAR($A692),MONTH($A692),1),$A$5:$A$800,"&lt;="&amp;$A692)+IF(AND(YEAR($A692)=YEAR(Settings!$B$3),MONTH($A692)=MONTH(Settings!$B$3)),Settings!$B$12,0))</f>
        <v/>
      </c>
      <c r="Q692" s="78">
        <f>IF($A692="","",SUMIFS($I$5:$I$800,$A$5:$A$800,"&gt;="&amp;DATE(YEAR($A692),MONTH($A692),1),$A$5:$A$800,"&lt;="&amp;$A692)+IF(AND(YEAR($A692)=YEAR(Settings!$B$3),MONTH($A692)=MONTH(Settings!$B$3)),Settings!$B$13,0))</f>
        <v/>
      </c>
      <c r="R692" s="77">
        <f>IF($A692="","",N692+P692)</f>
        <v/>
      </c>
      <c r="S692" s="78">
        <f>IF($A692="","",O692+Q692)</f>
        <v/>
      </c>
    </row>
    <row r="693">
      <c r="A693" s="67" t="n"/>
      <c r="B693" s="75" t="n"/>
      <c r="C693" s="76" t="n"/>
      <c r="D693" s="75" t="n"/>
      <c r="E693" s="76" t="n"/>
      <c r="F693" s="75" t="n"/>
      <c r="G693" s="76" t="n"/>
      <c r="H693" s="75" t="n"/>
      <c r="I693" s="76" t="n"/>
      <c r="J693" s="77">
        <f>IF($A693="","",B693+D693+F693)</f>
        <v/>
      </c>
      <c r="K693" s="78">
        <f>IF($A693="","",C693+E693+G693)</f>
        <v/>
      </c>
      <c r="L693" s="79">
        <f>IF($A693="","",J693+H693)</f>
        <v/>
      </c>
      <c r="M693" s="80">
        <f>IF($A693="","",K693+I693)</f>
        <v/>
      </c>
      <c r="N693" s="77">
        <f>IF($A693="","",SUMIFS($J$5:$J$800,$A$5:$A$800,"&gt;="&amp;DATE(YEAR($A693),MONTH($A693),1),$A$5:$A$800,"&lt;="&amp;$A693)+IF(AND(YEAR($A693)=YEAR(Settings!$B$3),MONTH($A693)=MONTH(Settings!$B$3)),Settings!$B$10,0))</f>
        <v/>
      </c>
      <c r="O693" s="78">
        <f>IF($A693="","",SUMIFS($K$5:$K$800,$A$5:$A$800,"&gt;="&amp;DATE(YEAR($A693),MONTH($A693),1),$A$5:$A$800,"&lt;="&amp;$A693)+IF(AND(YEAR($A693)=YEAR(Settings!$B$3),MONTH($A693)=MONTH(Settings!$B$3)),Settings!$B$11,0))</f>
        <v/>
      </c>
      <c r="P693" s="77">
        <f>IF($A693="","",SUMIFS($H$5:$H$800,$A$5:$A$800,"&gt;="&amp;DATE(YEAR($A693),MONTH($A693),1),$A$5:$A$800,"&lt;="&amp;$A693)+IF(AND(YEAR($A693)=YEAR(Settings!$B$3),MONTH($A693)=MONTH(Settings!$B$3)),Settings!$B$12,0))</f>
        <v/>
      </c>
      <c r="Q693" s="78">
        <f>IF($A693="","",SUMIFS($I$5:$I$800,$A$5:$A$800,"&gt;="&amp;DATE(YEAR($A693),MONTH($A693),1),$A$5:$A$800,"&lt;="&amp;$A693)+IF(AND(YEAR($A693)=YEAR(Settings!$B$3),MONTH($A693)=MONTH(Settings!$B$3)),Settings!$B$13,0))</f>
        <v/>
      </c>
      <c r="R693" s="77">
        <f>IF($A693="","",N693+P693)</f>
        <v/>
      </c>
      <c r="S693" s="78">
        <f>IF($A693="","",O693+Q693)</f>
        <v/>
      </c>
    </row>
    <row r="694">
      <c r="A694" s="67" t="n"/>
      <c r="B694" s="75" t="n"/>
      <c r="C694" s="76" t="n"/>
      <c r="D694" s="75" t="n"/>
      <c r="E694" s="76" t="n"/>
      <c r="F694" s="75" t="n"/>
      <c r="G694" s="76" t="n"/>
      <c r="H694" s="75" t="n"/>
      <c r="I694" s="76" t="n"/>
      <c r="J694" s="77">
        <f>IF($A694="","",B694+D694+F694)</f>
        <v/>
      </c>
      <c r="K694" s="78">
        <f>IF($A694="","",C694+E694+G694)</f>
        <v/>
      </c>
      <c r="L694" s="79">
        <f>IF($A694="","",J694+H694)</f>
        <v/>
      </c>
      <c r="M694" s="80">
        <f>IF($A694="","",K694+I694)</f>
        <v/>
      </c>
      <c r="N694" s="77">
        <f>IF($A694="","",SUMIFS($J$5:$J$800,$A$5:$A$800,"&gt;="&amp;DATE(YEAR($A694),MONTH($A694),1),$A$5:$A$800,"&lt;="&amp;$A694)+IF(AND(YEAR($A694)=YEAR(Settings!$B$3),MONTH($A694)=MONTH(Settings!$B$3)),Settings!$B$10,0))</f>
        <v/>
      </c>
      <c r="O694" s="78">
        <f>IF($A694="","",SUMIFS($K$5:$K$800,$A$5:$A$800,"&gt;="&amp;DATE(YEAR($A694),MONTH($A694),1),$A$5:$A$800,"&lt;="&amp;$A694)+IF(AND(YEAR($A694)=YEAR(Settings!$B$3),MONTH($A694)=MONTH(Settings!$B$3)),Settings!$B$11,0))</f>
        <v/>
      </c>
      <c r="P694" s="77">
        <f>IF($A694="","",SUMIFS($H$5:$H$800,$A$5:$A$800,"&gt;="&amp;DATE(YEAR($A694),MONTH($A694),1),$A$5:$A$800,"&lt;="&amp;$A694)+IF(AND(YEAR($A694)=YEAR(Settings!$B$3),MONTH($A694)=MONTH(Settings!$B$3)),Settings!$B$12,0))</f>
        <v/>
      </c>
      <c r="Q694" s="78">
        <f>IF($A694="","",SUMIFS($I$5:$I$800,$A$5:$A$800,"&gt;="&amp;DATE(YEAR($A694),MONTH($A694),1),$A$5:$A$800,"&lt;="&amp;$A694)+IF(AND(YEAR($A694)=YEAR(Settings!$B$3),MONTH($A694)=MONTH(Settings!$B$3)),Settings!$B$13,0))</f>
        <v/>
      </c>
      <c r="R694" s="77">
        <f>IF($A694="","",N694+P694)</f>
        <v/>
      </c>
      <c r="S694" s="78">
        <f>IF($A694="","",O694+Q694)</f>
        <v/>
      </c>
    </row>
    <row r="695">
      <c r="A695" s="67" t="n"/>
      <c r="B695" s="75" t="n"/>
      <c r="C695" s="76" t="n"/>
      <c r="D695" s="75" t="n"/>
      <c r="E695" s="76" t="n"/>
      <c r="F695" s="75" t="n"/>
      <c r="G695" s="76" t="n"/>
      <c r="H695" s="75" t="n"/>
      <c r="I695" s="76" t="n"/>
      <c r="J695" s="77">
        <f>IF($A695="","",B695+D695+F695)</f>
        <v/>
      </c>
      <c r="K695" s="78">
        <f>IF($A695="","",C695+E695+G695)</f>
        <v/>
      </c>
      <c r="L695" s="79">
        <f>IF($A695="","",J695+H695)</f>
        <v/>
      </c>
      <c r="M695" s="80">
        <f>IF($A695="","",K695+I695)</f>
        <v/>
      </c>
      <c r="N695" s="77">
        <f>IF($A695="","",SUMIFS($J$5:$J$800,$A$5:$A$800,"&gt;="&amp;DATE(YEAR($A695),MONTH($A695),1),$A$5:$A$800,"&lt;="&amp;$A695)+IF(AND(YEAR($A695)=YEAR(Settings!$B$3),MONTH($A695)=MONTH(Settings!$B$3)),Settings!$B$10,0))</f>
        <v/>
      </c>
      <c r="O695" s="78">
        <f>IF($A695="","",SUMIFS($K$5:$K$800,$A$5:$A$800,"&gt;="&amp;DATE(YEAR($A695),MONTH($A695),1),$A$5:$A$800,"&lt;="&amp;$A695)+IF(AND(YEAR($A695)=YEAR(Settings!$B$3),MONTH($A695)=MONTH(Settings!$B$3)),Settings!$B$11,0))</f>
        <v/>
      </c>
      <c r="P695" s="77">
        <f>IF($A695="","",SUMIFS($H$5:$H$800,$A$5:$A$800,"&gt;="&amp;DATE(YEAR($A695),MONTH($A695),1),$A$5:$A$800,"&lt;="&amp;$A695)+IF(AND(YEAR($A695)=YEAR(Settings!$B$3),MONTH($A695)=MONTH(Settings!$B$3)),Settings!$B$12,0))</f>
        <v/>
      </c>
      <c r="Q695" s="78">
        <f>IF($A695="","",SUMIFS($I$5:$I$800,$A$5:$A$800,"&gt;="&amp;DATE(YEAR($A695),MONTH($A695),1),$A$5:$A$800,"&lt;="&amp;$A695)+IF(AND(YEAR($A695)=YEAR(Settings!$B$3),MONTH($A695)=MONTH(Settings!$B$3)),Settings!$B$13,0))</f>
        <v/>
      </c>
      <c r="R695" s="77">
        <f>IF($A695="","",N695+P695)</f>
        <v/>
      </c>
      <c r="S695" s="78">
        <f>IF($A695="","",O695+Q695)</f>
        <v/>
      </c>
    </row>
    <row r="696">
      <c r="A696" s="67" t="n"/>
      <c r="B696" s="75" t="n"/>
      <c r="C696" s="76" t="n"/>
      <c r="D696" s="75" t="n"/>
      <c r="E696" s="76" t="n"/>
      <c r="F696" s="75" t="n"/>
      <c r="G696" s="76" t="n"/>
      <c r="H696" s="75" t="n"/>
      <c r="I696" s="76" t="n"/>
      <c r="J696" s="77">
        <f>IF($A696="","",B696+D696+F696)</f>
        <v/>
      </c>
      <c r="K696" s="78">
        <f>IF($A696="","",C696+E696+G696)</f>
        <v/>
      </c>
      <c r="L696" s="79">
        <f>IF($A696="","",J696+H696)</f>
        <v/>
      </c>
      <c r="M696" s="80">
        <f>IF($A696="","",K696+I696)</f>
        <v/>
      </c>
      <c r="N696" s="77">
        <f>IF($A696="","",SUMIFS($J$5:$J$800,$A$5:$A$800,"&gt;="&amp;DATE(YEAR($A696),MONTH($A696),1),$A$5:$A$800,"&lt;="&amp;$A696)+IF(AND(YEAR($A696)=YEAR(Settings!$B$3),MONTH($A696)=MONTH(Settings!$B$3)),Settings!$B$10,0))</f>
        <v/>
      </c>
      <c r="O696" s="78">
        <f>IF($A696="","",SUMIFS($K$5:$K$800,$A$5:$A$800,"&gt;="&amp;DATE(YEAR($A696),MONTH($A696),1),$A$5:$A$800,"&lt;="&amp;$A696)+IF(AND(YEAR($A696)=YEAR(Settings!$B$3),MONTH($A696)=MONTH(Settings!$B$3)),Settings!$B$11,0))</f>
        <v/>
      </c>
      <c r="P696" s="77">
        <f>IF($A696="","",SUMIFS($H$5:$H$800,$A$5:$A$800,"&gt;="&amp;DATE(YEAR($A696),MONTH($A696),1),$A$5:$A$800,"&lt;="&amp;$A696)+IF(AND(YEAR($A696)=YEAR(Settings!$B$3),MONTH($A696)=MONTH(Settings!$B$3)),Settings!$B$12,0))</f>
        <v/>
      </c>
      <c r="Q696" s="78">
        <f>IF($A696="","",SUMIFS($I$5:$I$800,$A$5:$A$800,"&gt;="&amp;DATE(YEAR($A696),MONTH($A696),1),$A$5:$A$800,"&lt;="&amp;$A696)+IF(AND(YEAR($A696)=YEAR(Settings!$B$3),MONTH($A696)=MONTH(Settings!$B$3)),Settings!$B$13,0))</f>
        <v/>
      </c>
      <c r="R696" s="77">
        <f>IF($A696="","",N696+P696)</f>
        <v/>
      </c>
      <c r="S696" s="78">
        <f>IF($A696="","",O696+Q696)</f>
        <v/>
      </c>
    </row>
    <row r="697">
      <c r="A697" s="67" t="n"/>
      <c r="B697" s="75" t="n"/>
      <c r="C697" s="76" t="n"/>
      <c r="D697" s="75" t="n"/>
      <c r="E697" s="76" t="n"/>
      <c r="F697" s="75" t="n"/>
      <c r="G697" s="76" t="n"/>
      <c r="H697" s="75" t="n"/>
      <c r="I697" s="76" t="n"/>
      <c r="J697" s="77">
        <f>IF($A697="","",B697+D697+F697)</f>
        <v/>
      </c>
      <c r="K697" s="78">
        <f>IF($A697="","",C697+E697+G697)</f>
        <v/>
      </c>
      <c r="L697" s="79">
        <f>IF($A697="","",J697+H697)</f>
        <v/>
      </c>
      <c r="M697" s="80">
        <f>IF($A697="","",K697+I697)</f>
        <v/>
      </c>
      <c r="N697" s="77">
        <f>IF($A697="","",SUMIFS($J$5:$J$800,$A$5:$A$800,"&gt;="&amp;DATE(YEAR($A697),MONTH($A697),1),$A$5:$A$800,"&lt;="&amp;$A697)+IF(AND(YEAR($A697)=YEAR(Settings!$B$3),MONTH($A697)=MONTH(Settings!$B$3)),Settings!$B$10,0))</f>
        <v/>
      </c>
      <c r="O697" s="78">
        <f>IF($A697="","",SUMIFS($K$5:$K$800,$A$5:$A$800,"&gt;="&amp;DATE(YEAR($A697),MONTH($A697),1),$A$5:$A$800,"&lt;="&amp;$A697)+IF(AND(YEAR($A697)=YEAR(Settings!$B$3),MONTH($A697)=MONTH(Settings!$B$3)),Settings!$B$11,0))</f>
        <v/>
      </c>
      <c r="P697" s="77">
        <f>IF($A697="","",SUMIFS($H$5:$H$800,$A$5:$A$800,"&gt;="&amp;DATE(YEAR($A697),MONTH($A697),1),$A$5:$A$800,"&lt;="&amp;$A697)+IF(AND(YEAR($A697)=YEAR(Settings!$B$3),MONTH($A697)=MONTH(Settings!$B$3)),Settings!$B$12,0))</f>
        <v/>
      </c>
      <c r="Q697" s="78">
        <f>IF($A697="","",SUMIFS($I$5:$I$800,$A$5:$A$800,"&gt;="&amp;DATE(YEAR($A697),MONTH($A697),1),$A$5:$A$800,"&lt;="&amp;$A697)+IF(AND(YEAR($A697)=YEAR(Settings!$B$3),MONTH($A697)=MONTH(Settings!$B$3)),Settings!$B$13,0))</f>
        <v/>
      </c>
      <c r="R697" s="77">
        <f>IF($A697="","",N697+P697)</f>
        <v/>
      </c>
      <c r="S697" s="78">
        <f>IF($A697="","",O697+Q697)</f>
        <v/>
      </c>
    </row>
    <row r="698">
      <c r="A698" s="67" t="n"/>
      <c r="B698" s="75" t="n"/>
      <c r="C698" s="76" t="n"/>
      <c r="D698" s="75" t="n"/>
      <c r="E698" s="76" t="n"/>
      <c r="F698" s="75" t="n"/>
      <c r="G698" s="76" t="n"/>
      <c r="H698" s="75" t="n"/>
      <c r="I698" s="76" t="n"/>
      <c r="J698" s="77">
        <f>IF($A698="","",B698+D698+F698)</f>
        <v/>
      </c>
      <c r="K698" s="78">
        <f>IF($A698="","",C698+E698+G698)</f>
        <v/>
      </c>
      <c r="L698" s="79">
        <f>IF($A698="","",J698+H698)</f>
        <v/>
      </c>
      <c r="M698" s="80">
        <f>IF($A698="","",K698+I698)</f>
        <v/>
      </c>
      <c r="N698" s="77">
        <f>IF($A698="","",SUMIFS($J$5:$J$800,$A$5:$A$800,"&gt;="&amp;DATE(YEAR($A698),MONTH($A698),1),$A$5:$A$800,"&lt;="&amp;$A698)+IF(AND(YEAR($A698)=YEAR(Settings!$B$3),MONTH($A698)=MONTH(Settings!$B$3)),Settings!$B$10,0))</f>
        <v/>
      </c>
      <c r="O698" s="78">
        <f>IF($A698="","",SUMIFS($K$5:$K$800,$A$5:$A$800,"&gt;="&amp;DATE(YEAR($A698),MONTH($A698),1),$A$5:$A$800,"&lt;="&amp;$A698)+IF(AND(YEAR($A698)=YEAR(Settings!$B$3),MONTH($A698)=MONTH(Settings!$B$3)),Settings!$B$11,0))</f>
        <v/>
      </c>
      <c r="P698" s="77">
        <f>IF($A698="","",SUMIFS($H$5:$H$800,$A$5:$A$800,"&gt;="&amp;DATE(YEAR($A698),MONTH($A698),1),$A$5:$A$800,"&lt;="&amp;$A698)+IF(AND(YEAR($A698)=YEAR(Settings!$B$3),MONTH($A698)=MONTH(Settings!$B$3)),Settings!$B$12,0))</f>
        <v/>
      </c>
      <c r="Q698" s="78">
        <f>IF($A698="","",SUMIFS($I$5:$I$800,$A$5:$A$800,"&gt;="&amp;DATE(YEAR($A698),MONTH($A698),1),$A$5:$A$800,"&lt;="&amp;$A698)+IF(AND(YEAR($A698)=YEAR(Settings!$B$3),MONTH($A698)=MONTH(Settings!$B$3)),Settings!$B$13,0))</f>
        <v/>
      </c>
      <c r="R698" s="77">
        <f>IF($A698="","",N698+P698)</f>
        <v/>
      </c>
      <c r="S698" s="78">
        <f>IF($A698="","",O698+Q698)</f>
        <v/>
      </c>
    </row>
    <row r="699">
      <c r="A699" s="67" t="n"/>
      <c r="B699" s="75" t="n"/>
      <c r="C699" s="76" t="n"/>
      <c r="D699" s="75" t="n"/>
      <c r="E699" s="76" t="n"/>
      <c r="F699" s="75" t="n"/>
      <c r="G699" s="76" t="n"/>
      <c r="H699" s="75" t="n"/>
      <c r="I699" s="76" t="n"/>
      <c r="J699" s="77">
        <f>IF($A699="","",B699+D699+F699)</f>
        <v/>
      </c>
      <c r="K699" s="78">
        <f>IF($A699="","",C699+E699+G699)</f>
        <v/>
      </c>
      <c r="L699" s="79">
        <f>IF($A699="","",J699+H699)</f>
        <v/>
      </c>
      <c r="M699" s="80">
        <f>IF($A699="","",K699+I699)</f>
        <v/>
      </c>
      <c r="N699" s="77">
        <f>IF($A699="","",SUMIFS($J$5:$J$800,$A$5:$A$800,"&gt;="&amp;DATE(YEAR($A699),MONTH($A699),1),$A$5:$A$800,"&lt;="&amp;$A699)+IF(AND(YEAR($A699)=YEAR(Settings!$B$3),MONTH($A699)=MONTH(Settings!$B$3)),Settings!$B$10,0))</f>
        <v/>
      </c>
      <c r="O699" s="78">
        <f>IF($A699="","",SUMIFS($K$5:$K$800,$A$5:$A$800,"&gt;="&amp;DATE(YEAR($A699),MONTH($A699),1),$A$5:$A$800,"&lt;="&amp;$A699)+IF(AND(YEAR($A699)=YEAR(Settings!$B$3),MONTH($A699)=MONTH(Settings!$B$3)),Settings!$B$11,0))</f>
        <v/>
      </c>
      <c r="P699" s="77">
        <f>IF($A699="","",SUMIFS($H$5:$H$800,$A$5:$A$800,"&gt;="&amp;DATE(YEAR($A699),MONTH($A699),1),$A$5:$A$800,"&lt;="&amp;$A699)+IF(AND(YEAR($A699)=YEAR(Settings!$B$3),MONTH($A699)=MONTH(Settings!$B$3)),Settings!$B$12,0))</f>
        <v/>
      </c>
      <c r="Q699" s="78">
        <f>IF($A699="","",SUMIFS($I$5:$I$800,$A$5:$A$800,"&gt;="&amp;DATE(YEAR($A699),MONTH($A699),1),$A$5:$A$800,"&lt;="&amp;$A699)+IF(AND(YEAR($A699)=YEAR(Settings!$B$3),MONTH($A699)=MONTH(Settings!$B$3)),Settings!$B$13,0))</f>
        <v/>
      </c>
      <c r="R699" s="77">
        <f>IF($A699="","",N699+P699)</f>
        <v/>
      </c>
      <c r="S699" s="78">
        <f>IF($A699="","",O699+Q699)</f>
        <v/>
      </c>
    </row>
    <row r="700">
      <c r="A700" s="67" t="n"/>
      <c r="B700" s="75" t="n"/>
      <c r="C700" s="76" t="n"/>
      <c r="D700" s="75" t="n"/>
      <c r="E700" s="76" t="n"/>
      <c r="F700" s="75" t="n"/>
      <c r="G700" s="76" t="n"/>
      <c r="H700" s="75" t="n"/>
      <c r="I700" s="76" t="n"/>
      <c r="J700" s="77">
        <f>IF($A700="","",B700+D700+F700)</f>
        <v/>
      </c>
      <c r="K700" s="78">
        <f>IF($A700="","",C700+E700+G700)</f>
        <v/>
      </c>
      <c r="L700" s="79">
        <f>IF($A700="","",J700+H700)</f>
        <v/>
      </c>
      <c r="M700" s="80">
        <f>IF($A700="","",K700+I700)</f>
        <v/>
      </c>
      <c r="N700" s="77">
        <f>IF($A700="","",SUMIFS($J$5:$J$800,$A$5:$A$800,"&gt;="&amp;DATE(YEAR($A700),MONTH($A700),1),$A$5:$A$800,"&lt;="&amp;$A700)+IF(AND(YEAR($A700)=YEAR(Settings!$B$3),MONTH($A700)=MONTH(Settings!$B$3)),Settings!$B$10,0))</f>
        <v/>
      </c>
      <c r="O700" s="78">
        <f>IF($A700="","",SUMIFS($K$5:$K$800,$A$5:$A$800,"&gt;="&amp;DATE(YEAR($A700),MONTH($A700),1),$A$5:$A$800,"&lt;="&amp;$A700)+IF(AND(YEAR($A700)=YEAR(Settings!$B$3),MONTH($A700)=MONTH(Settings!$B$3)),Settings!$B$11,0))</f>
        <v/>
      </c>
      <c r="P700" s="77">
        <f>IF($A700="","",SUMIFS($H$5:$H$800,$A$5:$A$800,"&gt;="&amp;DATE(YEAR($A700),MONTH($A700),1),$A$5:$A$800,"&lt;="&amp;$A700)+IF(AND(YEAR($A700)=YEAR(Settings!$B$3),MONTH($A700)=MONTH(Settings!$B$3)),Settings!$B$12,0))</f>
        <v/>
      </c>
      <c r="Q700" s="78">
        <f>IF($A700="","",SUMIFS($I$5:$I$800,$A$5:$A$800,"&gt;="&amp;DATE(YEAR($A700),MONTH($A700),1),$A$5:$A$800,"&lt;="&amp;$A700)+IF(AND(YEAR($A700)=YEAR(Settings!$B$3),MONTH($A700)=MONTH(Settings!$B$3)),Settings!$B$13,0))</f>
        <v/>
      </c>
      <c r="R700" s="77">
        <f>IF($A700="","",N700+P700)</f>
        <v/>
      </c>
      <c r="S700" s="78">
        <f>IF($A700="","",O700+Q700)</f>
        <v/>
      </c>
    </row>
    <row r="701">
      <c r="A701" s="67" t="n"/>
      <c r="B701" s="75" t="n"/>
      <c r="C701" s="76" t="n"/>
      <c r="D701" s="75" t="n"/>
      <c r="E701" s="76" t="n"/>
      <c r="F701" s="75" t="n"/>
      <c r="G701" s="76" t="n"/>
      <c r="H701" s="75" t="n"/>
      <c r="I701" s="76" t="n"/>
      <c r="J701" s="77">
        <f>IF($A701="","",B701+D701+F701)</f>
        <v/>
      </c>
      <c r="K701" s="78">
        <f>IF($A701="","",C701+E701+G701)</f>
        <v/>
      </c>
      <c r="L701" s="79">
        <f>IF($A701="","",J701+H701)</f>
        <v/>
      </c>
      <c r="M701" s="80">
        <f>IF($A701="","",K701+I701)</f>
        <v/>
      </c>
      <c r="N701" s="77">
        <f>IF($A701="","",SUMIFS($J$5:$J$800,$A$5:$A$800,"&gt;="&amp;DATE(YEAR($A701),MONTH($A701),1),$A$5:$A$800,"&lt;="&amp;$A701)+IF(AND(YEAR($A701)=YEAR(Settings!$B$3),MONTH($A701)=MONTH(Settings!$B$3)),Settings!$B$10,0))</f>
        <v/>
      </c>
      <c r="O701" s="78">
        <f>IF($A701="","",SUMIFS($K$5:$K$800,$A$5:$A$800,"&gt;="&amp;DATE(YEAR($A701),MONTH($A701),1),$A$5:$A$800,"&lt;="&amp;$A701)+IF(AND(YEAR($A701)=YEAR(Settings!$B$3),MONTH($A701)=MONTH(Settings!$B$3)),Settings!$B$11,0))</f>
        <v/>
      </c>
      <c r="P701" s="77">
        <f>IF($A701="","",SUMIFS($H$5:$H$800,$A$5:$A$800,"&gt;="&amp;DATE(YEAR($A701),MONTH($A701),1),$A$5:$A$800,"&lt;="&amp;$A701)+IF(AND(YEAR($A701)=YEAR(Settings!$B$3),MONTH($A701)=MONTH(Settings!$B$3)),Settings!$B$12,0))</f>
        <v/>
      </c>
      <c r="Q701" s="78">
        <f>IF($A701="","",SUMIFS($I$5:$I$800,$A$5:$A$800,"&gt;="&amp;DATE(YEAR($A701),MONTH($A701),1),$A$5:$A$800,"&lt;="&amp;$A701)+IF(AND(YEAR($A701)=YEAR(Settings!$B$3),MONTH($A701)=MONTH(Settings!$B$3)),Settings!$B$13,0))</f>
        <v/>
      </c>
      <c r="R701" s="77">
        <f>IF($A701="","",N701+P701)</f>
        <v/>
      </c>
      <c r="S701" s="78">
        <f>IF($A701="","",O701+Q701)</f>
        <v/>
      </c>
    </row>
    <row r="702">
      <c r="A702" s="67" t="n"/>
      <c r="B702" s="75" t="n"/>
      <c r="C702" s="76" t="n"/>
      <c r="D702" s="75" t="n"/>
      <c r="E702" s="76" t="n"/>
      <c r="F702" s="75" t="n"/>
      <c r="G702" s="76" t="n"/>
      <c r="H702" s="75" t="n"/>
      <c r="I702" s="76" t="n"/>
      <c r="J702" s="77">
        <f>IF($A702="","",B702+D702+F702)</f>
        <v/>
      </c>
      <c r="K702" s="78">
        <f>IF($A702="","",C702+E702+G702)</f>
        <v/>
      </c>
      <c r="L702" s="79">
        <f>IF($A702="","",J702+H702)</f>
        <v/>
      </c>
      <c r="M702" s="80">
        <f>IF($A702="","",K702+I702)</f>
        <v/>
      </c>
      <c r="N702" s="77">
        <f>IF($A702="","",SUMIFS($J$5:$J$800,$A$5:$A$800,"&gt;="&amp;DATE(YEAR($A702),MONTH($A702),1),$A$5:$A$800,"&lt;="&amp;$A702)+IF(AND(YEAR($A702)=YEAR(Settings!$B$3),MONTH($A702)=MONTH(Settings!$B$3)),Settings!$B$10,0))</f>
        <v/>
      </c>
      <c r="O702" s="78">
        <f>IF($A702="","",SUMIFS($K$5:$K$800,$A$5:$A$800,"&gt;="&amp;DATE(YEAR($A702),MONTH($A702),1),$A$5:$A$800,"&lt;="&amp;$A702)+IF(AND(YEAR($A702)=YEAR(Settings!$B$3),MONTH($A702)=MONTH(Settings!$B$3)),Settings!$B$11,0))</f>
        <v/>
      </c>
      <c r="P702" s="77">
        <f>IF($A702="","",SUMIFS($H$5:$H$800,$A$5:$A$800,"&gt;="&amp;DATE(YEAR($A702),MONTH($A702),1),$A$5:$A$800,"&lt;="&amp;$A702)+IF(AND(YEAR($A702)=YEAR(Settings!$B$3),MONTH($A702)=MONTH(Settings!$B$3)),Settings!$B$12,0))</f>
        <v/>
      </c>
      <c r="Q702" s="78">
        <f>IF($A702="","",SUMIFS($I$5:$I$800,$A$5:$A$800,"&gt;="&amp;DATE(YEAR($A702),MONTH($A702),1),$A$5:$A$800,"&lt;="&amp;$A702)+IF(AND(YEAR($A702)=YEAR(Settings!$B$3),MONTH($A702)=MONTH(Settings!$B$3)),Settings!$B$13,0))</f>
        <v/>
      </c>
      <c r="R702" s="77">
        <f>IF($A702="","",N702+P702)</f>
        <v/>
      </c>
      <c r="S702" s="78">
        <f>IF($A702="","",O702+Q702)</f>
        <v/>
      </c>
    </row>
    <row r="703">
      <c r="A703" s="67" t="n"/>
      <c r="B703" s="75" t="n"/>
      <c r="C703" s="76" t="n"/>
      <c r="D703" s="75" t="n"/>
      <c r="E703" s="76" t="n"/>
      <c r="F703" s="75" t="n"/>
      <c r="G703" s="76" t="n"/>
      <c r="H703" s="75" t="n"/>
      <c r="I703" s="76" t="n"/>
      <c r="J703" s="77">
        <f>IF($A703="","",B703+D703+F703)</f>
        <v/>
      </c>
      <c r="K703" s="78">
        <f>IF($A703="","",C703+E703+G703)</f>
        <v/>
      </c>
      <c r="L703" s="79">
        <f>IF($A703="","",J703+H703)</f>
        <v/>
      </c>
      <c r="M703" s="80">
        <f>IF($A703="","",K703+I703)</f>
        <v/>
      </c>
      <c r="N703" s="77">
        <f>IF($A703="","",SUMIFS($J$5:$J$800,$A$5:$A$800,"&gt;="&amp;DATE(YEAR($A703),MONTH($A703),1),$A$5:$A$800,"&lt;="&amp;$A703)+IF(AND(YEAR($A703)=YEAR(Settings!$B$3),MONTH($A703)=MONTH(Settings!$B$3)),Settings!$B$10,0))</f>
        <v/>
      </c>
      <c r="O703" s="78">
        <f>IF($A703="","",SUMIFS($K$5:$K$800,$A$5:$A$800,"&gt;="&amp;DATE(YEAR($A703),MONTH($A703),1),$A$5:$A$800,"&lt;="&amp;$A703)+IF(AND(YEAR($A703)=YEAR(Settings!$B$3),MONTH($A703)=MONTH(Settings!$B$3)),Settings!$B$11,0))</f>
        <v/>
      </c>
      <c r="P703" s="77">
        <f>IF($A703="","",SUMIFS($H$5:$H$800,$A$5:$A$800,"&gt;="&amp;DATE(YEAR($A703),MONTH($A703),1),$A$5:$A$800,"&lt;="&amp;$A703)+IF(AND(YEAR($A703)=YEAR(Settings!$B$3),MONTH($A703)=MONTH(Settings!$B$3)),Settings!$B$12,0))</f>
        <v/>
      </c>
      <c r="Q703" s="78">
        <f>IF($A703="","",SUMIFS($I$5:$I$800,$A$5:$A$800,"&gt;="&amp;DATE(YEAR($A703),MONTH($A703),1),$A$5:$A$800,"&lt;="&amp;$A703)+IF(AND(YEAR($A703)=YEAR(Settings!$B$3),MONTH($A703)=MONTH(Settings!$B$3)),Settings!$B$13,0))</f>
        <v/>
      </c>
      <c r="R703" s="77">
        <f>IF($A703="","",N703+P703)</f>
        <v/>
      </c>
      <c r="S703" s="78">
        <f>IF($A703="","",O703+Q703)</f>
        <v/>
      </c>
    </row>
    <row r="704">
      <c r="A704" s="67" t="n"/>
      <c r="B704" s="75" t="n"/>
      <c r="C704" s="76" t="n"/>
      <c r="D704" s="75" t="n"/>
      <c r="E704" s="76" t="n"/>
      <c r="F704" s="75" t="n"/>
      <c r="G704" s="76" t="n"/>
      <c r="H704" s="75" t="n"/>
      <c r="I704" s="76" t="n"/>
      <c r="J704" s="77">
        <f>IF($A704="","",B704+D704+F704)</f>
        <v/>
      </c>
      <c r="K704" s="78">
        <f>IF($A704="","",C704+E704+G704)</f>
        <v/>
      </c>
      <c r="L704" s="79">
        <f>IF($A704="","",J704+H704)</f>
        <v/>
      </c>
      <c r="M704" s="80">
        <f>IF($A704="","",K704+I704)</f>
        <v/>
      </c>
      <c r="N704" s="77">
        <f>IF($A704="","",SUMIFS($J$5:$J$800,$A$5:$A$800,"&gt;="&amp;DATE(YEAR($A704),MONTH($A704),1),$A$5:$A$800,"&lt;="&amp;$A704)+IF(AND(YEAR($A704)=YEAR(Settings!$B$3),MONTH($A704)=MONTH(Settings!$B$3)),Settings!$B$10,0))</f>
        <v/>
      </c>
      <c r="O704" s="78">
        <f>IF($A704="","",SUMIFS($K$5:$K$800,$A$5:$A$800,"&gt;="&amp;DATE(YEAR($A704),MONTH($A704),1),$A$5:$A$800,"&lt;="&amp;$A704)+IF(AND(YEAR($A704)=YEAR(Settings!$B$3),MONTH($A704)=MONTH(Settings!$B$3)),Settings!$B$11,0))</f>
        <v/>
      </c>
      <c r="P704" s="77">
        <f>IF($A704="","",SUMIFS($H$5:$H$800,$A$5:$A$800,"&gt;="&amp;DATE(YEAR($A704),MONTH($A704),1),$A$5:$A$800,"&lt;="&amp;$A704)+IF(AND(YEAR($A704)=YEAR(Settings!$B$3),MONTH($A704)=MONTH(Settings!$B$3)),Settings!$B$12,0))</f>
        <v/>
      </c>
      <c r="Q704" s="78">
        <f>IF($A704="","",SUMIFS($I$5:$I$800,$A$5:$A$800,"&gt;="&amp;DATE(YEAR($A704),MONTH($A704),1),$A$5:$A$800,"&lt;="&amp;$A704)+IF(AND(YEAR($A704)=YEAR(Settings!$B$3),MONTH($A704)=MONTH(Settings!$B$3)),Settings!$B$13,0))</f>
        <v/>
      </c>
      <c r="R704" s="77">
        <f>IF($A704="","",N704+P704)</f>
        <v/>
      </c>
      <c r="S704" s="78">
        <f>IF($A704="","",O704+Q704)</f>
        <v/>
      </c>
    </row>
    <row r="705">
      <c r="A705" s="67" t="n"/>
      <c r="B705" s="75" t="n"/>
      <c r="C705" s="76" t="n"/>
      <c r="D705" s="75" t="n"/>
      <c r="E705" s="76" t="n"/>
      <c r="F705" s="75" t="n"/>
      <c r="G705" s="76" t="n"/>
      <c r="H705" s="75" t="n"/>
      <c r="I705" s="76" t="n"/>
      <c r="J705" s="77">
        <f>IF($A705="","",B705+D705+F705)</f>
        <v/>
      </c>
      <c r="K705" s="78">
        <f>IF($A705="","",C705+E705+G705)</f>
        <v/>
      </c>
      <c r="L705" s="79">
        <f>IF($A705="","",J705+H705)</f>
        <v/>
      </c>
      <c r="M705" s="80">
        <f>IF($A705="","",K705+I705)</f>
        <v/>
      </c>
      <c r="N705" s="77">
        <f>IF($A705="","",SUMIFS($J$5:$J$800,$A$5:$A$800,"&gt;="&amp;DATE(YEAR($A705),MONTH($A705),1),$A$5:$A$800,"&lt;="&amp;$A705)+IF(AND(YEAR($A705)=YEAR(Settings!$B$3),MONTH($A705)=MONTH(Settings!$B$3)),Settings!$B$10,0))</f>
        <v/>
      </c>
      <c r="O705" s="78">
        <f>IF($A705="","",SUMIFS($K$5:$K$800,$A$5:$A$800,"&gt;="&amp;DATE(YEAR($A705),MONTH($A705),1),$A$5:$A$800,"&lt;="&amp;$A705)+IF(AND(YEAR($A705)=YEAR(Settings!$B$3),MONTH($A705)=MONTH(Settings!$B$3)),Settings!$B$11,0))</f>
        <v/>
      </c>
      <c r="P705" s="77">
        <f>IF($A705="","",SUMIFS($H$5:$H$800,$A$5:$A$800,"&gt;="&amp;DATE(YEAR($A705),MONTH($A705),1),$A$5:$A$800,"&lt;="&amp;$A705)+IF(AND(YEAR($A705)=YEAR(Settings!$B$3),MONTH($A705)=MONTH(Settings!$B$3)),Settings!$B$12,0))</f>
        <v/>
      </c>
      <c r="Q705" s="78">
        <f>IF($A705="","",SUMIFS($I$5:$I$800,$A$5:$A$800,"&gt;="&amp;DATE(YEAR($A705),MONTH($A705),1),$A$5:$A$800,"&lt;="&amp;$A705)+IF(AND(YEAR($A705)=YEAR(Settings!$B$3),MONTH($A705)=MONTH(Settings!$B$3)),Settings!$B$13,0))</f>
        <v/>
      </c>
      <c r="R705" s="77">
        <f>IF($A705="","",N705+P705)</f>
        <v/>
      </c>
      <c r="S705" s="78">
        <f>IF($A705="","",O705+Q705)</f>
        <v/>
      </c>
    </row>
    <row r="706">
      <c r="A706" s="67" t="n"/>
      <c r="B706" s="75" t="n"/>
      <c r="C706" s="76" t="n"/>
      <c r="D706" s="75" t="n"/>
      <c r="E706" s="76" t="n"/>
      <c r="F706" s="75" t="n"/>
      <c r="G706" s="76" t="n"/>
      <c r="H706" s="75" t="n"/>
      <c r="I706" s="76" t="n"/>
      <c r="J706" s="77">
        <f>IF($A706="","",B706+D706+F706)</f>
        <v/>
      </c>
      <c r="K706" s="78">
        <f>IF($A706="","",C706+E706+G706)</f>
        <v/>
      </c>
      <c r="L706" s="79">
        <f>IF($A706="","",J706+H706)</f>
        <v/>
      </c>
      <c r="M706" s="80">
        <f>IF($A706="","",K706+I706)</f>
        <v/>
      </c>
      <c r="N706" s="77">
        <f>IF($A706="","",SUMIFS($J$5:$J$800,$A$5:$A$800,"&gt;="&amp;DATE(YEAR($A706),MONTH($A706),1),$A$5:$A$800,"&lt;="&amp;$A706)+IF(AND(YEAR($A706)=YEAR(Settings!$B$3),MONTH($A706)=MONTH(Settings!$B$3)),Settings!$B$10,0))</f>
        <v/>
      </c>
      <c r="O706" s="78">
        <f>IF($A706="","",SUMIFS($K$5:$K$800,$A$5:$A$800,"&gt;="&amp;DATE(YEAR($A706),MONTH($A706),1),$A$5:$A$800,"&lt;="&amp;$A706)+IF(AND(YEAR($A706)=YEAR(Settings!$B$3),MONTH($A706)=MONTH(Settings!$B$3)),Settings!$B$11,0))</f>
        <v/>
      </c>
      <c r="P706" s="77">
        <f>IF($A706="","",SUMIFS($H$5:$H$800,$A$5:$A$800,"&gt;="&amp;DATE(YEAR($A706),MONTH($A706),1),$A$5:$A$800,"&lt;="&amp;$A706)+IF(AND(YEAR($A706)=YEAR(Settings!$B$3),MONTH($A706)=MONTH(Settings!$B$3)),Settings!$B$12,0))</f>
        <v/>
      </c>
      <c r="Q706" s="78">
        <f>IF($A706="","",SUMIFS($I$5:$I$800,$A$5:$A$800,"&gt;="&amp;DATE(YEAR($A706),MONTH($A706),1),$A$5:$A$800,"&lt;="&amp;$A706)+IF(AND(YEAR($A706)=YEAR(Settings!$B$3),MONTH($A706)=MONTH(Settings!$B$3)),Settings!$B$13,0))</f>
        <v/>
      </c>
      <c r="R706" s="77">
        <f>IF($A706="","",N706+P706)</f>
        <v/>
      </c>
      <c r="S706" s="78">
        <f>IF($A706="","",O706+Q706)</f>
        <v/>
      </c>
    </row>
    <row r="707">
      <c r="A707" s="67" t="n"/>
      <c r="B707" s="75" t="n"/>
      <c r="C707" s="76" t="n"/>
      <c r="D707" s="75" t="n"/>
      <c r="E707" s="76" t="n"/>
      <c r="F707" s="75" t="n"/>
      <c r="G707" s="76" t="n"/>
      <c r="H707" s="75" t="n"/>
      <c r="I707" s="76" t="n"/>
      <c r="J707" s="77">
        <f>IF($A707="","",B707+D707+F707)</f>
        <v/>
      </c>
      <c r="K707" s="78">
        <f>IF($A707="","",C707+E707+G707)</f>
        <v/>
      </c>
      <c r="L707" s="79">
        <f>IF($A707="","",J707+H707)</f>
        <v/>
      </c>
      <c r="M707" s="80">
        <f>IF($A707="","",K707+I707)</f>
        <v/>
      </c>
      <c r="N707" s="77">
        <f>IF($A707="","",SUMIFS($J$5:$J$800,$A$5:$A$800,"&gt;="&amp;DATE(YEAR($A707),MONTH($A707),1),$A$5:$A$800,"&lt;="&amp;$A707)+IF(AND(YEAR($A707)=YEAR(Settings!$B$3),MONTH($A707)=MONTH(Settings!$B$3)),Settings!$B$10,0))</f>
        <v/>
      </c>
      <c r="O707" s="78">
        <f>IF($A707="","",SUMIFS($K$5:$K$800,$A$5:$A$800,"&gt;="&amp;DATE(YEAR($A707),MONTH($A707),1),$A$5:$A$800,"&lt;="&amp;$A707)+IF(AND(YEAR($A707)=YEAR(Settings!$B$3),MONTH($A707)=MONTH(Settings!$B$3)),Settings!$B$11,0))</f>
        <v/>
      </c>
      <c r="P707" s="77">
        <f>IF($A707="","",SUMIFS($H$5:$H$800,$A$5:$A$800,"&gt;="&amp;DATE(YEAR($A707),MONTH($A707),1),$A$5:$A$800,"&lt;="&amp;$A707)+IF(AND(YEAR($A707)=YEAR(Settings!$B$3),MONTH($A707)=MONTH(Settings!$B$3)),Settings!$B$12,0))</f>
        <v/>
      </c>
      <c r="Q707" s="78">
        <f>IF($A707="","",SUMIFS($I$5:$I$800,$A$5:$A$800,"&gt;="&amp;DATE(YEAR($A707),MONTH($A707),1),$A$5:$A$800,"&lt;="&amp;$A707)+IF(AND(YEAR($A707)=YEAR(Settings!$B$3),MONTH($A707)=MONTH(Settings!$B$3)),Settings!$B$13,0))</f>
        <v/>
      </c>
      <c r="R707" s="77">
        <f>IF($A707="","",N707+P707)</f>
        <v/>
      </c>
      <c r="S707" s="78">
        <f>IF($A707="","",O707+Q707)</f>
        <v/>
      </c>
    </row>
    <row r="708">
      <c r="A708" s="67" t="n"/>
      <c r="B708" s="75" t="n"/>
      <c r="C708" s="76" t="n"/>
      <c r="D708" s="75" t="n"/>
      <c r="E708" s="76" t="n"/>
      <c r="F708" s="75" t="n"/>
      <c r="G708" s="76" t="n"/>
      <c r="H708" s="75" t="n"/>
      <c r="I708" s="76" t="n"/>
      <c r="J708" s="77">
        <f>IF($A708="","",B708+D708+F708)</f>
        <v/>
      </c>
      <c r="K708" s="78">
        <f>IF($A708="","",C708+E708+G708)</f>
        <v/>
      </c>
      <c r="L708" s="79">
        <f>IF($A708="","",J708+H708)</f>
        <v/>
      </c>
      <c r="M708" s="80">
        <f>IF($A708="","",K708+I708)</f>
        <v/>
      </c>
      <c r="N708" s="77">
        <f>IF($A708="","",SUMIFS($J$5:$J$800,$A$5:$A$800,"&gt;="&amp;DATE(YEAR($A708),MONTH($A708),1),$A$5:$A$800,"&lt;="&amp;$A708)+IF(AND(YEAR($A708)=YEAR(Settings!$B$3),MONTH($A708)=MONTH(Settings!$B$3)),Settings!$B$10,0))</f>
        <v/>
      </c>
      <c r="O708" s="78">
        <f>IF($A708="","",SUMIFS($K$5:$K$800,$A$5:$A$800,"&gt;="&amp;DATE(YEAR($A708),MONTH($A708),1),$A$5:$A$800,"&lt;="&amp;$A708)+IF(AND(YEAR($A708)=YEAR(Settings!$B$3),MONTH($A708)=MONTH(Settings!$B$3)),Settings!$B$11,0))</f>
        <v/>
      </c>
      <c r="P708" s="77">
        <f>IF($A708="","",SUMIFS($H$5:$H$800,$A$5:$A$800,"&gt;="&amp;DATE(YEAR($A708),MONTH($A708),1),$A$5:$A$800,"&lt;="&amp;$A708)+IF(AND(YEAR($A708)=YEAR(Settings!$B$3),MONTH($A708)=MONTH(Settings!$B$3)),Settings!$B$12,0))</f>
        <v/>
      </c>
      <c r="Q708" s="78">
        <f>IF($A708="","",SUMIFS($I$5:$I$800,$A$5:$A$800,"&gt;="&amp;DATE(YEAR($A708),MONTH($A708),1),$A$5:$A$800,"&lt;="&amp;$A708)+IF(AND(YEAR($A708)=YEAR(Settings!$B$3),MONTH($A708)=MONTH(Settings!$B$3)),Settings!$B$13,0))</f>
        <v/>
      </c>
      <c r="R708" s="77">
        <f>IF($A708="","",N708+P708)</f>
        <v/>
      </c>
      <c r="S708" s="78">
        <f>IF($A708="","",O708+Q708)</f>
        <v/>
      </c>
    </row>
    <row r="709">
      <c r="A709" s="67" t="n"/>
      <c r="B709" s="75" t="n"/>
      <c r="C709" s="76" t="n"/>
      <c r="D709" s="75" t="n"/>
      <c r="E709" s="76" t="n"/>
      <c r="F709" s="75" t="n"/>
      <c r="G709" s="76" t="n"/>
      <c r="H709" s="75" t="n"/>
      <c r="I709" s="76" t="n"/>
      <c r="J709" s="77">
        <f>IF($A709="","",B709+D709+F709)</f>
        <v/>
      </c>
      <c r="K709" s="78">
        <f>IF($A709="","",C709+E709+G709)</f>
        <v/>
      </c>
      <c r="L709" s="79">
        <f>IF($A709="","",J709+H709)</f>
        <v/>
      </c>
      <c r="M709" s="80">
        <f>IF($A709="","",K709+I709)</f>
        <v/>
      </c>
      <c r="N709" s="77">
        <f>IF($A709="","",SUMIFS($J$5:$J$800,$A$5:$A$800,"&gt;="&amp;DATE(YEAR($A709),MONTH($A709),1),$A$5:$A$800,"&lt;="&amp;$A709)+IF(AND(YEAR($A709)=YEAR(Settings!$B$3),MONTH($A709)=MONTH(Settings!$B$3)),Settings!$B$10,0))</f>
        <v/>
      </c>
      <c r="O709" s="78">
        <f>IF($A709="","",SUMIFS($K$5:$K$800,$A$5:$A$800,"&gt;="&amp;DATE(YEAR($A709),MONTH($A709),1),$A$5:$A$800,"&lt;="&amp;$A709)+IF(AND(YEAR($A709)=YEAR(Settings!$B$3),MONTH($A709)=MONTH(Settings!$B$3)),Settings!$B$11,0))</f>
        <v/>
      </c>
      <c r="P709" s="77">
        <f>IF($A709="","",SUMIFS($H$5:$H$800,$A$5:$A$800,"&gt;="&amp;DATE(YEAR($A709),MONTH($A709),1),$A$5:$A$800,"&lt;="&amp;$A709)+IF(AND(YEAR($A709)=YEAR(Settings!$B$3),MONTH($A709)=MONTH(Settings!$B$3)),Settings!$B$12,0))</f>
        <v/>
      </c>
      <c r="Q709" s="78">
        <f>IF($A709="","",SUMIFS($I$5:$I$800,$A$5:$A$800,"&gt;="&amp;DATE(YEAR($A709),MONTH($A709),1),$A$5:$A$800,"&lt;="&amp;$A709)+IF(AND(YEAR($A709)=YEAR(Settings!$B$3),MONTH($A709)=MONTH(Settings!$B$3)),Settings!$B$13,0))</f>
        <v/>
      </c>
      <c r="R709" s="77">
        <f>IF($A709="","",N709+P709)</f>
        <v/>
      </c>
      <c r="S709" s="78">
        <f>IF($A709="","",O709+Q709)</f>
        <v/>
      </c>
    </row>
    <row r="710">
      <c r="A710" s="67" t="n"/>
      <c r="B710" s="75" t="n"/>
      <c r="C710" s="76" t="n"/>
      <c r="D710" s="75" t="n"/>
      <c r="E710" s="76" t="n"/>
      <c r="F710" s="75" t="n"/>
      <c r="G710" s="76" t="n"/>
      <c r="H710" s="75" t="n"/>
      <c r="I710" s="76" t="n"/>
      <c r="J710" s="77">
        <f>IF($A710="","",B710+D710+F710)</f>
        <v/>
      </c>
      <c r="K710" s="78">
        <f>IF($A710="","",C710+E710+G710)</f>
        <v/>
      </c>
      <c r="L710" s="79">
        <f>IF($A710="","",J710+H710)</f>
        <v/>
      </c>
      <c r="M710" s="80">
        <f>IF($A710="","",K710+I710)</f>
        <v/>
      </c>
      <c r="N710" s="77">
        <f>IF($A710="","",SUMIFS($J$5:$J$800,$A$5:$A$800,"&gt;="&amp;DATE(YEAR($A710),MONTH($A710),1),$A$5:$A$800,"&lt;="&amp;$A710)+IF(AND(YEAR($A710)=YEAR(Settings!$B$3),MONTH($A710)=MONTH(Settings!$B$3)),Settings!$B$10,0))</f>
        <v/>
      </c>
      <c r="O710" s="78">
        <f>IF($A710="","",SUMIFS($K$5:$K$800,$A$5:$A$800,"&gt;="&amp;DATE(YEAR($A710),MONTH($A710),1),$A$5:$A$800,"&lt;="&amp;$A710)+IF(AND(YEAR($A710)=YEAR(Settings!$B$3),MONTH($A710)=MONTH(Settings!$B$3)),Settings!$B$11,0))</f>
        <v/>
      </c>
      <c r="P710" s="77">
        <f>IF($A710="","",SUMIFS($H$5:$H$800,$A$5:$A$800,"&gt;="&amp;DATE(YEAR($A710),MONTH($A710),1),$A$5:$A$800,"&lt;="&amp;$A710)+IF(AND(YEAR($A710)=YEAR(Settings!$B$3),MONTH($A710)=MONTH(Settings!$B$3)),Settings!$B$12,0))</f>
        <v/>
      </c>
      <c r="Q710" s="78">
        <f>IF($A710="","",SUMIFS($I$5:$I$800,$A$5:$A$800,"&gt;="&amp;DATE(YEAR($A710),MONTH($A710),1),$A$5:$A$800,"&lt;="&amp;$A710)+IF(AND(YEAR($A710)=YEAR(Settings!$B$3),MONTH($A710)=MONTH(Settings!$B$3)),Settings!$B$13,0))</f>
        <v/>
      </c>
      <c r="R710" s="77">
        <f>IF($A710="","",N710+P710)</f>
        <v/>
      </c>
      <c r="S710" s="78">
        <f>IF($A710="","",O710+Q710)</f>
        <v/>
      </c>
    </row>
    <row r="711">
      <c r="A711" s="67" t="n"/>
      <c r="B711" s="75" t="n"/>
      <c r="C711" s="76" t="n"/>
      <c r="D711" s="75" t="n"/>
      <c r="E711" s="76" t="n"/>
      <c r="F711" s="75" t="n"/>
      <c r="G711" s="76" t="n"/>
      <c r="H711" s="75" t="n"/>
      <c r="I711" s="76" t="n"/>
      <c r="J711" s="77">
        <f>IF($A711="","",B711+D711+F711)</f>
        <v/>
      </c>
      <c r="K711" s="78">
        <f>IF($A711="","",C711+E711+G711)</f>
        <v/>
      </c>
      <c r="L711" s="79">
        <f>IF($A711="","",J711+H711)</f>
        <v/>
      </c>
      <c r="M711" s="80">
        <f>IF($A711="","",K711+I711)</f>
        <v/>
      </c>
      <c r="N711" s="77">
        <f>IF($A711="","",SUMIFS($J$5:$J$800,$A$5:$A$800,"&gt;="&amp;DATE(YEAR($A711),MONTH($A711),1),$A$5:$A$800,"&lt;="&amp;$A711)+IF(AND(YEAR($A711)=YEAR(Settings!$B$3),MONTH($A711)=MONTH(Settings!$B$3)),Settings!$B$10,0))</f>
        <v/>
      </c>
      <c r="O711" s="78">
        <f>IF($A711="","",SUMIFS($K$5:$K$800,$A$5:$A$800,"&gt;="&amp;DATE(YEAR($A711),MONTH($A711),1),$A$5:$A$800,"&lt;="&amp;$A711)+IF(AND(YEAR($A711)=YEAR(Settings!$B$3),MONTH($A711)=MONTH(Settings!$B$3)),Settings!$B$11,0))</f>
        <v/>
      </c>
      <c r="P711" s="77">
        <f>IF($A711="","",SUMIFS($H$5:$H$800,$A$5:$A$800,"&gt;="&amp;DATE(YEAR($A711),MONTH($A711),1),$A$5:$A$800,"&lt;="&amp;$A711)+IF(AND(YEAR($A711)=YEAR(Settings!$B$3),MONTH($A711)=MONTH(Settings!$B$3)),Settings!$B$12,0))</f>
        <v/>
      </c>
      <c r="Q711" s="78">
        <f>IF($A711="","",SUMIFS($I$5:$I$800,$A$5:$A$800,"&gt;="&amp;DATE(YEAR($A711),MONTH($A711),1),$A$5:$A$800,"&lt;="&amp;$A711)+IF(AND(YEAR($A711)=YEAR(Settings!$B$3),MONTH($A711)=MONTH(Settings!$B$3)),Settings!$B$13,0))</f>
        <v/>
      </c>
      <c r="R711" s="77">
        <f>IF($A711="","",N711+P711)</f>
        <v/>
      </c>
      <c r="S711" s="78">
        <f>IF($A711="","",O711+Q711)</f>
        <v/>
      </c>
    </row>
    <row r="712">
      <c r="A712" s="67" t="n"/>
      <c r="B712" s="75" t="n"/>
      <c r="C712" s="76" t="n"/>
      <c r="D712" s="75" t="n"/>
      <c r="E712" s="76" t="n"/>
      <c r="F712" s="75" t="n"/>
      <c r="G712" s="76" t="n"/>
      <c r="H712" s="75" t="n"/>
      <c r="I712" s="76" t="n"/>
      <c r="J712" s="77">
        <f>IF($A712="","",B712+D712+F712)</f>
        <v/>
      </c>
      <c r="K712" s="78">
        <f>IF($A712="","",C712+E712+G712)</f>
        <v/>
      </c>
      <c r="L712" s="79">
        <f>IF($A712="","",J712+H712)</f>
        <v/>
      </c>
      <c r="M712" s="80">
        <f>IF($A712="","",K712+I712)</f>
        <v/>
      </c>
      <c r="N712" s="77">
        <f>IF($A712="","",SUMIFS($J$5:$J$800,$A$5:$A$800,"&gt;="&amp;DATE(YEAR($A712),MONTH($A712),1),$A$5:$A$800,"&lt;="&amp;$A712)+IF(AND(YEAR($A712)=YEAR(Settings!$B$3),MONTH($A712)=MONTH(Settings!$B$3)),Settings!$B$10,0))</f>
        <v/>
      </c>
      <c r="O712" s="78">
        <f>IF($A712="","",SUMIFS($K$5:$K$800,$A$5:$A$800,"&gt;="&amp;DATE(YEAR($A712),MONTH($A712),1),$A$5:$A$800,"&lt;="&amp;$A712)+IF(AND(YEAR($A712)=YEAR(Settings!$B$3),MONTH($A712)=MONTH(Settings!$B$3)),Settings!$B$11,0))</f>
        <v/>
      </c>
      <c r="P712" s="77">
        <f>IF($A712="","",SUMIFS($H$5:$H$800,$A$5:$A$800,"&gt;="&amp;DATE(YEAR($A712),MONTH($A712),1),$A$5:$A$800,"&lt;="&amp;$A712)+IF(AND(YEAR($A712)=YEAR(Settings!$B$3),MONTH($A712)=MONTH(Settings!$B$3)),Settings!$B$12,0))</f>
        <v/>
      </c>
      <c r="Q712" s="78">
        <f>IF($A712="","",SUMIFS($I$5:$I$800,$A$5:$A$800,"&gt;="&amp;DATE(YEAR($A712),MONTH($A712),1),$A$5:$A$800,"&lt;="&amp;$A712)+IF(AND(YEAR($A712)=YEAR(Settings!$B$3),MONTH($A712)=MONTH(Settings!$B$3)),Settings!$B$13,0))</f>
        <v/>
      </c>
      <c r="R712" s="77">
        <f>IF($A712="","",N712+P712)</f>
        <v/>
      </c>
      <c r="S712" s="78">
        <f>IF($A712="","",O712+Q712)</f>
        <v/>
      </c>
    </row>
    <row r="713">
      <c r="A713" s="67" t="n"/>
      <c r="B713" s="75" t="n"/>
      <c r="C713" s="76" t="n"/>
      <c r="D713" s="75" t="n"/>
      <c r="E713" s="76" t="n"/>
      <c r="F713" s="75" t="n"/>
      <c r="G713" s="76" t="n"/>
      <c r="H713" s="75" t="n"/>
      <c r="I713" s="76" t="n"/>
      <c r="J713" s="77">
        <f>IF($A713="","",B713+D713+F713)</f>
        <v/>
      </c>
      <c r="K713" s="78">
        <f>IF($A713="","",C713+E713+G713)</f>
        <v/>
      </c>
      <c r="L713" s="79">
        <f>IF($A713="","",J713+H713)</f>
        <v/>
      </c>
      <c r="M713" s="80">
        <f>IF($A713="","",K713+I713)</f>
        <v/>
      </c>
      <c r="N713" s="77">
        <f>IF($A713="","",SUMIFS($J$5:$J$800,$A$5:$A$800,"&gt;="&amp;DATE(YEAR($A713),MONTH($A713),1),$A$5:$A$800,"&lt;="&amp;$A713)+IF(AND(YEAR($A713)=YEAR(Settings!$B$3),MONTH($A713)=MONTH(Settings!$B$3)),Settings!$B$10,0))</f>
        <v/>
      </c>
      <c r="O713" s="78">
        <f>IF($A713="","",SUMIFS($K$5:$K$800,$A$5:$A$800,"&gt;="&amp;DATE(YEAR($A713),MONTH($A713),1),$A$5:$A$800,"&lt;="&amp;$A713)+IF(AND(YEAR($A713)=YEAR(Settings!$B$3),MONTH($A713)=MONTH(Settings!$B$3)),Settings!$B$11,0))</f>
        <v/>
      </c>
      <c r="P713" s="77">
        <f>IF($A713="","",SUMIFS($H$5:$H$800,$A$5:$A$800,"&gt;="&amp;DATE(YEAR($A713),MONTH($A713),1),$A$5:$A$800,"&lt;="&amp;$A713)+IF(AND(YEAR($A713)=YEAR(Settings!$B$3),MONTH($A713)=MONTH(Settings!$B$3)),Settings!$B$12,0))</f>
        <v/>
      </c>
      <c r="Q713" s="78">
        <f>IF($A713="","",SUMIFS($I$5:$I$800,$A$5:$A$800,"&gt;="&amp;DATE(YEAR($A713),MONTH($A713),1),$A$5:$A$800,"&lt;="&amp;$A713)+IF(AND(YEAR($A713)=YEAR(Settings!$B$3),MONTH($A713)=MONTH(Settings!$B$3)),Settings!$B$13,0))</f>
        <v/>
      </c>
      <c r="R713" s="77">
        <f>IF($A713="","",N713+P713)</f>
        <v/>
      </c>
      <c r="S713" s="78">
        <f>IF($A713="","",O713+Q713)</f>
        <v/>
      </c>
    </row>
    <row r="714">
      <c r="A714" s="67" t="n"/>
      <c r="B714" s="75" t="n"/>
      <c r="C714" s="76" t="n"/>
      <c r="D714" s="75" t="n"/>
      <c r="E714" s="76" t="n"/>
      <c r="F714" s="75" t="n"/>
      <c r="G714" s="76" t="n"/>
      <c r="H714" s="75" t="n"/>
      <c r="I714" s="76" t="n"/>
      <c r="J714" s="77">
        <f>IF($A714="","",B714+D714+F714)</f>
        <v/>
      </c>
      <c r="K714" s="78">
        <f>IF($A714="","",C714+E714+G714)</f>
        <v/>
      </c>
      <c r="L714" s="79">
        <f>IF($A714="","",J714+H714)</f>
        <v/>
      </c>
      <c r="M714" s="80">
        <f>IF($A714="","",K714+I714)</f>
        <v/>
      </c>
      <c r="N714" s="77">
        <f>IF($A714="","",SUMIFS($J$5:$J$800,$A$5:$A$800,"&gt;="&amp;DATE(YEAR($A714),MONTH($A714),1),$A$5:$A$800,"&lt;="&amp;$A714)+IF(AND(YEAR($A714)=YEAR(Settings!$B$3),MONTH($A714)=MONTH(Settings!$B$3)),Settings!$B$10,0))</f>
        <v/>
      </c>
      <c r="O714" s="78">
        <f>IF($A714="","",SUMIFS($K$5:$K$800,$A$5:$A$800,"&gt;="&amp;DATE(YEAR($A714),MONTH($A714),1),$A$5:$A$800,"&lt;="&amp;$A714)+IF(AND(YEAR($A714)=YEAR(Settings!$B$3),MONTH($A714)=MONTH(Settings!$B$3)),Settings!$B$11,0))</f>
        <v/>
      </c>
      <c r="P714" s="77">
        <f>IF($A714="","",SUMIFS($H$5:$H$800,$A$5:$A$800,"&gt;="&amp;DATE(YEAR($A714),MONTH($A714),1),$A$5:$A$800,"&lt;="&amp;$A714)+IF(AND(YEAR($A714)=YEAR(Settings!$B$3),MONTH($A714)=MONTH(Settings!$B$3)),Settings!$B$12,0))</f>
        <v/>
      </c>
      <c r="Q714" s="78">
        <f>IF($A714="","",SUMIFS($I$5:$I$800,$A$5:$A$800,"&gt;="&amp;DATE(YEAR($A714),MONTH($A714),1),$A$5:$A$800,"&lt;="&amp;$A714)+IF(AND(YEAR($A714)=YEAR(Settings!$B$3),MONTH($A714)=MONTH(Settings!$B$3)),Settings!$B$13,0))</f>
        <v/>
      </c>
      <c r="R714" s="77">
        <f>IF($A714="","",N714+P714)</f>
        <v/>
      </c>
      <c r="S714" s="78">
        <f>IF($A714="","",O714+Q714)</f>
        <v/>
      </c>
    </row>
    <row r="715">
      <c r="A715" s="67" t="n"/>
      <c r="B715" s="75" t="n"/>
      <c r="C715" s="76" t="n"/>
      <c r="D715" s="75" t="n"/>
      <c r="E715" s="76" t="n"/>
      <c r="F715" s="75" t="n"/>
      <c r="G715" s="76" t="n"/>
      <c r="H715" s="75" t="n"/>
      <c r="I715" s="76" t="n"/>
      <c r="J715" s="77">
        <f>IF($A715="","",B715+D715+F715)</f>
        <v/>
      </c>
      <c r="K715" s="78">
        <f>IF($A715="","",C715+E715+G715)</f>
        <v/>
      </c>
      <c r="L715" s="79">
        <f>IF($A715="","",J715+H715)</f>
        <v/>
      </c>
      <c r="M715" s="80">
        <f>IF($A715="","",K715+I715)</f>
        <v/>
      </c>
      <c r="N715" s="77">
        <f>IF($A715="","",SUMIFS($J$5:$J$800,$A$5:$A$800,"&gt;="&amp;DATE(YEAR($A715),MONTH($A715),1),$A$5:$A$800,"&lt;="&amp;$A715)+IF(AND(YEAR($A715)=YEAR(Settings!$B$3),MONTH($A715)=MONTH(Settings!$B$3)),Settings!$B$10,0))</f>
        <v/>
      </c>
      <c r="O715" s="78">
        <f>IF($A715="","",SUMIFS($K$5:$K$800,$A$5:$A$800,"&gt;="&amp;DATE(YEAR($A715),MONTH($A715),1),$A$5:$A$800,"&lt;="&amp;$A715)+IF(AND(YEAR($A715)=YEAR(Settings!$B$3),MONTH($A715)=MONTH(Settings!$B$3)),Settings!$B$11,0))</f>
        <v/>
      </c>
      <c r="P715" s="77">
        <f>IF($A715="","",SUMIFS($H$5:$H$800,$A$5:$A$800,"&gt;="&amp;DATE(YEAR($A715),MONTH($A715),1),$A$5:$A$800,"&lt;="&amp;$A715)+IF(AND(YEAR($A715)=YEAR(Settings!$B$3),MONTH($A715)=MONTH(Settings!$B$3)),Settings!$B$12,0))</f>
        <v/>
      </c>
      <c r="Q715" s="78">
        <f>IF($A715="","",SUMIFS($I$5:$I$800,$A$5:$A$800,"&gt;="&amp;DATE(YEAR($A715),MONTH($A715),1),$A$5:$A$800,"&lt;="&amp;$A715)+IF(AND(YEAR($A715)=YEAR(Settings!$B$3),MONTH($A715)=MONTH(Settings!$B$3)),Settings!$B$13,0))</f>
        <v/>
      </c>
      <c r="R715" s="77">
        <f>IF($A715="","",N715+P715)</f>
        <v/>
      </c>
      <c r="S715" s="78">
        <f>IF($A715="","",O715+Q715)</f>
        <v/>
      </c>
    </row>
    <row r="716">
      <c r="A716" s="67" t="n"/>
      <c r="B716" s="75" t="n"/>
      <c r="C716" s="76" t="n"/>
      <c r="D716" s="75" t="n"/>
      <c r="E716" s="76" t="n"/>
      <c r="F716" s="75" t="n"/>
      <c r="G716" s="76" t="n"/>
      <c r="H716" s="75" t="n"/>
      <c r="I716" s="76" t="n"/>
      <c r="J716" s="77">
        <f>IF($A716="","",B716+D716+F716)</f>
        <v/>
      </c>
      <c r="K716" s="78">
        <f>IF($A716="","",C716+E716+G716)</f>
        <v/>
      </c>
      <c r="L716" s="79">
        <f>IF($A716="","",J716+H716)</f>
        <v/>
      </c>
      <c r="M716" s="80">
        <f>IF($A716="","",K716+I716)</f>
        <v/>
      </c>
      <c r="N716" s="77">
        <f>IF($A716="","",SUMIFS($J$5:$J$800,$A$5:$A$800,"&gt;="&amp;DATE(YEAR($A716),MONTH($A716),1),$A$5:$A$800,"&lt;="&amp;$A716)+IF(AND(YEAR($A716)=YEAR(Settings!$B$3),MONTH($A716)=MONTH(Settings!$B$3)),Settings!$B$10,0))</f>
        <v/>
      </c>
      <c r="O716" s="78">
        <f>IF($A716="","",SUMIFS($K$5:$K$800,$A$5:$A$800,"&gt;="&amp;DATE(YEAR($A716),MONTH($A716),1),$A$5:$A$800,"&lt;="&amp;$A716)+IF(AND(YEAR($A716)=YEAR(Settings!$B$3),MONTH($A716)=MONTH(Settings!$B$3)),Settings!$B$11,0))</f>
        <v/>
      </c>
      <c r="P716" s="77">
        <f>IF($A716="","",SUMIFS($H$5:$H$800,$A$5:$A$800,"&gt;="&amp;DATE(YEAR($A716),MONTH($A716),1),$A$5:$A$800,"&lt;="&amp;$A716)+IF(AND(YEAR($A716)=YEAR(Settings!$B$3),MONTH($A716)=MONTH(Settings!$B$3)),Settings!$B$12,0))</f>
        <v/>
      </c>
      <c r="Q716" s="78">
        <f>IF($A716="","",SUMIFS($I$5:$I$800,$A$5:$A$800,"&gt;="&amp;DATE(YEAR($A716),MONTH($A716),1),$A$5:$A$800,"&lt;="&amp;$A716)+IF(AND(YEAR($A716)=YEAR(Settings!$B$3),MONTH($A716)=MONTH(Settings!$B$3)),Settings!$B$13,0))</f>
        <v/>
      </c>
      <c r="R716" s="77">
        <f>IF($A716="","",N716+P716)</f>
        <v/>
      </c>
      <c r="S716" s="78">
        <f>IF($A716="","",O716+Q716)</f>
        <v/>
      </c>
    </row>
    <row r="717">
      <c r="A717" s="67" t="n"/>
      <c r="B717" s="75" t="n"/>
      <c r="C717" s="76" t="n"/>
      <c r="D717" s="75" t="n"/>
      <c r="E717" s="76" t="n"/>
      <c r="F717" s="75" t="n"/>
      <c r="G717" s="76" t="n"/>
      <c r="H717" s="75" t="n"/>
      <c r="I717" s="76" t="n"/>
      <c r="J717" s="77">
        <f>IF($A717="","",B717+D717+F717)</f>
        <v/>
      </c>
      <c r="K717" s="78">
        <f>IF($A717="","",C717+E717+G717)</f>
        <v/>
      </c>
      <c r="L717" s="79">
        <f>IF($A717="","",J717+H717)</f>
        <v/>
      </c>
      <c r="M717" s="80">
        <f>IF($A717="","",K717+I717)</f>
        <v/>
      </c>
      <c r="N717" s="77">
        <f>IF($A717="","",SUMIFS($J$5:$J$800,$A$5:$A$800,"&gt;="&amp;DATE(YEAR($A717),MONTH($A717),1),$A$5:$A$800,"&lt;="&amp;$A717)+IF(AND(YEAR($A717)=YEAR(Settings!$B$3),MONTH($A717)=MONTH(Settings!$B$3)),Settings!$B$10,0))</f>
        <v/>
      </c>
      <c r="O717" s="78">
        <f>IF($A717="","",SUMIFS($K$5:$K$800,$A$5:$A$800,"&gt;="&amp;DATE(YEAR($A717),MONTH($A717),1),$A$5:$A$800,"&lt;="&amp;$A717)+IF(AND(YEAR($A717)=YEAR(Settings!$B$3),MONTH($A717)=MONTH(Settings!$B$3)),Settings!$B$11,0))</f>
        <v/>
      </c>
      <c r="P717" s="77">
        <f>IF($A717="","",SUMIFS($H$5:$H$800,$A$5:$A$800,"&gt;="&amp;DATE(YEAR($A717),MONTH($A717),1),$A$5:$A$800,"&lt;="&amp;$A717)+IF(AND(YEAR($A717)=YEAR(Settings!$B$3),MONTH($A717)=MONTH(Settings!$B$3)),Settings!$B$12,0))</f>
        <v/>
      </c>
      <c r="Q717" s="78">
        <f>IF($A717="","",SUMIFS($I$5:$I$800,$A$5:$A$800,"&gt;="&amp;DATE(YEAR($A717),MONTH($A717),1),$A$5:$A$800,"&lt;="&amp;$A717)+IF(AND(YEAR($A717)=YEAR(Settings!$B$3),MONTH($A717)=MONTH(Settings!$B$3)),Settings!$B$13,0))</f>
        <v/>
      </c>
      <c r="R717" s="77">
        <f>IF($A717="","",N717+P717)</f>
        <v/>
      </c>
      <c r="S717" s="78">
        <f>IF($A717="","",O717+Q717)</f>
        <v/>
      </c>
    </row>
    <row r="718">
      <c r="A718" s="67" t="n"/>
      <c r="B718" s="75" t="n"/>
      <c r="C718" s="76" t="n"/>
      <c r="D718" s="75" t="n"/>
      <c r="E718" s="76" t="n"/>
      <c r="F718" s="75" t="n"/>
      <c r="G718" s="76" t="n"/>
      <c r="H718" s="75" t="n"/>
      <c r="I718" s="76" t="n"/>
      <c r="J718" s="77">
        <f>IF($A718="","",B718+D718+F718)</f>
        <v/>
      </c>
      <c r="K718" s="78">
        <f>IF($A718="","",C718+E718+G718)</f>
        <v/>
      </c>
      <c r="L718" s="79">
        <f>IF($A718="","",J718+H718)</f>
        <v/>
      </c>
      <c r="M718" s="80">
        <f>IF($A718="","",K718+I718)</f>
        <v/>
      </c>
      <c r="N718" s="77">
        <f>IF($A718="","",SUMIFS($J$5:$J$800,$A$5:$A$800,"&gt;="&amp;DATE(YEAR($A718),MONTH($A718),1),$A$5:$A$800,"&lt;="&amp;$A718)+IF(AND(YEAR($A718)=YEAR(Settings!$B$3),MONTH($A718)=MONTH(Settings!$B$3)),Settings!$B$10,0))</f>
        <v/>
      </c>
      <c r="O718" s="78">
        <f>IF($A718="","",SUMIFS($K$5:$K$800,$A$5:$A$800,"&gt;="&amp;DATE(YEAR($A718),MONTH($A718),1),$A$5:$A$800,"&lt;="&amp;$A718)+IF(AND(YEAR($A718)=YEAR(Settings!$B$3),MONTH($A718)=MONTH(Settings!$B$3)),Settings!$B$11,0))</f>
        <v/>
      </c>
      <c r="P718" s="77">
        <f>IF($A718="","",SUMIFS($H$5:$H$800,$A$5:$A$800,"&gt;="&amp;DATE(YEAR($A718),MONTH($A718),1),$A$5:$A$800,"&lt;="&amp;$A718)+IF(AND(YEAR($A718)=YEAR(Settings!$B$3),MONTH($A718)=MONTH(Settings!$B$3)),Settings!$B$12,0))</f>
        <v/>
      </c>
      <c r="Q718" s="78">
        <f>IF($A718="","",SUMIFS($I$5:$I$800,$A$5:$A$800,"&gt;="&amp;DATE(YEAR($A718),MONTH($A718),1),$A$5:$A$800,"&lt;="&amp;$A718)+IF(AND(YEAR($A718)=YEAR(Settings!$B$3),MONTH($A718)=MONTH(Settings!$B$3)),Settings!$B$13,0))</f>
        <v/>
      </c>
      <c r="R718" s="77">
        <f>IF($A718="","",N718+P718)</f>
        <v/>
      </c>
      <c r="S718" s="78">
        <f>IF($A718="","",O718+Q718)</f>
        <v/>
      </c>
    </row>
    <row r="719">
      <c r="A719" s="67" t="n"/>
      <c r="B719" s="75" t="n"/>
      <c r="C719" s="76" t="n"/>
      <c r="D719" s="75" t="n"/>
      <c r="E719" s="76" t="n"/>
      <c r="F719" s="75" t="n"/>
      <c r="G719" s="76" t="n"/>
      <c r="H719" s="75" t="n"/>
      <c r="I719" s="76" t="n"/>
      <c r="J719" s="77">
        <f>IF($A719="","",B719+D719+F719)</f>
        <v/>
      </c>
      <c r="K719" s="78">
        <f>IF($A719="","",C719+E719+G719)</f>
        <v/>
      </c>
      <c r="L719" s="79">
        <f>IF($A719="","",J719+H719)</f>
        <v/>
      </c>
      <c r="M719" s="80">
        <f>IF($A719="","",K719+I719)</f>
        <v/>
      </c>
      <c r="N719" s="77">
        <f>IF($A719="","",SUMIFS($J$5:$J$800,$A$5:$A$800,"&gt;="&amp;DATE(YEAR($A719),MONTH($A719),1),$A$5:$A$800,"&lt;="&amp;$A719)+IF(AND(YEAR($A719)=YEAR(Settings!$B$3),MONTH($A719)=MONTH(Settings!$B$3)),Settings!$B$10,0))</f>
        <v/>
      </c>
      <c r="O719" s="78">
        <f>IF($A719="","",SUMIFS($K$5:$K$800,$A$5:$A$800,"&gt;="&amp;DATE(YEAR($A719),MONTH($A719),1),$A$5:$A$800,"&lt;="&amp;$A719)+IF(AND(YEAR($A719)=YEAR(Settings!$B$3),MONTH($A719)=MONTH(Settings!$B$3)),Settings!$B$11,0))</f>
        <v/>
      </c>
      <c r="P719" s="77">
        <f>IF($A719="","",SUMIFS($H$5:$H$800,$A$5:$A$800,"&gt;="&amp;DATE(YEAR($A719),MONTH($A719),1),$A$5:$A$800,"&lt;="&amp;$A719)+IF(AND(YEAR($A719)=YEAR(Settings!$B$3),MONTH($A719)=MONTH(Settings!$B$3)),Settings!$B$12,0))</f>
        <v/>
      </c>
      <c r="Q719" s="78">
        <f>IF($A719="","",SUMIFS($I$5:$I$800,$A$5:$A$800,"&gt;="&amp;DATE(YEAR($A719),MONTH($A719),1),$A$5:$A$800,"&lt;="&amp;$A719)+IF(AND(YEAR($A719)=YEAR(Settings!$B$3),MONTH($A719)=MONTH(Settings!$B$3)),Settings!$B$13,0))</f>
        <v/>
      </c>
      <c r="R719" s="77">
        <f>IF($A719="","",N719+P719)</f>
        <v/>
      </c>
      <c r="S719" s="78">
        <f>IF($A719="","",O719+Q719)</f>
        <v/>
      </c>
    </row>
    <row r="720">
      <c r="A720" s="67" t="n"/>
      <c r="B720" s="75" t="n"/>
      <c r="C720" s="76" t="n"/>
      <c r="D720" s="75" t="n"/>
      <c r="E720" s="76" t="n"/>
      <c r="F720" s="75" t="n"/>
      <c r="G720" s="76" t="n"/>
      <c r="H720" s="75" t="n"/>
      <c r="I720" s="76" t="n"/>
      <c r="J720" s="77">
        <f>IF($A720="","",B720+D720+F720)</f>
        <v/>
      </c>
      <c r="K720" s="78">
        <f>IF($A720="","",C720+E720+G720)</f>
        <v/>
      </c>
      <c r="L720" s="79">
        <f>IF($A720="","",J720+H720)</f>
        <v/>
      </c>
      <c r="M720" s="80">
        <f>IF($A720="","",K720+I720)</f>
        <v/>
      </c>
      <c r="N720" s="77">
        <f>IF($A720="","",SUMIFS($J$5:$J$800,$A$5:$A$800,"&gt;="&amp;DATE(YEAR($A720),MONTH($A720),1),$A$5:$A$800,"&lt;="&amp;$A720)+IF(AND(YEAR($A720)=YEAR(Settings!$B$3),MONTH($A720)=MONTH(Settings!$B$3)),Settings!$B$10,0))</f>
        <v/>
      </c>
      <c r="O720" s="78">
        <f>IF($A720="","",SUMIFS($K$5:$K$800,$A$5:$A$800,"&gt;="&amp;DATE(YEAR($A720),MONTH($A720),1),$A$5:$A$800,"&lt;="&amp;$A720)+IF(AND(YEAR($A720)=YEAR(Settings!$B$3),MONTH($A720)=MONTH(Settings!$B$3)),Settings!$B$11,0))</f>
        <v/>
      </c>
      <c r="P720" s="77">
        <f>IF($A720="","",SUMIFS($H$5:$H$800,$A$5:$A$800,"&gt;="&amp;DATE(YEAR($A720),MONTH($A720),1),$A$5:$A$800,"&lt;="&amp;$A720)+IF(AND(YEAR($A720)=YEAR(Settings!$B$3),MONTH($A720)=MONTH(Settings!$B$3)),Settings!$B$12,0))</f>
        <v/>
      </c>
      <c r="Q720" s="78">
        <f>IF($A720="","",SUMIFS($I$5:$I$800,$A$5:$A$800,"&gt;="&amp;DATE(YEAR($A720),MONTH($A720),1),$A$5:$A$800,"&lt;="&amp;$A720)+IF(AND(YEAR($A720)=YEAR(Settings!$B$3),MONTH($A720)=MONTH(Settings!$B$3)),Settings!$B$13,0))</f>
        <v/>
      </c>
      <c r="R720" s="77">
        <f>IF($A720="","",N720+P720)</f>
        <v/>
      </c>
      <c r="S720" s="78">
        <f>IF($A720="","",O720+Q720)</f>
        <v/>
      </c>
    </row>
    <row r="721">
      <c r="A721" s="67" t="n"/>
      <c r="B721" s="75" t="n"/>
      <c r="C721" s="76" t="n"/>
      <c r="D721" s="75" t="n"/>
      <c r="E721" s="76" t="n"/>
      <c r="F721" s="75" t="n"/>
      <c r="G721" s="76" t="n"/>
      <c r="H721" s="75" t="n"/>
      <c r="I721" s="76" t="n"/>
      <c r="J721" s="77">
        <f>IF($A721="","",B721+D721+F721)</f>
        <v/>
      </c>
      <c r="K721" s="78">
        <f>IF($A721="","",C721+E721+G721)</f>
        <v/>
      </c>
      <c r="L721" s="79">
        <f>IF($A721="","",J721+H721)</f>
        <v/>
      </c>
      <c r="M721" s="80">
        <f>IF($A721="","",K721+I721)</f>
        <v/>
      </c>
      <c r="N721" s="77">
        <f>IF($A721="","",SUMIFS($J$5:$J$800,$A$5:$A$800,"&gt;="&amp;DATE(YEAR($A721),MONTH($A721),1),$A$5:$A$800,"&lt;="&amp;$A721)+IF(AND(YEAR($A721)=YEAR(Settings!$B$3),MONTH($A721)=MONTH(Settings!$B$3)),Settings!$B$10,0))</f>
        <v/>
      </c>
      <c r="O721" s="78">
        <f>IF($A721="","",SUMIFS($K$5:$K$800,$A$5:$A$800,"&gt;="&amp;DATE(YEAR($A721),MONTH($A721),1),$A$5:$A$800,"&lt;="&amp;$A721)+IF(AND(YEAR($A721)=YEAR(Settings!$B$3),MONTH($A721)=MONTH(Settings!$B$3)),Settings!$B$11,0))</f>
        <v/>
      </c>
      <c r="P721" s="77">
        <f>IF($A721="","",SUMIFS($H$5:$H$800,$A$5:$A$800,"&gt;="&amp;DATE(YEAR($A721),MONTH($A721),1),$A$5:$A$800,"&lt;="&amp;$A721)+IF(AND(YEAR($A721)=YEAR(Settings!$B$3),MONTH($A721)=MONTH(Settings!$B$3)),Settings!$B$12,0))</f>
        <v/>
      </c>
      <c r="Q721" s="78">
        <f>IF($A721="","",SUMIFS($I$5:$I$800,$A$5:$A$800,"&gt;="&amp;DATE(YEAR($A721),MONTH($A721),1),$A$5:$A$800,"&lt;="&amp;$A721)+IF(AND(YEAR($A721)=YEAR(Settings!$B$3),MONTH($A721)=MONTH(Settings!$B$3)),Settings!$B$13,0))</f>
        <v/>
      </c>
      <c r="R721" s="77">
        <f>IF($A721="","",N721+P721)</f>
        <v/>
      </c>
      <c r="S721" s="78">
        <f>IF($A721="","",O721+Q721)</f>
        <v/>
      </c>
    </row>
    <row r="722">
      <c r="A722" s="67" t="n"/>
      <c r="B722" s="75" t="n"/>
      <c r="C722" s="76" t="n"/>
      <c r="D722" s="75" t="n"/>
      <c r="E722" s="76" t="n"/>
      <c r="F722" s="75" t="n"/>
      <c r="G722" s="76" t="n"/>
      <c r="H722" s="75" t="n"/>
      <c r="I722" s="76" t="n"/>
      <c r="J722" s="77">
        <f>IF($A722="","",B722+D722+F722)</f>
        <v/>
      </c>
      <c r="K722" s="78">
        <f>IF($A722="","",C722+E722+G722)</f>
        <v/>
      </c>
      <c r="L722" s="79">
        <f>IF($A722="","",J722+H722)</f>
        <v/>
      </c>
      <c r="M722" s="80">
        <f>IF($A722="","",K722+I722)</f>
        <v/>
      </c>
      <c r="N722" s="77">
        <f>IF($A722="","",SUMIFS($J$5:$J$800,$A$5:$A$800,"&gt;="&amp;DATE(YEAR($A722),MONTH($A722),1),$A$5:$A$800,"&lt;="&amp;$A722)+IF(AND(YEAR($A722)=YEAR(Settings!$B$3),MONTH($A722)=MONTH(Settings!$B$3)),Settings!$B$10,0))</f>
        <v/>
      </c>
      <c r="O722" s="78">
        <f>IF($A722="","",SUMIFS($K$5:$K$800,$A$5:$A$800,"&gt;="&amp;DATE(YEAR($A722),MONTH($A722),1),$A$5:$A$800,"&lt;="&amp;$A722)+IF(AND(YEAR($A722)=YEAR(Settings!$B$3),MONTH($A722)=MONTH(Settings!$B$3)),Settings!$B$11,0))</f>
        <v/>
      </c>
      <c r="P722" s="77">
        <f>IF($A722="","",SUMIFS($H$5:$H$800,$A$5:$A$800,"&gt;="&amp;DATE(YEAR($A722),MONTH($A722),1),$A$5:$A$800,"&lt;="&amp;$A722)+IF(AND(YEAR($A722)=YEAR(Settings!$B$3),MONTH($A722)=MONTH(Settings!$B$3)),Settings!$B$12,0))</f>
        <v/>
      </c>
      <c r="Q722" s="78">
        <f>IF($A722="","",SUMIFS($I$5:$I$800,$A$5:$A$800,"&gt;="&amp;DATE(YEAR($A722),MONTH($A722),1),$A$5:$A$800,"&lt;="&amp;$A722)+IF(AND(YEAR($A722)=YEAR(Settings!$B$3),MONTH($A722)=MONTH(Settings!$B$3)),Settings!$B$13,0))</f>
        <v/>
      </c>
      <c r="R722" s="77">
        <f>IF($A722="","",N722+P722)</f>
        <v/>
      </c>
      <c r="S722" s="78">
        <f>IF($A722="","",O722+Q722)</f>
        <v/>
      </c>
    </row>
    <row r="723">
      <c r="A723" s="67" t="n"/>
      <c r="B723" s="75" t="n"/>
      <c r="C723" s="76" t="n"/>
      <c r="D723" s="75" t="n"/>
      <c r="E723" s="76" t="n"/>
      <c r="F723" s="75" t="n"/>
      <c r="G723" s="76" t="n"/>
      <c r="H723" s="75" t="n"/>
      <c r="I723" s="76" t="n"/>
      <c r="J723" s="77">
        <f>IF($A723="","",B723+D723+F723)</f>
        <v/>
      </c>
      <c r="K723" s="78">
        <f>IF($A723="","",C723+E723+G723)</f>
        <v/>
      </c>
      <c r="L723" s="79">
        <f>IF($A723="","",J723+H723)</f>
        <v/>
      </c>
      <c r="M723" s="80">
        <f>IF($A723="","",K723+I723)</f>
        <v/>
      </c>
      <c r="N723" s="77">
        <f>IF($A723="","",SUMIFS($J$5:$J$800,$A$5:$A$800,"&gt;="&amp;DATE(YEAR($A723),MONTH($A723),1),$A$5:$A$800,"&lt;="&amp;$A723)+IF(AND(YEAR($A723)=YEAR(Settings!$B$3),MONTH($A723)=MONTH(Settings!$B$3)),Settings!$B$10,0))</f>
        <v/>
      </c>
      <c r="O723" s="78">
        <f>IF($A723="","",SUMIFS($K$5:$K$800,$A$5:$A$800,"&gt;="&amp;DATE(YEAR($A723),MONTH($A723),1),$A$5:$A$800,"&lt;="&amp;$A723)+IF(AND(YEAR($A723)=YEAR(Settings!$B$3),MONTH($A723)=MONTH(Settings!$B$3)),Settings!$B$11,0))</f>
        <v/>
      </c>
      <c r="P723" s="77">
        <f>IF($A723="","",SUMIFS($H$5:$H$800,$A$5:$A$800,"&gt;="&amp;DATE(YEAR($A723),MONTH($A723),1),$A$5:$A$800,"&lt;="&amp;$A723)+IF(AND(YEAR($A723)=YEAR(Settings!$B$3),MONTH($A723)=MONTH(Settings!$B$3)),Settings!$B$12,0))</f>
        <v/>
      </c>
      <c r="Q723" s="78">
        <f>IF($A723="","",SUMIFS($I$5:$I$800,$A$5:$A$800,"&gt;="&amp;DATE(YEAR($A723),MONTH($A723),1),$A$5:$A$800,"&lt;="&amp;$A723)+IF(AND(YEAR($A723)=YEAR(Settings!$B$3),MONTH($A723)=MONTH(Settings!$B$3)),Settings!$B$13,0))</f>
        <v/>
      </c>
      <c r="R723" s="77">
        <f>IF($A723="","",N723+P723)</f>
        <v/>
      </c>
      <c r="S723" s="78">
        <f>IF($A723="","",O723+Q723)</f>
        <v/>
      </c>
    </row>
    <row r="724">
      <c r="A724" s="67" t="n"/>
      <c r="B724" s="75" t="n"/>
      <c r="C724" s="76" t="n"/>
      <c r="D724" s="75" t="n"/>
      <c r="E724" s="76" t="n"/>
      <c r="F724" s="75" t="n"/>
      <c r="G724" s="76" t="n"/>
      <c r="H724" s="75" t="n"/>
      <c r="I724" s="76" t="n"/>
      <c r="J724" s="77">
        <f>IF($A724="","",B724+D724+F724)</f>
        <v/>
      </c>
      <c r="K724" s="78">
        <f>IF($A724="","",C724+E724+G724)</f>
        <v/>
      </c>
      <c r="L724" s="79">
        <f>IF($A724="","",J724+H724)</f>
        <v/>
      </c>
      <c r="M724" s="80">
        <f>IF($A724="","",K724+I724)</f>
        <v/>
      </c>
      <c r="N724" s="77">
        <f>IF($A724="","",SUMIFS($J$5:$J$800,$A$5:$A$800,"&gt;="&amp;DATE(YEAR($A724),MONTH($A724),1),$A$5:$A$800,"&lt;="&amp;$A724)+IF(AND(YEAR($A724)=YEAR(Settings!$B$3),MONTH($A724)=MONTH(Settings!$B$3)),Settings!$B$10,0))</f>
        <v/>
      </c>
      <c r="O724" s="78">
        <f>IF($A724="","",SUMIFS($K$5:$K$800,$A$5:$A$800,"&gt;="&amp;DATE(YEAR($A724),MONTH($A724),1),$A$5:$A$800,"&lt;="&amp;$A724)+IF(AND(YEAR($A724)=YEAR(Settings!$B$3),MONTH($A724)=MONTH(Settings!$B$3)),Settings!$B$11,0))</f>
        <v/>
      </c>
      <c r="P724" s="77">
        <f>IF($A724="","",SUMIFS($H$5:$H$800,$A$5:$A$800,"&gt;="&amp;DATE(YEAR($A724),MONTH($A724),1),$A$5:$A$800,"&lt;="&amp;$A724)+IF(AND(YEAR($A724)=YEAR(Settings!$B$3),MONTH($A724)=MONTH(Settings!$B$3)),Settings!$B$12,0))</f>
        <v/>
      </c>
      <c r="Q724" s="78">
        <f>IF($A724="","",SUMIFS($I$5:$I$800,$A$5:$A$800,"&gt;="&amp;DATE(YEAR($A724),MONTH($A724),1),$A$5:$A$800,"&lt;="&amp;$A724)+IF(AND(YEAR($A724)=YEAR(Settings!$B$3),MONTH($A724)=MONTH(Settings!$B$3)),Settings!$B$13,0))</f>
        <v/>
      </c>
      <c r="R724" s="77">
        <f>IF($A724="","",N724+P724)</f>
        <v/>
      </c>
      <c r="S724" s="78">
        <f>IF($A724="","",O724+Q724)</f>
        <v/>
      </c>
    </row>
    <row r="725">
      <c r="A725" s="67" t="n"/>
      <c r="B725" s="75" t="n"/>
      <c r="C725" s="76" t="n"/>
      <c r="D725" s="75" t="n"/>
      <c r="E725" s="76" t="n"/>
      <c r="F725" s="75" t="n"/>
      <c r="G725" s="76" t="n"/>
      <c r="H725" s="75" t="n"/>
      <c r="I725" s="76" t="n"/>
      <c r="J725" s="77">
        <f>IF($A725="","",B725+D725+F725)</f>
        <v/>
      </c>
      <c r="K725" s="78">
        <f>IF($A725="","",C725+E725+G725)</f>
        <v/>
      </c>
      <c r="L725" s="79">
        <f>IF($A725="","",J725+H725)</f>
        <v/>
      </c>
      <c r="M725" s="80">
        <f>IF($A725="","",K725+I725)</f>
        <v/>
      </c>
      <c r="N725" s="77">
        <f>IF($A725="","",SUMIFS($J$5:$J$800,$A$5:$A$800,"&gt;="&amp;DATE(YEAR($A725),MONTH($A725),1),$A$5:$A$800,"&lt;="&amp;$A725)+IF(AND(YEAR($A725)=YEAR(Settings!$B$3),MONTH($A725)=MONTH(Settings!$B$3)),Settings!$B$10,0))</f>
        <v/>
      </c>
      <c r="O725" s="78">
        <f>IF($A725="","",SUMIFS($K$5:$K$800,$A$5:$A$800,"&gt;="&amp;DATE(YEAR($A725),MONTH($A725),1),$A$5:$A$800,"&lt;="&amp;$A725)+IF(AND(YEAR($A725)=YEAR(Settings!$B$3),MONTH($A725)=MONTH(Settings!$B$3)),Settings!$B$11,0))</f>
        <v/>
      </c>
      <c r="P725" s="77">
        <f>IF($A725="","",SUMIFS($H$5:$H$800,$A$5:$A$800,"&gt;="&amp;DATE(YEAR($A725),MONTH($A725),1),$A$5:$A$800,"&lt;="&amp;$A725)+IF(AND(YEAR($A725)=YEAR(Settings!$B$3),MONTH($A725)=MONTH(Settings!$B$3)),Settings!$B$12,0))</f>
        <v/>
      </c>
      <c r="Q725" s="78">
        <f>IF($A725="","",SUMIFS($I$5:$I$800,$A$5:$A$800,"&gt;="&amp;DATE(YEAR($A725),MONTH($A725),1),$A$5:$A$800,"&lt;="&amp;$A725)+IF(AND(YEAR($A725)=YEAR(Settings!$B$3),MONTH($A725)=MONTH(Settings!$B$3)),Settings!$B$13,0))</f>
        <v/>
      </c>
      <c r="R725" s="77">
        <f>IF($A725="","",N725+P725)</f>
        <v/>
      </c>
      <c r="S725" s="78">
        <f>IF($A725="","",O725+Q725)</f>
        <v/>
      </c>
    </row>
    <row r="726">
      <c r="A726" s="67" t="n"/>
      <c r="B726" s="75" t="n"/>
      <c r="C726" s="76" t="n"/>
      <c r="D726" s="75" t="n"/>
      <c r="E726" s="76" t="n"/>
      <c r="F726" s="75" t="n"/>
      <c r="G726" s="76" t="n"/>
      <c r="H726" s="75" t="n"/>
      <c r="I726" s="76" t="n"/>
      <c r="J726" s="77">
        <f>IF($A726="","",B726+D726+F726)</f>
        <v/>
      </c>
      <c r="K726" s="78">
        <f>IF($A726="","",C726+E726+G726)</f>
        <v/>
      </c>
      <c r="L726" s="79">
        <f>IF($A726="","",J726+H726)</f>
        <v/>
      </c>
      <c r="M726" s="80">
        <f>IF($A726="","",K726+I726)</f>
        <v/>
      </c>
      <c r="N726" s="77">
        <f>IF($A726="","",SUMIFS($J$5:$J$800,$A$5:$A$800,"&gt;="&amp;DATE(YEAR($A726),MONTH($A726),1),$A$5:$A$800,"&lt;="&amp;$A726)+IF(AND(YEAR($A726)=YEAR(Settings!$B$3),MONTH($A726)=MONTH(Settings!$B$3)),Settings!$B$10,0))</f>
        <v/>
      </c>
      <c r="O726" s="78">
        <f>IF($A726="","",SUMIFS($K$5:$K$800,$A$5:$A$800,"&gt;="&amp;DATE(YEAR($A726),MONTH($A726),1),$A$5:$A$800,"&lt;="&amp;$A726)+IF(AND(YEAR($A726)=YEAR(Settings!$B$3),MONTH($A726)=MONTH(Settings!$B$3)),Settings!$B$11,0))</f>
        <v/>
      </c>
      <c r="P726" s="77">
        <f>IF($A726="","",SUMIFS($H$5:$H$800,$A$5:$A$800,"&gt;="&amp;DATE(YEAR($A726),MONTH($A726),1),$A$5:$A$800,"&lt;="&amp;$A726)+IF(AND(YEAR($A726)=YEAR(Settings!$B$3),MONTH($A726)=MONTH(Settings!$B$3)),Settings!$B$12,0))</f>
        <v/>
      </c>
      <c r="Q726" s="78">
        <f>IF($A726="","",SUMIFS($I$5:$I$800,$A$5:$A$800,"&gt;="&amp;DATE(YEAR($A726),MONTH($A726),1),$A$5:$A$800,"&lt;="&amp;$A726)+IF(AND(YEAR($A726)=YEAR(Settings!$B$3),MONTH($A726)=MONTH(Settings!$B$3)),Settings!$B$13,0))</f>
        <v/>
      </c>
      <c r="R726" s="77">
        <f>IF($A726="","",N726+P726)</f>
        <v/>
      </c>
      <c r="S726" s="78">
        <f>IF($A726="","",O726+Q726)</f>
        <v/>
      </c>
    </row>
    <row r="727">
      <c r="A727" s="67" t="n"/>
      <c r="B727" s="75" t="n"/>
      <c r="C727" s="76" t="n"/>
      <c r="D727" s="75" t="n"/>
      <c r="E727" s="76" t="n"/>
      <c r="F727" s="75" t="n"/>
      <c r="G727" s="76" t="n"/>
      <c r="H727" s="75" t="n"/>
      <c r="I727" s="76" t="n"/>
      <c r="J727" s="77">
        <f>IF($A727="","",B727+D727+F727)</f>
        <v/>
      </c>
      <c r="K727" s="78">
        <f>IF($A727="","",C727+E727+G727)</f>
        <v/>
      </c>
      <c r="L727" s="79">
        <f>IF($A727="","",J727+H727)</f>
        <v/>
      </c>
      <c r="M727" s="80">
        <f>IF($A727="","",K727+I727)</f>
        <v/>
      </c>
      <c r="N727" s="77">
        <f>IF($A727="","",SUMIFS($J$5:$J$800,$A$5:$A$800,"&gt;="&amp;DATE(YEAR($A727),MONTH($A727),1),$A$5:$A$800,"&lt;="&amp;$A727)+IF(AND(YEAR($A727)=YEAR(Settings!$B$3),MONTH($A727)=MONTH(Settings!$B$3)),Settings!$B$10,0))</f>
        <v/>
      </c>
      <c r="O727" s="78">
        <f>IF($A727="","",SUMIFS($K$5:$K$800,$A$5:$A$800,"&gt;="&amp;DATE(YEAR($A727),MONTH($A727),1),$A$5:$A$800,"&lt;="&amp;$A727)+IF(AND(YEAR($A727)=YEAR(Settings!$B$3),MONTH($A727)=MONTH(Settings!$B$3)),Settings!$B$11,0))</f>
        <v/>
      </c>
      <c r="P727" s="77">
        <f>IF($A727="","",SUMIFS($H$5:$H$800,$A$5:$A$800,"&gt;="&amp;DATE(YEAR($A727),MONTH($A727),1),$A$5:$A$800,"&lt;="&amp;$A727)+IF(AND(YEAR($A727)=YEAR(Settings!$B$3),MONTH($A727)=MONTH(Settings!$B$3)),Settings!$B$12,0))</f>
        <v/>
      </c>
      <c r="Q727" s="78">
        <f>IF($A727="","",SUMIFS($I$5:$I$800,$A$5:$A$800,"&gt;="&amp;DATE(YEAR($A727),MONTH($A727),1),$A$5:$A$800,"&lt;="&amp;$A727)+IF(AND(YEAR($A727)=YEAR(Settings!$B$3),MONTH($A727)=MONTH(Settings!$B$3)),Settings!$B$13,0))</f>
        <v/>
      </c>
      <c r="R727" s="77">
        <f>IF($A727="","",N727+P727)</f>
        <v/>
      </c>
      <c r="S727" s="78">
        <f>IF($A727="","",O727+Q727)</f>
        <v/>
      </c>
    </row>
    <row r="728">
      <c r="A728" s="67" t="n"/>
      <c r="B728" s="75" t="n"/>
      <c r="C728" s="76" t="n"/>
      <c r="D728" s="75" t="n"/>
      <c r="E728" s="76" t="n"/>
      <c r="F728" s="75" t="n"/>
      <c r="G728" s="76" t="n"/>
      <c r="H728" s="75" t="n"/>
      <c r="I728" s="76" t="n"/>
      <c r="J728" s="77">
        <f>IF($A728="","",B728+D728+F728)</f>
        <v/>
      </c>
      <c r="K728" s="78">
        <f>IF($A728="","",C728+E728+G728)</f>
        <v/>
      </c>
      <c r="L728" s="79">
        <f>IF($A728="","",J728+H728)</f>
        <v/>
      </c>
      <c r="M728" s="80">
        <f>IF($A728="","",K728+I728)</f>
        <v/>
      </c>
      <c r="N728" s="77">
        <f>IF($A728="","",SUMIFS($J$5:$J$800,$A$5:$A$800,"&gt;="&amp;DATE(YEAR($A728),MONTH($A728),1),$A$5:$A$800,"&lt;="&amp;$A728)+IF(AND(YEAR($A728)=YEAR(Settings!$B$3),MONTH($A728)=MONTH(Settings!$B$3)),Settings!$B$10,0))</f>
        <v/>
      </c>
      <c r="O728" s="78">
        <f>IF($A728="","",SUMIFS($K$5:$K$800,$A$5:$A$800,"&gt;="&amp;DATE(YEAR($A728),MONTH($A728),1),$A$5:$A$800,"&lt;="&amp;$A728)+IF(AND(YEAR($A728)=YEAR(Settings!$B$3),MONTH($A728)=MONTH(Settings!$B$3)),Settings!$B$11,0))</f>
        <v/>
      </c>
      <c r="P728" s="77">
        <f>IF($A728="","",SUMIFS($H$5:$H$800,$A$5:$A$800,"&gt;="&amp;DATE(YEAR($A728),MONTH($A728),1),$A$5:$A$800,"&lt;="&amp;$A728)+IF(AND(YEAR($A728)=YEAR(Settings!$B$3),MONTH($A728)=MONTH(Settings!$B$3)),Settings!$B$12,0))</f>
        <v/>
      </c>
      <c r="Q728" s="78">
        <f>IF($A728="","",SUMIFS($I$5:$I$800,$A$5:$A$800,"&gt;="&amp;DATE(YEAR($A728),MONTH($A728),1),$A$5:$A$800,"&lt;="&amp;$A728)+IF(AND(YEAR($A728)=YEAR(Settings!$B$3),MONTH($A728)=MONTH(Settings!$B$3)),Settings!$B$13,0))</f>
        <v/>
      </c>
      <c r="R728" s="77">
        <f>IF($A728="","",N728+P728)</f>
        <v/>
      </c>
      <c r="S728" s="78">
        <f>IF($A728="","",O728+Q728)</f>
        <v/>
      </c>
    </row>
    <row r="729">
      <c r="A729" s="67" t="n"/>
      <c r="B729" s="75" t="n"/>
      <c r="C729" s="76" t="n"/>
      <c r="D729" s="75" t="n"/>
      <c r="E729" s="76" t="n"/>
      <c r="F729" s="75" t="n"/>
      <c r="G729" s="76" t="n"/>
      <c r="H729" s="75" t="n"/>
      <c r="I729" s="76" t="n"/>
      <c r="J729" s="77">
        <f>IF($A729="","",B729+D729+F729)</f>
        <v/>
      </c>
      <c r="K729" s="78">
        <f>IF($A729="","",C729+E729+G729)</f>
        <v/>
      </c>
      <c r="L729" s="79">
        <f>IF($A729="","",J729+H729)</f>
        <v/>
      </c>
      <c r="M729" s="80">
        <f>IF($A729="","",K729+I729)</f>
        <v/>
      </c>
      <c r="N729" s="77">
        <f>IF($A729="","",SUMIFS($J$5:$J$800,$A$5:$A$800,"&gt;="&amp;DATE(YEAR($A729),MONTH($A729),1),$A$5:$A$800,"&lt;="&amp;$A729)+IF(AND(YEAR($A729)=YEAR(Settings!$B$3),MONTH($A729)=MONTH(Settings!$B$3)),Settings!$B$10,0))</f>
        <v/>
      </c>
      <c r="O729" s="78">
        <f>IF($A729="","",SUMIFS($K$5:$K$800,$A$5:$A$800,"&gt;="&amp;DATE(YEAR($A729),MONTH($A729),1),$A$5:$A$800,"&lt;="&amp;$A729)+IF(AND(YEAR($A729)=YEAR(Settings!$B$3),MONTH($A729)=MONTH(Settings!$B$3)),Settings!$B$11,0))</f>
        <v/>
      </c>
      <c r="P729" s="77">
        <f>IF($A729="","",SUMIFS($H$5:$H$800,$A$5:$A$800,"&gt;="&amp;DATE(YEAR($A729),MONTH($A729),1),$A$5:$A$800,"&lt;="&amp;$A729)+IF(AND(YEAR($A729)=YEAR(Settings!$B$3),MONTH($A729)=MONTH(Settings!$B$3)),Settings!$B$12,0))</f>
        <v/>
      </c>
      <c r="Q729" s="78">
        <f>IF($A729="","",SUMIFS($I$5:$I$800,$A$5:$A$800,"&gt;="&amp;DATE(YEAR($A729),MONTH($A729),1),$A$5:$A$800,"&lt;="&amp;$A729)+IF(AND(YEAR($A729)=YEAR(Settings!$B$3),MONTH($A729)=MONTH(Settings!$B$3)),Settings!$B$13,0))</f>
        <v/>
      </c>
      <c r="R729" s="77">
        <f>IF($A729="","",N729+P729)</f>
        <v/>
      </c>
      <c r="S729" s="78">
        <f>IF($A729="","",O729+Q729)</f>
        <v/>
      </c>
    </row>
    <row r="730">
      <c r="A730" s="67" t="n"/>
      <c r="B730" s="75" t="n"/>
      <c r="C730" s="76" t="n"/>
      <c r="D730" s="75" t="n"/>
      <c r="E730" s="76" t="n"/>
      <c r="F730" s="75" t="n"/>
      <c r="G730" s="76" t="n"/>
      <c r="H730" s="75" t="n"/>
      <c r="I730" s="76" t="n"/>
      <c r="J730" s="77">
        <f>IF($A730="","",B730+D730+F730)</f>
        <v/>
      </c>
      <c r="K730" s="78">
        <f>IF($A730="","",C730+E730+G730)</f>
        <v/>
      </c>
      <c r="L730" s="79">
        <f>IF($A730="","",J730+H730)</f>
        <v/>
      </c>
      <c r="M730" s="80">
        <f>IF($A730="","",K730+I730)</f>
        <v/>
      </c>
      <c r="N730" s="77">
        <f>IF($A730="","",SUMIFS($J$5:$J$800,$A$5:$A$800,"&gt;="&amp;DATE(YEAR($A730),MONTH($A730),1),$A$5:$A$800,"&lt;="&amp;$A730)+IF(AND(YEAR($A730)=YEAR(Settings!$B$3),MONTH($A730)=MONTH(Settings!$B$3)),Settings!$B$10,0))</f>
        <v/>
      </c>
      <c r="O730" s="78">
        <f>IF($A730="","",SUMIFS($K$5:$K$800,$A$5:$A$800,"&gt;="&amp;DATE(YEAR($A730),MONTH($A730),1),$A$5:$A$800,"&lt;="&amp;$A730)+IF(AND(YEAR($A730)=YEAR(Settings!$B$3),MONTH($A730)=MONTH(Settings!$B$3)),Settings!$B$11,0))</f>
        <v/>
      </c>
      <c r="P730" s="77">
        <f>IF($A730="","",SUMIFS($H$5:$H$800,$A$5:$A$800,"&gt;="&amp;DATE(YEAR($A730),MONTH($A730),1),$A$5:$A$800,"&lt;="&amp;$A730)+IF(AND(YEAR($A730)=YEAR(Settings!$B$3),MONTH($A730)=MONTH(Settings!$B$3)),Settings!$B$12,0))</f>
        <v/>
      </c>
      <c r="Q730" s="78">
        <f>IF($A730="","",SUMIFS($I$5:$I$800,$A$5:$A$800,"&gt;="&amp;DATE(YEAR($A730),MONTH($A730),1),$A$5:$A$800,"&lt;="&amp;$A730)+IF(AND(YEAR($A730)=YEAR(Settings!$B$3),MONTH($A730)=MONTH(Settings!$B$3)),Settings!$B$13,0))</f>
        <v/>
      </c>
      <c r="R730" s="77">
        <f>IF($A730="","",N730+P730)</f>
        <v/>
      </c>
      <c r="S730" s="78">
        <f>IF($A730="","",O730+Q730)</f>
        <v/>
      </c>
    </row>
    <row r="731">
      <c r="A731" s="67" t="n"/>
      <c r="B731" s="75" t="n"/>
      <c r="C731" s="76" t="n"/>
      <c r="D731" s="75" t="n"/>
      <c r="E731" s="76" t="n"/>
      <c r="F731" s="75" t="n"/>
      <c r="G731" s="76" t="n"/>
      <c r="H731" s="75" t="n"/>
      <c r="I731" s="76" t="n"/>
      <c r="J731" s="77">
        <f>IF($A731="","",B731+D731+F731)</f>
        <v/>
      </c>
      <c r="K731" s="78">
        <f>IF($A731="","",C731+E731+G731)</f>
        <v/>
      </c>
      <c r="L731" s="79">
        <f>IF($A731="","",J731+H731)</f>
        <v/>
      </c>
      <c r="M731" s="80">
        <f>IF($A731="","",K731+I731)</f>
        <v/>
      </c>
      <c r="N731" s="77">
        <f>IF($A731="","",SUMIFS($J$5:$J$800,$A$5:$A$800,"&gt;="&amp;DATE(YEAR($A731),MONTH($A731),1),$A$5:$A$800,"&lt;="&amp;$A731)+IF(AND(YEAR($A731)=YEAR(Settings!$B$3),MONTH($A731)=MONTH(Settings!$B$3)),Settings!$B$10,0))</f>
        <v/>
      </c>
      <c r="O731" s="78">
        <f>IF($A731="","",SUMIFS($K$5:$K$800,$A$5:$A$800,"&gt;="&amp;DATE(YEAR($A731),MONTH($A731),1),$A$5:$A$800,"&lt;="&amp;$A731)+IF(AND(YEAR($A731)=YEAR(Settings!$B$3),MONTH($A731)=MONTH(Settings!$B$3)),Settings!$B$11,0))</f>
        <v/>
      </c>
      <c r="P731" s="77">
        <f>IF($A731="","",SUMIFS($H$5:$H$800,$A$5:$A$800,"&gt;="&amp;DATE(YEAR($A731),MONTH($A731),1),$A$5:$A$800,"&lt;="&amp;$A731)+IF(AND(YEAR($A731)=YEAR(Settings!$B$3),MONTH($A731)=MONTH(Settings!$B$3)),Settings!$B$12,0))</f>
        <v/>
      </c>
      <c r="Q731" s="78">
        <f>IF($A731="","",SUMIFS($I$5:$I$800,$A$5:$A$800,"&gt;="&amp;DATE(YEAR($A731),MONTH($A731),1),$A$5:$A$800,"&lt;="&amp;$A731)+IF(AND(YEAR($A731)=YEAR(Settings!$B$3),MONTH($A731)=MONTH(Settings!$B$3)),Settings!$B$13,0))</f>
        <v/>
      </c>
      <c r="R731" s="77">
        <f>IF($A731="","",N731+P731)</f>
        <v/>
      </c>
      <c r="S731" s="78">
        <f>IF($A731="","",O731+Q731)</f>
        <v/>
      </c>
    </row>
    <row r="732">
      <c r="A732" s="67" t="n"/>
      <c r="B732" s="75" t="n"/>
      <c r="C732" s="76" t="n"/>
      <c r="D732" s="75" t="n"/>
      <c r="E732" s="76" t="n"/>
      <c r="F732" s="75" t="n"/>
      <c r="G732" s="76" t="n"/>
      <c r="H732" s="75" t="n"/>
      <c r="I732" s="76" t="n"/>
      <c r="J732" s="77">
        <f>IF($A732="","",B732+D732+F732)</f>
        <v/>
      </c>
      <c r="K732" s="78">
        <f>IF($A732="","",C732+E732+G732)</f>
        <v/>
      </c>
      <c r="L732" s="79">
        <f>IF($A732="","",J732+H732)</f>
        <v/>
      </c>
      <c r="M732" s="80">
        <f>IF($A732="","",K732+I732)</f>
        <v/>
      </c>
      <c r="N732" s="77">
        <f>IF($A732="","",SUMIFS($J$5:$J$800,$A$5:$A$800,"&gt;="&amp;DATE(YEAR($A732),MONTH($A732),1),$A$5:$A$800,"&lt;="&amp;$A732)+IF(AND(YEAR($A732)=YEAR(Settings!$B$3),MONTH($A732)=MONTH(Settings!$B$3)),Settings!$B$10,0))</f>
        <v/>
      </c>
      <c r="O732" s="78">
        <f>IF($A732="","",SUMIFS($K$5:$K$800,$A$5:$A$800,"&gt;="&amp;DATE(YEAR($A732),MONTH($A732),1),$A$5:$A$800,"&lt;="&amp;$A732)+IF(AND(YEAR($A732)=YEAR(Settings!$B$3),MONTH($A732)=MONTH(Settings!$B$3)),Settings!$B$11,0))</f>
        <v/>
      </c>
      <c r="P732" s="77">
        <f>IF($A732="","",SUMIFS($H$5:$H$800,$A$5:$A$800,"&gt;="&amp;DATE(YEAR($A732),MONTH($A732),1),$A$5:$A$800,"&lt;="&amp;$A732)+IF(AND(YEAR($A732)=YEAR(Settings!$B$3),MONTH($A732)=MONTH(Settings!$B$3)),Settings!$B$12,0))</f>
        <v/>
      </c>
      <c r="Q732" s="78">
        <f>IF($A732="","",SUMIFS($I$5:$I$800,$A$5:$A$800,"&gt;="&amp;DATE(YEAR($A732),MONTH($A732),1),$A$5:$A$800,"&lt;="&amp;$A732)+IF(AND(YEAR($A732)=YEAR(Settings!$B$3),MONTH($A732)=MONTH(Settings!$B$3)),Settings!$B$13,0))</f>
        <v/>
      </c>
      <c r="R732" s="77">
        <f>IF($A732="","",N732+P732)</f>
        <v/>
      </c>
      <c r="S732" s="78">
        <f>IF($A732="","",O732+Q732)</f>
        <v/>
      </c>
    </row>
    <row r="733">
      <c r="A733" s="67" t="n"/>
      <c r="B733" s="75" t="n"/>
      <c r="C733" s="76" t="n"/>
      <c r="D733" s="75" t="n"/>
      <c r="E733" s="76" t="n"/>
      <c r="F733" s="75" t="n"/>
      <c r="G733" s="76" t="n"/>
      <c r="H733" s="75" t="n"/>
      <c r="I733" s="76" t="n"/>
      <c r="J733" s="77">
        <f>IF($A733="","",B733+D733+F733)</f>
        <v/>
      </c>
      <c r="K733" s="78">
        <f>IF($A733="","",C733+E733+G733)</f>
        <v/>
      </c>
      <c r="L733" s="79">
        <f>IF($A733="","",J733+H733)</f>
        <v/>
      </c>
      <c r="M733" s="80">
        <f>IF($A733="","",K733+I733)</f>
        <v/>
      </c>
      <c r="N733" s="77">
        <f>IF($A733="","",SUMIFS($J$5:$J$800,$A$5:$A$800,"&gt;="&amp;DATE(YEAR($A733),MONTH($A733),1),$A$5:$A$800,"&lt;="&amp;$A733)+IF(AND(YEAR($A733)=YEAR(Settings!$B$3),MONTH($A733)=MONTH(Settings!$B$3)),Settings!$B$10,0))</f>
        <v/>
      </c>
      <c r="O733" s="78">
        <f>IF($A733="","",SUMIFS($K$5:$K$800,$A$5:$A$800,"&gt;="&amp;DATE(YEAR($A733),MONTH($A733),1),$A$5:$A$800,"&lt;="&amp;$A733)+IF(AND(YEAR($A733)=YEAR(Settings!$B$3),MONTH($A733)=MONTH(Settings!$B$3)),Settings!$B$11,0))</f>
        <v/>
      </c>
      <c r="P733" s="77">
        <f>IF($A733="","",SUMIFS($H$5:$H$800,$A$5:$A$800,"&gt;="&amp;DATE(YEAR($A733),MONTH($A733),1),$A$5:$A$800,"&lt;="&amp;$A733)+IF(AND(YEAR($A733)=YEAR(Settings!$B$3),MONTH($A733)=MONTH(Settings!$B$3)),Settings!$B$12,0))</f>
        <v/>
      </c>
      <c r="Q733" s="78">
        <f>IF($A733="","",SUMIFS($I$5:$I$800,$A$5:$A$800,"&gt;="&amp;DATE(YEAR($A733),MONTH($A733),1),$A$5:$A$800,"&lt;="&amp;$A733)+IF(AND(YEAR($A733)=YEAR(Settings!$B$3),MONTH($A733)=MONTH(Settings!$B$3)),Settings!$B$13,0))</f>
        <v/>
      </c>
      <c r="R733" s="77">
        <f>IF($A733="","",N733+P733)</f>
        <v/>
      </c>
      <c r="S733" s="78">
        <f>IF($A733="","",O733+Q733)</f>
        <v/>
      </c>
    </row>
    <row r="734">
      <c r="A734" s="67" t="n"/>
      <c r="B734" s="75" t="n"/>
      <c r="C734" s="76" t="n"/>
      <c r="D734" s="75" t="n"/>
      <c r="E734" s="76" t="n"/>
      <c r="F734" s="75" t="n"/>
      <c r="G734" s="76" t="n"/>
      <c r="H734" s="75" t="n"/>
      <c r="I734" s="76" t="n"/>
      <c r="J734" s="77">
        <f>IF($A734="","",B734+D734+F734)</f>
        <v/>
      </c>
      <c r="K734" s="78">
        <f>IF($A734="","",C734+E734+G734)</f>
        <v/>
      </c>
      <c r="L734" s="79">
        <f>IF($A734="","",J734+H734)</f>
        <v/>
      </c>
      <c r="M734" s="80">
        <f>IF($A734="","",K734+I734)</f>
        <v/>
      </c>
      <c r="N734" s="77">
        <f>IF($A734="","",SUMIFS($J$5:$J$800,$A$5:$A$800,"&gt;="&amp;DATE(YEAR($A734),MONTH($A734),1),$A$5:$A$800,"&lt;="&amp;$A734)+IF(AND(YEAR($A734)=YEAR(Settings!$B$3),MONTH($A734)=MONTH(Settings!$B$3)),Settings!$B$10,0))</f>
        <v/>
      </c>
      <c r="O734" s="78">
        <f>IF($A734="","",SUMIFS($K$5:$K$800,$A$5:$A$800,"&gt;="&amp;DATE(YEAR($A734),MONTH($A734),1),$A$5:$A$800,"&lt;="&amp;$A734)+IF(AND(YEAR($A734)=YEAR(Settings!$B$3),MONTH($A734)=MONTH(Settings!$B$3)),Settings!$B$11,0))</f>
        <v/>
      </c>
      <c r="P734" s="77">
        <f>IF($A734="","",SUMIFS($H$5:$H$800,$A$5:$A$800,"&gt;="&amp;DATE(YEAR($A734),MONTH($A734),1),$A$5:$A$800,"&lt;="&amp;$A734)+IF(AND(YEAR($A734)=YEAR(Settings!$B$3),MONTH($A734)=MONTH(Settings!$B$3)),Settings!$B$12,0))</f>
        <v/>
      </c>
      <c r="Q734" s="78">
        <f>IF($A734="","",SUMIFS($I$5:$I$800,$A$5:$A$800,"&gt;="&amp;DATE(YEAR($A734),MONTH($A734),1),$A$5:$A$800,"&lt;="&amp;$A734)+IF(AND(YEAR($A734)=YEAR(Settings!$B$3),MONTH($A734)=MONTH(Settings!$B$3)),Settings!$B$13,0))</f>
        <v/>
      </c>
      <c r="R734" s="77">
        <f>IF($A734="","",N734+P734)</f>
        <v/>
      </c>
      <c r="S734" s="78">
        <f>IF($A734="","",O734+Q734)</f>
        <v/>
      </c>
    </row>
    <row r="735">
      <c r="A735" s="67" t="n"/>
      <c r="B735" s="75" t="n"/>
      <c r="C735" s="76" t="n"/>
      <c r="D735" s="75" t="n"/>
      <c r="E735" s="76" t="n"/>
      <c r="F735" s="75" t="n"/>
      <c r="G735" s="76" t="n"/>
      <c r="H735" s="75" t="n"/>
      <c r="I735" s="76" t="n"/>
      <c r="J735" s="77">
        <f>IF($A735="","",B735+D735+F735)</f>
        <v/>
      </c>
      <c r="K735" s="78">
        <f>IF($A735="","",C735+E735+G735)</f>
        <v/>
      </c>
      <c r="L735" s="79">
        <f>IF($A735="","",J735+H735)</f>
        <v/>
      </c>
      <c r="M735" s="80">
        <f>IF($A735="","",K735+I735)</f>
        <v/>
      </c>
      <c r="N735" s="77">
        <f>IF($A735="","",SUMIFS($J$5:$J$800,$A$5:$A$800,"&gt;="&amp;DATE(YEAR($A735),MONTH($A735),1),$A$5:$A$800,"&lt;="&amp;$A735)+IF(AND(YEAR($A735)=YEAR(Settings!$B$3),MONTH($A735)=MONTH(Settings!$B$3)),Settings!$B$10,0))</f>
        <v/>
      </c>
      <c r="O735" s="78">
        <f>IF($A735="","",SUMIFS($K$5:$K$800,$A$5:$A$800,"&gt;="&amp;DATE(YEAR($A735),MONTH($A735),1),$A$5:$A$800,"&lt;="&amp;$A735)+IF(AND(YEAR($A735)=YEAR(Settings!$B$3),MONTH($A735)=MONTH(Settings!$B$3)),Settings!$B$11,0))</f>
        <v/>
      </c>
      <c r="P735" s="77">
        <f>IF($A735="","",SUMIFS($H$5:$H$800,$A$5:$A$800,"&gt;="&amp;DATE(YEAR($A735),MONTH($A735),1),$A$5:$A$800,"&lt;="&amp;$A735)+IF(AND(YEAR($A735)=YEAR(Settings!$B$3),MONTH($A735)=MONTH(Settings!$B$3)),Settings!$B$12,0))</f>
        <v/>
      </c>
      <c r="Q735" s="78">
        <f>IF($A735="","",SUMIFS($I$5:$I$800,$A$5:$A$800,"&gt;="&amp;DATE(YEAR($A735),MONTH($A735),1),$A$5:$A$800,"&lt;="&amp;$A735)+IF(AND(YEAR($A735)=YEAR(Settings!$B$3),MONTH($A735)=MONTH(Settings!$B$3)),Settings!$B$13,0))</f>
        <v/>
      </c>
      <c r="R735" s="77">
        <f>IF($A735="","",N735+P735)</f>
        <v/>
      </c>
      <c r="S735" s="78">
        <f>IF($A735="","",O735+Q735)</f>
        <v/>
      </c>
    </row>
    <row r="736">
      <c r="A736" s="67" t="n"/>
      <c r="B736" s="75" t="n"/>
      <c r="C736" s="76" t="n"/>
      <c r="D736" s="75" t="n"/>
      <c r="E736" s="76" t="n"/>
      <c r="F736" s="75" t="n"/>
      <c r="G736" s="76" t="n"/>
      <c r="H736" s="75" t="n"/>
      <c r="I736" s="76" t="n"/>
      <c r="J736" s="77">
        <f>IF($A736="","",B736+D736+F736)</f>
        <v/>
      </c>
      <c r="K736" s="78">
        <f>IF($A736="","",C736+E736+G736)</f>
        <v/>
      </c>
      <c r="L736" s="79">
        <f>IF($A736="","",J736+H736)</f>
        <v/>
      </c>
      <c r="M736" s="80">
        <f>IF($A736="","",K736+I736)</f>
        <v/>
      </c>
      <c r="N736" s="77">
        <f>IF($A736="","",SUMIFS($J$5:$J$800,$A$5:$A$800,"&gt;="&amp;DATE(YEAR($A736),MONTH($A736),1),$A$5:$A$800,"&lt;="&amp;$A736)+IF(AND(YEAR($A736)=YEAR(Settings!$B$3),MONTH($A736)=MONTH(Settings!$B$3)),Settings!$B$10,0))</f>
        <v/>
      </c>
      <c r="O736" s="78">
        <f>IF($A736="","",SUMIFS($K$5:$K$800,$A$5:$A$800,"&gt;="&amp;DATE(YEAR($A736),MONTH($A736),1),$A$5:$A$800,"&lt;="&amp;$A736)+IF(AND(YEAR($A736)=YEAR(Settings!$B$3),MONTH($A736)=MONTH(Settings!$B$3)),Settings!$B$11,0))</f>
        <v/>
      </c>
      <c r="P736" s="77">
        <f>IF($A736="","",SUMIFS($H$5:$H$800,$A$5:$A$800,"&gt;="&amp;DATE(YEAR($A736),MONTH($A736),1),$A$5:$A$800,"&lt;="&amp;$A736)+IF(AND(YEAR($A736)=YEAR(Settings!$B$3),MONTH($A736)=MONTH(Settings!$B$3)),Settings!$B$12,0))</f>
        <v/>
      </c>
      <c r="Q736" s="78">
        <f>IF($A736="","",SUMIFS($I$5:$I$800,$A$5:$A$800,"&gt;="&amp;DATE(YEAR($A736),MONTH($A736),1),$A$5:$A$800,"&lt;="&amp;$A736)+IF(AND(YEAR($A736)=YEAR(Settings!$B$3),MONTH($A736)=MONTH(Settings!$B$3)),Settings!$B$13,0))</f>
        <v/>
      </c>
      <c r="R736" s="77">
        <f>IF($A736="","",N736+P736)</f>
        <v/>
      </c>
      <c r="S736" s="78">
        <f>IF($A736="","",O736+Q736)</f>
        <v/>
      </c>
    </row>
    <row r="737">
      <c r="A737" s="67" t="n"/>
      <c r="B737" s="75" t="n"/>
      <c r="C737" s="76" t="n"/>
      <c r="D737" s="75" t="n"/>
      <c r="E737" s="76" t="n"/>
      <c r="F737" s="75" t="n"/>
      <c r="G737" s="76" t="n"/>
      <c r="H737" s="75" t="n"/>
      <c r="I737" s="76" t="n"/>
      <c r="J737" s="77">
        <f>IF($A737="","",B737+D737+F737)</f>
        <v/>
      </c>
      <c r="K737" s="78">
        <f>IF($A737="","",C737+E737+G737)</f>
        <v/>
      </c>
      <c r="L737" s="79">
        <f>IF($A737="","",J737+H737)</f>
        <v/>
      </c>
      <c r="M737" s="80">
        <f>IF($A737="","",K737+I737)</f>
        <v/>
      </c>
      <c r="N737" s="77">
        <f>IF($A737="","",SUMIFS($J$5:$J$800,$A$5:$A$800,"&gt;="&amp;DATE(YEAR($A737),MONTH($A737),1),$A$5:$A$800,"&lt;="&amp;$A737)+IF(AND(YEAR($A737)=YEAR(Settings!$B$3),MONTH($A737)=MONTH(Settings!$B$3)),Settings!$B$10,0))</f>
        <v/>
      </c>
      <c r="O737" s="78">
        <f>IF($A737="","",SUMIFS($K$5:$K$800,$A$5:$A$800,"&gt;="&amp;DATE(YEAR($A737),MONTH($A737),1),$A$5:$A$800,"&lt;="&amp;$A737)+IF(AND(YEAR($A737)=YEAR(Settings!$B$3),MONTH($A737)=MONTH(Settings!$B$3)),Settings!$B$11,0))</f>
        <v/>
      </c>
      <c r="P737" s="77">
        <f>IF($A737="","",SUMIFS($H$5:$H$800,$A$5:$A$800,"&gt;="&amp;DATE(YEAR($A737),MONTH($A737),1),$A$5:$A$800,"&lt;="&amp;$A737)+IF(AND(YEAR($A737)=YEAR(Settings!$B$3),MONTH($A737)=MONTH(Settings!$B$3)),Settings!$B$12,0))</f>
        <v/>
      </c>
      <c r="Q737" s="78">
        <f>IF($A737="","",SUMIFS($I$5:$I$800,$A$5:$A$800,"&gt;="&amp;DATE(YEAR($A737),MONTH($A737),1),$A$5:$A$800,"&lt;="&amp;$A737)+IF(AND(YEAR($A737)=YEAR(Settings!$B$3),MONTH($A737)=MONTH(Settings!$B$3)),Settings!$B$13,0))</f>
        <v/>
      </c>
      <c r="R737" s="77">
        <f>IF($A737="","",N737+P737)</f>
        <v/>
      </c>
      <c r="S737" s="78">
        <f>IF($A737="","",O737+Q737)</f>
        <v/>
      </c>
    </row>
    <row r="738">
      <c r="A738" s="67" t="n"/>
      <c r="B738" s="75" t="n"/>
      <c r="C738" s="76" t="n"/>
      <c r="D738" s="75" t="n"/>
      <c r="E738" s="76" t="n"/>
      <c r="F738" s="75" t="n"/>
      <c r="G738" s="76" t="n"/>
      <c r="H738" s="75" t="n"/>
      <c r="I738" s="76" t="n"/>
      <c r="J738" s="77">
        <f>IF($A738="","",B738+D738+F738)</f>
        <v/>
      </c>
      <c r="K738" s="78">
        <f>IF($A738="","",C738+E738+G738)</f>
        <v/>
      </c>
      <c r="L738" s="79">
        <f>IF($A738="","",J738+H738)</f>
        <v/>
      </c>
      <c r="M738" s="80">
        <f>IF($A738="","",K738+I738)</f>
        <v/>
      </c>
      <c r="N738" s="77">
        <f>IF($A738="","",SUMIFS($J$5:$J$800,$A$5:$A$800,"&gt;="&amp;DATE(YEAR($A738),MONTH($A738),1),$A$5:$A$800,"&lt;="&amp;$A738)+IF(AND(YEAR($A738)=YEAR(Settings!$B$3),MONTH($A738)=MONTH(Settings!$B$3)),Settings!$B$10,0))</f>
        <v/>
      </c>
      <c r="O738" s="78">
        <f>IF($A738="","",SUMIFS($K$5:$K$800,$A$5:$A$800,"&gt;="&amp;DATE(YEAR($A738),MONTH($A738),1),$A$5:$A$800,"&lt;="&amp;$A738)+IF(AND(YEAR($A738)=YEAR(Settings!$B$3),MONTH($A738)=MONTH(Settings!$B$3)),Settings!$B$11,0))</f>
        <v/>
      </c>
      <c r="P738" s="77">
        <f>IF($A738="","",SUMIFS($H$5:$H$800,$A$5:$A$800,"&gt;="&amp;DATE(YEAR($A738),MONTH($A738),1),$A$5:$A$800,"&lt;="&amp;$A738)+IF(AND(YEAR($A738)=YEAR(Settings!$B$3),MONTH($A738)=MONTH(Settings!$B$3)),Settings!$B$12,0))</f>
        <v/>
      </c>
      <c r="Q738" s="78">
        <f>IF($A738="","",SUMIFS($I$5:$I$800,$A$5:$A$800,"&gt;="&amp;DATE(YEAR($A738),MONTH($A738),1),$A$5:$A$800,"&lt;="&amp;$A738)+IF(AND(YEAR($A738)=YEAR(Settings!$B$3),MONTH($A738)=MONTH(Settings!$B$3)),Settings!$B$13,0))</f>
        <v/>
      </c>
      <c r="R738" s="77">
        <f>IF($A738="","",N738+P738)</f>
        <v/>
      </c>
      <c r="S738" s="78">
        <f>IF($A738="","",O738+Q738)</f>
        <v/>
      </c>
    </row>
    <row r="739">
      <c r="A739" s="67" t="n"/>
      <c r="B739" s="75" t="n"/>
      <c r="C739" s="76" t="n"/>
      <c r="D739" s="75" t="n"/>
      <c r="E739" s="76" t="n"/>
      <c r="F739" s="75" t="n"/>
      <c r="G739" s="76" t="n"/>
      <c r="H739" s="75" t="n"/>
      <c r="I739" s="76" t="n"/>
      <c r="J739" s="77">
        <f>IF($A739="","",B739+D739+F739)</f>
        <v/>
      </c>
      <c r="K739" s="78">
        <f>IF($A739="","",C739+E739+G739)</f>
        <v/>
      </c>
      <c r="L739" s="79">
        <f>IF($A739="","",J739+H739)</f>
        <v/>
      </c>
      <c r="M739" s="80">
        <f>IF($A739="","",K739+I739)</f>
        <v/>
      </c>
      <c r="N739" s="77">
        <f>IF($A739="","",SUMIFS($J$5:$J$800,$A$5:$A$800,"&gt;="&amp;DATE(YEAR($A739),MONTH($A739),1),$A$5:$A$800,"&lt;="&amp;$A739)+IF(AND(YEAR($A739)=YEAR(Settings!$B$3),MONTH($A739)=MONTH(Settings!$B$3)),Settings!$B$10,0))</f>
        <v/>
      </c>
      <c r="O739" s="78">
        <f>IF($A739="","",SUMIFS($K$5:$K$800,$A$5:$A$800,"&gt;="&amp;DATE(YEAR($A739),MONTH($A739),1),$A$5:$A$800,"&lt;="&amp;$A739)+IF(AND(YEAR($A739)=YEAR(Settings!$B$3),MONTH($A739)=MONTH(Settings!$B$3)),Settings!$B$11,0))</f>
        <v/>
      </c>
      <c r="P739" s="77">
        <f>IF($A739="","",SUMIFS($H$5:$H$800,$A$5:$A$800,"&gt;="&amp;DATE(YEAR($A739),MONTH($A739),1),$A$5:$A$800,"&lt;="&amp;$A739)+IF(AND(YEAR($A739)=YEAR(Settings!$B$3),MONTH($A739)=MONTH(Settings!$B$3)),Settings!$B$12,0))</f>
        <v/>
      </c>
      <c r="Q739" s="78">
        <f>IF($A739="","",SUMIFS($I$5:$I$800,$A$5:$A$800,"&gt;="&amp;DATE(YEAR($A739),MONTH($A739),1),$A$5:$A$800,"&lt;="&amp;$A739)+IF(AND(YEAR($A739)=YEAR(Settings!$B$3),MONTH($A739)=MONTH(Settings!$B$3)),Settings!$B$13,0))</f>
        <v/>
      </c>
      <c r="R739" s="77">
        <f>IF($A739="","",N739+P739)</f>
        <v/>
      </c>
      <c r="S739" s="78">
        <f>IF($A739="","",O739+Q739)</f>
        <v/>
      </c>
    </row>
    <row r="740">
      <c r="A740" s="67" t="n"/>
      <c r="B740" s="75" t="n"/>
      <c r="C740" s="76" t="n"/>
      <c r="D740" s="75" t="n"/>
      <c r="E740" s="76" t="n"/>
      <c r="F740" s="75" t="n"/>
      <c r="G740" s="76" t="n"/>
      <c r="H740" s="75" t="n"/>
      <c r="I740" s="76" t="n"/>
      <c r="J740" s="77">
        <f>IF($A740="","",B740+D740+F740)</f>
        <v/>
      </c>
      <c r="K740" s="78">
        <f>IF($A740="","",C740+E740+G740)</f>
        <v/>
      </c>
      <c r="L740" s="79">
        <f>IF($A740="","",J740+H740)</f>
        <v/>
      </c>
      <c r="M740" s="80">
        <f>IF($A740="","",K740+I740)</f>
        <v/>
      </c>
      <c r="N740" s="77">
        <f>IF($A740="","",SUMIFS($J$5:$J$800,$A$5:$A$800,"&gt;="&amp;DATE(YEAR($A740),MONTH($A740),1),$A$5:$A$800,"&lt;="&amp;$A740)+IF(AND(YEAR($A740)=YEAR(Settings!$B$3),MONTH($A740)=MONTH(Settings!$B$3)),Settings!$B$10,0))</f>
        <v/>
      </c>
      <c r="O740" s="78">
        <f>IF($A740="","",SUMIFS($K$5:$K$800,$A$5:$A$800,"&gt;="&amp;DATE(YEAR($A740),MONTH($A740),1),$A$5:$A$800,"&lt;="&amp;$A740)+IF(AND(YEAR($A740)=YEAR(Settings!$B$3),MONTH($A740)=MONTH(Settings!$B$3)),Settings!$B$11,0))</f>
        <v/>
      </c>
      <c r="P740" s="77">
        <f>IF($A740="","",SUMIFS($H$5:$H$800,$A$5:$A$800,"&gt;="&amp;DATE(YEAR($A740),MONTH($A740),1),$A$5:$A$800,"&lt;="&amp;$A740)+IF(AND(YEAR($A740)=YEAR(Settings!$B$3),MONTH($A740)=MONTH(Settings!$B$3)),Settings!$B$12,0))</f>
        <v/>
      </c>
      <c r="Q740" s="78">
        <f>IF($A740="","",SUMIFS($I$5:$I$800,$A$5:$A$800,"&gt;="&amp;DATE(YEAR($A740),MONTH($A740),1),$A$5:$A$800,"&lt;="&amp;$A740)+IF(AND(YEAR($A740)=YEAR(Settings!$B$3),MONTH($A740)=MONTH(Settings!$B$3)),Settings!$B$13,0))</f>
        <v/>
      </c>
      <c r="R740" s="77">
        <f>IF($A740="","",N740+P740)</f>
        <v/>
      </c>
      <c r="S740" s="78">
        <f>IF($A740="","",O740+Q740)</f>
        <v/>
      </c>
    </row>
    <row r="741">
      <c r="A741" s="67" t="n"/>
      <c r="B741" s="75" t="n"/>
      <c r="C741" s="76" t="n"/>
      <c r="D741" s="75" t="n"/>
      <c r="E741" s="76" t="n"/>
      <c r="F741" s="75" t="n"/>
      <c r="G741" s="76" t="n"/>
      <c r="H741" s="75" t="n"/>
      <c r="I741" s="76" t="n"/>
      <c r="J741" s="77">
        <f>IF($A741="","",B741+D741+F741)</f>
        <v/>
      </c>
      <c r="K741" s="78">
        <f>IF($A741="","",C741+E741+G741)</f>
        <v/>
      </c>
      <c r="L741" s="79">
        <f>IF($A741="","",J741+H741)</f>
        <v/>
      </c>
      <c r="M741" s="80">
        <f>IF($A741="","",K741+I741)</f>
        <v/>
      </c>
      <c r="N741" s="77">
        <f>IF($A741="","",SUMIFS($J$5:$J$800,$A$5:$A$800,"&gt;="&amp;DATE(YEAR($A741),MONTH($A741),1),$A$5:$A$800,"&lt;="&amp;$A741)+IF(AND(YEAR($A741)=YEAR(Settings!$B$3),MONTH($A741)=MONTH(Settings!$B$3)),Settings!$B$10,0))</f>
        <v/>
      </c>
      <c r="O741" s="78">
        <f>IF($A741="","",SUMIFS($K$5:$K$800,$A$5:$A$800,"&gt;="&amp;DATE(YEAR($A741),MONTH($A741),1),$A$5:$A$800,"&lt;="&amp;$A741)+IF(AND(YEAR($A741)=YEAR(Settings!$B$3),MONTH($A741)=MONTH(Settings!$B$3)),Settings!$B$11,0))</f>
        <v/>
      </c>
      <c r="P741" s="77">
        <f>IF($A741="","",SUMIFS($H$5:$H$800,$A$5:$A$800,"&gt;="&amp;DATE(YEAR($A741),MONTH($A741),1),$A$5:$A$800,"&lt;="&amp;$A741)+IF(AND(YEAR($A741)=YEAR(Settings!$B$3),MONTH($A741)=MONTH(Settings!$B$3)),Settings!$B$12,0))</f>
        <v/>
      </c>
      <c r="Q741" s="78">
        <f>IF($A741="","",SUMIFS($I$5:$I$800,$A$5:$A$800,"&gt;="&amp;DATE(YEAR($A741),MONTH($A741),1),$A$5:$A$800,"&lt;="&amp;$A741)+IF(AND(YEAR($A741)=YEAR(Settings!$B$3),MONTH($A741)=MONTH(Settings!$B$3)),Settings!$B$13,0))</f>
        <v/>
      </c>
      <c r="R741" s="77">
        <f>IF($A741="","",N741+P741)</f>
        <v/>
      </c>
      <c r="S741" s="78">
        <f>IF($A741="","",O741+Q741)</f>
        <v/>
      </c>
    </row>
    <row r="742">
      <c r="A742" s="67" t="n"/>
      <c r="B742" s="75" t="n"/>
      <c r="C742" s="76" t="n"/>
      <c r="D742" s="75" t="n"/>
      <c r="E742" s="76" t="n"/>
      <c r="F742" s="75" t="n"/>
      <c r="G742" s="76" t="n"/>
      <c r="H742" s="75" t="n"/>
      <c r="I742" s="76" t="n"/>
      <c r="J742" s="77">
        <f>IF($A742="","",B742+D742+F742)</f>
        <v/>
      </c>
      <c r="K742" s="78">
        <f>IF($A742="","",C742+E742+G742)</f>
        <v/>
      </c>
      <c r="L742" s="79">
        <f>IF($A742="","",J742+H742)</f>
        <v/>
      </c>
      <c r="M742" s="80">
        <f>IF($A742="","",K742+I742)</f>
        <v/>
      </c>
      <c r="N742" s="77">
        <f>IF($A742="","",SUMIFS($J$5:$J$800,$A$5:$A$800,"&gt;="&amp;DATE(YEAR($A742),MONTH($A742),1),$A$5:$A$800,"&lt;="&amp;$A742)+IF(AND(YEAR($A742)=YEAR(Settings!$B$3),MONTH($A742)=MONTH(Settings!$B$3)),Settings!$B$10,0))</f>
        <v/>
      </c>
      <c r="O742" s="78">
        <f>IF($A742="","",SUMIFS($K$5:$K$800,$A$5:$A$800,"&gt;="&amp;DATE(YEAR($A742),MONTH($A742),1),$A$5:$A$800,"&lt;="&amp;$A742)+IF(AND(YEAR($A742)=YEAR(Settings!$B$3),MONTH($A742)=MONTH(Settings!$B$3)),Settings!$B$11,0))</f>
        <v/>
      </c>
      <c r="P742" s="77">
        <f>IF($A742="","",SUMIFS($H$5:$H$800,$A$5:$A$800,"&gt;="&amp;DATE(YEAR($A742),MONTH($A742),1),$A$5:$A$800,"&lt;="&amp;$A742)+IF(AND(YEAR($A742)=YEAR(Settings!$B$3),MONTH($A742)=MONTH(Settings!$B$3)),Settings!$B$12,0))</f>
        <v/>
      </c>
      <c r="Q742" s="78">
        <f>IF($A742="","",SUMIFS($I$5:$I$800,$A$5:$A$800,"&gt;="&amp;DATE(YEAR($A742),MONTH($A742),1),$A$5:$A$800,"&lt;="&amp;$A742)+IF(AND(YEAR($A742)=YEAR(Settings!$B$3),MONTH($A742)=MONTH(Settings!$B$3)),Settings!$B$13,0))</f>
        <v/>
      </c>
      <c r="R742" s="77">
        <f>IF($A742="","",N742+P742)</f>
        <v/>
      </c>
      <c r="S742" s="78">
        <f>IF($A742="","",O742+Q742)</f>
        <v/>
      </c>
    </row>
    <row r="743">
      <c r="A743" s="67" t="n"/>
      <c r="B743" s="75" t="n"/>
      <c r="C743" s="76" t="n"/>
      <c r="D743" s="75" t="n"/>
      <c r="E743" s="76" t="n"/>
      <c r="F743" s="75" t="n"/>
      <c r="G743" s="76" t="n"/>
      <c r="H743" s="75" t="n"/>
      <c r="I743" s="76" t="n"/>
      <c r="J743" s="77">
        <f>IF($A743="","",B743+D743+F743)</f>
        <v/>
      </c>
      <c r="K743" s="78">
        <f>IF($A743="","",C743+E743+G743)</f>
        <v/>
      </c>
      <c r="L743" s="79">
        <f>IF($A743="","",J743+H743)</f>
        <v/>
      </c>
      <c r="M743" s="80">
        <f>IF($A743="","",K743+I743)</f>
        <v/>
      </c>
      <c r="N743" s="77">
        <f>IF($A743="","",SUMIFS($J$5:$J$800,$A$5:$A$800,"&gt;="&amp;DATE(YEAR($A743),MONTH($A743),1),$A$5:$A$800,"&lt;="&amp;$A743)+IF(AND(YEAR($A743)=YEAR(Settings!$B$3),MONTH($A743)=MONTH(Settings!$B$3)),Settings!$B$10,0))</f>
        <v/>
      </c>
      <c r="O743" s="78">
        <f>IF($A743="","",SUMIFS($K$5:$K$800,$A$5:$A$800,"&gt;="&amp;DATE(YEAR($A743),MONTH($A743),1),$A$5:$A$800,"&lt;="&amp;$A743)+IF(AND(YEAR($A743)=YEAR(Settings!$B$3),MONTH($A743)=MONTH(Settings!$B$3)),Settings!$B$11,0))</f>
        <v/>
      </c>
      <c r="P743" s="77">
        <f>IF($A743="","",SUMIFS($H$5:$H$800,$A$5:$A$800,"&gt;="&amp;DATE(YEAR($A743),MONTH($A743),1),$A$5:$A$800,"&lt;="&amp;$A743)+IF(AND(YEAR($A743)=YEAR(Settings!$B$3),MONTH($A743)=MONTH(Settings!$B$3)),Settings!$B$12,0))</f>
        <v/>
      </c>
      <c r="Q743" s="78">
        <f>IF($A743="","",SUMIFS($I$5:$I$800,$A$5:$A$800,"&gt;="&amp;DATE(YEAR($A743),MONTH($A743),1),$A$5:$A$800,"&lt;="&amp;$A743)+IF(AND(YEAR($A743)=YEAR(Settings!$B$3),MONTH($A743)=MONTH(Settings!$B$3)),Settings!$B$13,0))</f>
        <v/>
      </c>
      <c r="R743" s="77">
        <f>IF($A743="","",N743+P743)</f>
        <v/>
      </c>
      <c r="S743" s="78">
        <f>IF($A743="","",O743+Q743)</f>
        <v/>
      </c>
    </row>
    <row r="744">
      <c r="A744" s="67" t="n"/>
      <c r="B744" s="75" t="n"/>
      <c r="C744" s="76" t="n"/>
      <c r="D744" s="75" t="n"/>
      <c r="E744" s="76" t="n"/>
      <c r="F744" s="75" t="n"/>
      <c r="G744" s="76" t="n"/>
      <c r="H744" s="75" t="n"/>
      <c r="I744" s="76" t="n"/>
      <c r="J744" s="77">
        <f>IF($A744="","",B744+D744+F744)</f>
        <v/>
      </c>
      <c r="K744" s="78">
        <f>IF($A744="","",C744+E744+G744)</f>
        <v/>
      </c>
      <c r="L744" s="79">
        <f>IF($A744="","",J744+H744)</f>
        <v/>
      </c>
      <c r="M744" s="80">
        <f>IF($A744="","",K744+I744)</f>
        <v/>
      </c>
      <c r="N744" s="77">
        <f>IF($A744="","",SUMIFS($J$5:$J$800,$A$5:$A$800,"&gt;="&amp;DATE(YEAR($A744),MONTH($A744),1),$A$5:$A$800,"&lt;="&amp;$A744)+IF(AND(YEAR($A744)=YEAR(Settings!$B$3),MONTH($A744)=MONTH(Settings!$B$3)),Settings!$B$10,0))</f>
        <v/>
      </c>
      <c r="O744" s="78">
        <f>IF($A744="","",SUMIFS($K$5:$K$800,$A$5:$A$800,"&gt;="&amp;DATE(YEAR($A744),MONTH($A744),1),$A$5:$A$800,"&lt;="&amp;$A744)+IF(AND(YEAR($A744)=YEAR(Settings!$B$3),MONTH($A744)=MONTH(Settings!$B$3)),Settings!$B$11,0))</f>
        <v/>
      </c>
      <c r="P744" s="77">
        <f>IF($A744="","",SUMIFS($H$5:$H$800,$A$5:$A$800,"&gt;="&amp;DATE(YEAR($A744),MONTH($A744),1),$A$5:$A$800,"&lt;="&amp;$A744)+IF(AND(YEAR($A744)=YEAR(Settings!$B$3),MONTH($A744)=MONTH(Settings!$B$3)),Settings!$B$12,0))</f>
        <v/>
      </c>
      <c r="Q744" s="78">
        <f>IF($A744="","",SUMIFS($I$5:$I$800,$A$5:$A$800,"&gt;="&amp;DATE(YEAR($A744),MONTH($A744),1),$A$5:$A$800,"&lt;="&amp;$A744)+IF(AND(YEAR($A744)=YEAR(Settings!$B$3),MONTH($A744)=MONTH(Settings!$B$3)),Settings!$B$13,0))</f>
        <v/>
      </c>
      <c r="R744" s="77">
        <f>IF($A744="","",N744+P744)</f>
        <v/>
      </c>
      <c r="S744" s="78">
        <f>IF($A744="","",O744+Q744)</f>
        <v/>
      </c>
    </row>
    <row r="745">
      <c r="A745" s="67" t="n"/>
      <c r="B745" s="75" t="n"/>
      <c r="C745" s="76" t="n"/>
      <c r="D745" s="75" t="n"/>
      <c r="E745" s="76" t="n"/>
      <c r="F745" s="75" t="n"/>
      <c r="G745" s="76" t="n"/>
      <c r="H745" s="75" t="n"/>
      <c r="I745" s="76" t="n"/>
      <c r="J745" s="77">
        <f>IF($A745="","",B745+D745+F745)</f>
        <v/>
      </c>
      <c r="K745" s="78">
        <f>IF($A745="","",C745+E745+G745)</f>
        <v/>
      </c>
      <c r="L745" s="79">
        <f>IF($A745="","",J745+H745)</f>
        <v/>
      </c>
      <c r="M745" s="80">
        <f>IF($A745="","",K745+I745)</f>
        <v/>
      </c>
      <c r="N745" s="77">
        <f>IF($A745="","",SUMIFS($J$5:$J$800,$A$5:$A$800,"&gt;="&amp;DATE(YEAR($A745),MONTH($A745),1),$A$5:$A$800,"&lt;="&amp;$A745)+IF(AND(YEAR($A745)=YEAR(Settings!$B$3),MONTH($A745)=MONTH(Settings!$B$3)),Settings!$B$10,0))</f>
        <v/>
      </c>
      <c r="O745" s="78">
        <f>IF($A745="","",SUMIFS($K$5:$K$800,$A$5:$A$800,"&gt;="&amp;DATE(YEAR($A745),MONTH($A745),1),$A$5:$A$800,"&lt;="&amp;$A745)+IF(AND(YEAR($A745)=YEAR(Settings!$B$3),MONTH($A745)=MONTH(Settings!$B$3)),Settings!$B$11,0))</f>
        <v/>
      </c>
      <c r="P745" s="77">
        <f>IF($A745="","",SUMIFS($H$5:$H$800,$A$5:$A$800,"&gt;="&amp;DATE(YEAR($A745),MONTH($A745),1),$A$5:$A$800,"&lt;="&amp;$A745)+IF(AND(YEAR($A745)=YEAR(Settings!$B$3),MONTH($A745)=MONTH(Settings!$B$3)),Settings!$B$12,0))</f>
        <v/>
      </c>
      <c r="Q745" s="78">
        <f>IF($A745="","",SUMIFS($I$5:$I$800,$A$5:$A$800,"&gt;="&amp;DATE(YEAR($A745),MONTH($A745),1),$A$5:$A$800,"&lt;="&amp;$A745)+IF(AND(YEAR($A745)=YEAR(Settings!$B$3),MONTH($A745)=MONTH(Settings!$B$3)),Settings!$B$13,0))</f>
        <v/>
      </c>
      <c r="R745" s="77">
        <f>IF($A745="","",N745+P745)</f>
        <v/>
      </c>
      <c r="S745" s="78">
        <f>IF($A745="","",O745+Q745)</f>
        <v/>
      </c>
    </row>
    <row r="746">
      <c r="A746" s="67" t="n"/>
      <c r="B746" s="75" t="n"/>
      <c r="C746" s="76" t="n"/>
      <c r="D746" s="75" t="n"/>
      <c r="E746" s="76" t="n"/>
      <c r="F746" s="75" t="n"/>
      <c r="G746" s="76" t="n"/>
      <c r="H746" s="75" t="n"/>
      <c r="I746" s="76" t="n"/>
      <c r="J746" s="77">
        <f>IF($A746="","",B746+D746+F746)</f>
        <v/>
      </c>
      <c r="K746" s="78">
        <f>IF($A746="","",C746+E746+G746)</f>
        <v/>
      </c>
      <c r="L746" s="79">
        <f>IF($A746="","",J746+H746)</f>
        <v/>
      </c>
      <c r="M746" s="80">
        <f>IF($A746="","",K746+I746)</f>
        <v/>
      </c>
      <c r="N746" s="77">
        <f>IF($A746="","",SUMIFS($J$5:$J$800,$A$5:$A$800,"&gt;="&amp;DATE(YEAR($A746),MONTH($A746),1),$A$5:$A$800,"&lt;="&amp;$A746)+IF(AND(YEAR($A746)=YEAR(Settings!$B$3),MONTH($A746)=MONTH(Settings!$B$3)),Settings!$B$10,0))</f>
        <v/>
      </c>
      <c r="O746" s="78">
        <f>IF($A746="","",SUMIFS($K$5:$K$800,$A$5:$A$800,"&gt;="&amp;DATE(YEAR($A746),MONTH($A746),1),$A$5:$A$800,"&lt;="&amp;$A746)+IF(AND(YEAR($A746)=YEAR(Settings!$B$3),MONTH($A746)=MONTH(Settings!$B$3)),Settings!$B$11,0))</f>
        <v/>
      </c>
      <c r="P746" s="77">
        <f>IF($A746="","",SUMIFS($H$5:$H$800,$A$5:$A$800,"&gt;="&amp;DATE(YEAR($A746),MONTH($A746),1),$A$5:$A$800,"&lt;="&amp;$A746)+IF(AND(YEAR($A746)=YEAR(Settings!$B$3),MONTH($A746)=MONTH(Settings!$B$3)),Settings!$B$12,0))</f>
        <v/>
      </c>
      <c r="Q746" s="78">
        <f>IF($A746="","",SUMIFS($I$5:$I$800,$A$5:$A$800,"&gt;="&amp;DATE(YEAR($A746),MONTH($A746),1),$A$5:$A$800,"&lt;="&amp;$A746)+IF(AND(YEAR($A746)=YEAR(Settings!$B$3),MONTH($A746)=MONTH(Settings!$B$3)),Settings!$B$13,0))</f>
        <v/>
      </c>
      <c r="R746" s="77">
        <f>IF($A746="","",N746+P746)</f>
        <v/>
      </c>
      <c r="S746" s="78">
        <f>IF($A746="","",O746+Q746)</f>
        <v/>
      </c>
    </row>
    <row r="747">
      <c r="A747" s="67" t="n"/>
      <c r="B747" s="75" t="n"/>
      <c r="C747" s="76" t="n"/>
      <c r="D747" s="75" t="n"/>
      <c r="E747" s="76" t="n"/>
      <c r="F747" s="75" t="n"/>
      <c r="G747" s="76" t="n"/>
      <c r="H747" s="75" t="n"/>
      <c r="I747" s="76" t="n"/>
      <c r="J747" s="77">
        <f>IF($A747="","",B747+D747+F747)</f>
        <v/>
      </c>
      <c r="K747" s="78">
        <f>IF($A747="","",C747+E747+G747)</f>
        <v/>
      </c>
      <c r="L747" s="79">
        <f>IF($A747="","",J747+H747)</f>
        <v/>
      </c>
      <c r="M747" s="80">
        <f>IF($A747="","",K747+I747)</f>
        <v/>
      </c>
      <c r="N747" s="77">
        <f>IF($A747="","",SUMIFS($J$5:$J$800,$A$5:$A$800,"&gt;="&amp;DATE(YEAR($A747),MONTH($A747),1),$A$5:$A$800,"&lt;="&amp;$A747)+IF(AND(YEAR($A747)=YEAR(Settings!$B$3),MONTH($A747)=MONTH(Settings!$B$3)),Settings!$B$10,0))</f>
        <v/>
      </c>
      <c r="O747" s="78">
        <f>IF($A747="","",SUMIFS($K$5:$K$800,$A$5:$A$800,"&gt;="&amp;DATE(YEAR($A747),MONTH($A747),1),$A$5:$A$800,"&lt;="&amp;$A747)+IF(AND(YEAR($A747)=YEAR(Settings!$B$3),MONTH($A747)=MONTH(Settings!$B$3)),Settings!$B$11,0))</f>
        <v/>
      </c>
      <c r="P747" s="77">
        <f>IF($A747="","",SUMIFS($H$5:$H$800,$A$5:$A$800,"&gt;="&amp;DATE(YEAR($A747),MONTH($A747),1),$A$5:$A$800,"&lt;="&amp;$A747)+IF(AND(YEAR($A747)=YEAR(Settings!$B$3),MONTH($A747)=MONTH(Settings!$B$3)),Settings!$B$12,0))</f>
        <v/>
      </c>
      <c r="Q747" s="78">
        <f>IF($A747="","",SUMIFS($I$5:$I$800,$A$5:$A$800,"&gt;="&amp;DATE(YEAR($A747),MONTH($A747),1),$A$5:$A$800,"&lt;="&amp;$A747)+IF(AND(YEAR($A747)=YEAR(Settings!$B$3),MONTH($A747)=MONTH(Settings!$B$3)),Settings!$B$13,0))</f>
        <v/>
      </c>
      <c r="R747" s="77">
        <f>IF($A747="","",N747+P747)</f>
        <v/>
      </c>
      <c r="S747" s="78">
        <f>IF($A747="","",O747+Q747)</f>
        <v/>
      </c>
    </row>
    <row r="748">
      <c r="A748" s="67" t="n"/>
      <c r="B748" s="75" t="n"/>
      <c r="C748" s="76" t="n"/>
      <c r="D748" s="75" t="n"/>
      <c r="E748" s="76" t="n"/>
      <c r="F748" s="75" t="n"/>
      <c r="G748" s="76" t="n"/>
      <c r="H748" s="75" t="n"/>
      <c r="I748" s="76" t="n"/>
      <c r="J748" s="77">
        <f>IF($A748="","",B748+D748+F748)</f>
        <v/>
      </c>
      <c r="K748" s="78">
        <f>IF($A748="","",C748+E748+G748)</f>
        <v/>
      </c>
      <c r="L748" s="79">
        <f>IF($A748="","",J748+H748)</f>
        <v/>
      </c>
      <c r="M748" s="80">
        <f>IF($A748="","",K748+I748)</f>
        <v/>
      </c>
      <c r="N748" s="77">
        <f>IF($A748="","",SUMIFS($J$5:$J$800,$A$5:$A$800,"&gt;="&amp;DATE(YEAR($A748),MONTH($A748),1),$A$5:$A$800,"&lt;="&amp;$A748)+IF(AND(YEAR($A748)=YEAR(Settings!$B$3),MONTH($A748)=MONTH(Settings!$B$3)),Settings!$B$10,0))</f>
        <v/>
      </c>
      <c r="O748" s="78">
        <f>IF($A748="","",SUMIFS($K$5:$K$800,$A$5:$A$800,"&gt;="&amp;DATE(YEAR($A748),MONTH($A748),1),$A$5:$A$800,"&lt;="&amp;$A748)+IF(AND(YEAR($A748)=YEAR(Settings!$B$3),MONTH($A748)=MONTH(Settings!$B$3)),Settings!$B$11,0))</f>
        <v/>
      </c>
      <c r="P748" s="77">
        <f>IF($A748="","",SUMIFS($H$5:$H$800,$A$5:$A$800,"&gt;="&amp;DATE(YEAR($A748),MONTH($A748),1),$A$5:$A$800,"&lt;="&amp;$A748)+IF(AND(YEAR($A748)=YEAR(Settings!$B$3),MONTH($A748)=MONTH(Settings!$B$3)),Settings!$B$12,0))</f>
        <v/>
      </c>
      <c r="Q748" s="78">
        <f>IF($A748="","",SUMIFS($I$5:$I$800,$A$5:$A$800,"&gt;="&amp;DATE(YEAR($A748),MONTH($A748),1),$A$5:$A$800,"&lt;="&amp;$A748)+IF(AND(YEAR($A748)=YEAR(Settings!$B$3),MONTH($A748)=MONTH(Settings!$B$3)),Settings!$B$13,0))</f>
        <v/>
      </c>
      <c r="R748" s="77">
        <f>IF($A748="","",N748+P748)</f>
        <v/>
      </c>
      <c r="S748" s="78">
        <f>IF($A748="","",O748+Q748)</f>
        <v/>
      </c>
    </row>
    <row r="749">
      <c r="A749" s="67" t="n"/>
      <c r="B749" s="75" t="n"/>
      <c r="C749" s="76" t="n"/>
      <c r="D749" s="75" t="n"/>
      <c r="E749" s="76" t="n"/>
      <c r="F749" s="75" t="n"/>
      <c r="G749" s="76" t="n"/>
      <c r="H749" s="75" t="n"/>
      <c r="I749" s="76" t="n"/>
      <c r="J749" s="77">
        <f>IF($A749="","",B749+D749+F749)</f>
        <v/>
      </c>
      <c r="K749" s="78">
        <f>IF($A749="","",C749+E749+G749)</f>
        <v/>
      </c>
      <c r="L749" s="79">
        <f>IF($A749="","",J749+H749)</f>
        <v/>
      </c>
      <c r="M749" s="80">
        <f>IF($A749="","",K749+I749)</f>
        <v/>
      </c>
      <c r="N749" s="77">
        <f>IF($A749="","",SUMIFS($J$5:$J$800,$A$5:$A$800,"&gt;="&amp;DATE(YEAR($A749),MONTH($A749),1),$A$5:$A$800,"&lt;="&amp;$A749)+IF(AND(YEAR($A749)=YEAR(Settings!$B$3),MONTH($A749)=MONTH(Settings!$B$3)),Settings!$B$10,0))</f>
        <v/>
      </c>
      <c r="O749" s="78">
        <f>IF($A749="","",SUMIFS($K$5:$K$800,$A$5:$A$800,"&gt;="&amp;DATE(YEAR($A749),MONTH($A749),1),$A$5:$A$800,"&lt;="&amp;$A749)+IF(AND(YEAR($A749)=YEAR(Settings!$B$3),MONTH($A749)=MONTH(Settings!$B$3)),Settings!$B$11,0))</f>
        <v/>
      </c>
      <c r="P749" s="77">
        <f>IF($A749="","",SUMIFS($H$5:$H$800,$A$5:$A$800,"&gt;="&amp;DATE(YEAR($A749),MONTH($A749),1),$A$5:$A$800,"&lt;="&amp;$A749)+IF(AND(YEAR($A749)=YEAR(Settings!$B$3),MONTH($A749)=MONTH(Settings!$B$3)),Settings!$B$12,0))</f>
        <v/>
      </c>
      <c r="Q749" s="78">
        <f>IF($A749="","",SUMIFS($I$5:$I$800,$A$5:$A$800,"&gt;="&amp;DATE(YEAR($A749),MONTH($A749),1),$A$5:$A$800,"&lt;="&amp;$A749)+IF(AND(YEAR($A749)=YEAR(Settings!$B$3),MONTH($A749)=MONTH(Settings!$B$3)),Settings!$B$13,0))</f>
        <v/>
      </c>
      <c r="R749" s="77">
        <f>IF($A749="","",N749+P749)</f>
        <v/>
      </c>
      <c r="S749" s="78">
        <f>IF($A749="","",O749+Q749)</f>
        <v/>
      </c>
    </row>
    <row r="750">
      <c r="A750" s="67" t="n"/>
      <c r="B750" s="75" t="n"/>
      <c r="C750" s="76" t="n"/>
      <c r="D750" s="75" t="n"/>
      <c r="E750" s="76" t="n"/>
      <c r="F750" s="75" t="n"/>
      <c r="G750" s="76" t="n"/>
      <c r="H750" s="75" t="n"/>
      <c r="I750" s="76" t="n"/>
      <c r="J750" s="77">
        <f>IF($A750="","",B750+D750+F750)</f>
        <v/>
      </c>
      <c r="K750" s="78">
        <f>IF($A750="","",C750+E750+G750)</f>
        <v/>
      </c>
      <c r="L750" s="79">
        <f>IF($A750="","",J750+H750)</f>
        <v/>
      </c>
      <c r="M750" s="80">
        <f>IF($A750="","",K750+I750)</f>
        <v/>
      </c>
      <c r="N750" s="77">
        <f>IF($A750="","",SUMIFS($J$5:$J$800,$A$5:$A$800,"&gt;="&amp;DATE(YEAR($A750),MONTH($A750),1),$A$5:$A$800,"&lt;="&amp;$A750)+IF(AND(YEAR($A750)=YEAR(Settings!$B$3),MONTH($A750)=MONTH(Settings!$B$3)),Settings!$B$10,0))</f>
        <v/>
      </c>
      <c r="O750" s="78">
        <f>IF($A750="","",SUMIFS($K$5:$K$800,$A$5:$A$800,"&gt;="&amp;DATE(YEAR($A750),MONTH($A750),1),$A$5:$A$800,"&lt;="&amp;$A750)+IF(AND(YEAR($A750)=YEAR(Settings!$B$3),MONTH($A750)=MONTH(Settings!$B$3)),Settings!$B$11,0))</f>
        <v/>
      </c>
      <c r="P750" s="77">
        <f>IF($A750="","",SUMIFS($H$5:$H$800,$A$5:$A$800,"&gt;="&amp;DATE(YEAR($A750),MONTH($A750),1),$A$5:$A$800,"&lt;="&amp;$A750)+IF(AND(YEAR($A750)=YEAR(Settings!$B$3),MONTH($A750)=MONTH(Settings!$B$3)),Settings!$B$12,0))</f>
        <v/>
      </c>
      <c r="Q750" s="78">
        <f>IF($A750="","",SUMIFS($I$5:$I$800,$A$5:$A$800,"&gt;="&amp;DATE(YEAR($A750),MONTH($A750),1),$A$5:$A$800,"&lt;="&amp;$A750)+IF(AND(YEAR($A750)=YEAR(Settings!$B$3),MONTH($A750)=MONTH(Settings!$B$3)),Settings!$B$13,0))</f>
        <v/>
      </c>
      <c r="R750" s="77">
        <f>IF($A750="","",N750+P750)</f>
        <v/>
      </c>
      <c r="S750" s="78">
        <f>IF($A750="","",O750+Q750)</f>
        <v/>
      </c>
    </row>
    <row r="751">
      <c r="A751" s="67" t="n"/>
      <c r="B751" s="75" t="n"/>
      <c r="C751" s="76" t="n"/>
      <c r="D751" s="75" t="n"/>
      <c r="E751" s="76" t="n"/>
      <c r="F751" s="75" t="n"/>
      <c r="G751" s="76" t="n"/>
      <c r="H751" s="75" t="n"/>
      <c r="I751" s="76" t="n"/>
      <c r="J751" s="77">
        <f>IF($A751="","",B751+D751+F751)</f>
        <v/>
      </c>
      <c r="K751" s="78">
        <f>IF($A751="","",C751+E751+G751)</f>
        <v/>
      </c>
      <c r="L751" s="79">
        <f>IF($A751="","",J751+H751)</f>
        <v/>
      </c>
      <c r="M751" s="80">
        <f>IF($A751="","",K751+I751)</f>
        <v/>
      </c>
      <c r="N751" s="77">
        <f>IF($A751="","",SUMIFS($J$5:$J$800,$A$5:$A$800,"&gt;="&amp;DATE(YEAR($A751),MONTH($A751),1),$A$5:$A$800,"&lt;="&amp;$A751)+IF(AND(YEAR($A751)=YEAR(Settings!$B$3),MONTH($A751)=MONTH(Settings!$B$3)),Settings!$B$10,0))</f>
        <v/>
      </c>
      <c r="O751" s="78">
        <f>IF($A751="","",SUMIFS($K$5:$K$800,$A$5:$A$800,"&gt;="&amp;DATE(YEAR($A751),MONTH($A751),1),$A$5:$A$800,"&lt;="&amp;$A751)+IF(AND(YEAR($A751)=YEAR(Settings!$B$3),MONTH($A751)=MONTH(Settings!$B$3)),Settings!$B$11,0))</f>
        <v/>
      </c>
      <c r="P751" s="77">
        <f>IF($A751="","",SUMIFS($H$5:$H$800,$A$5:$A$800,"&gt;="&amp;DATE(YEAR($A751),MONTH($A751),1),$A$5:$A$800,"&lt;="&amp;$A751)+IF(AND(YEAR($A751)=YEAR(Settings!$B$3),MONTH($A751)=MONTH(Settings!$B$3)),Settings!$B$12,0))</f>
        <v/>
      </c>
      <c r="Q751" s="78">
        <f>IF($A751="","",SUMIFS($I$5:$I$800,$A$5:$A$800,"&gt;="&amp;DATE(YEAR($A751),MONTH($A751),1),$A$5:$A$800,"&lt;="&amp;$A751)+IF(AND(YEAR($A751)=YEAR(Settings!$B$3),MONTH($A751)=MONTH(Settings!$B$3)),Settings!$B$13,0))</f>
        <v/>
      </c>
      <c r="R751" s="77">
        <f>IF($A751="","",N751+P751)</f>
        <v/>
      </c>
      <c r="S751" s="78">
        <f>IF($A751="","",O751+Q751)</f>
        <v/>
      </c>
    </row>
    <row r="752">
      <c r="A752" s="67" t="n"/>
      <c r="B752" s="75" t="n"/>
      <c r="C752" s="76" t="n"/>
      <c r="D752" s="75" t="n"/>
      <c r="E752" s="76" t="n"/>
      <c r="F752" s="75" t="n"/>
      <c r="G752" s="76" t="n"/>
      <c r="H752" s="75" t="n"/>
      <c r="I752" s="76" t="n"/>
      <c r="J752" s="77">
        <f>IF($A752="","",B752+D752+F752)</f>
        <v/>
      </c>
      <c r="K752" s="78">
        <f>IF($A752="","",C752+E752+G752)</f>
        <v/>
      </c>
      <c r="L752" s="79">
        <f>IF($A752="","",J752+H752)</f>
        <v/>
      </c>
      <c r="M752" s="80">
        <f>IF($A752="","",K752+I752)</f>
        <v/>
      </c>
      <c r="N752" s="77">
        <f>IF($A752="","",SUMIFS($J$5:$J$800,$A$5:$A$800,"&gt;="&amp;DATE(YEAR($A752),MONTH($A752),1),$A$5:$A$800,"&lt;="&amp;$A752)+IF(AND(YEAR($A752)=YEAR(Settings!$B$3),MONTH($A752)=MONTH(Settings!$B$3)),Settings!$B$10,0))</f>
        <v/>
      </c>
      <c r="O752" s="78">
        <f>IF($A752="","",SUMIFS($K$5:$K$800,$A$5:$A$800,"&gt;="&amp;DATE(YEAR($A752),MONTH($A752),1),$A$5:$A$800,"&lt;="&amp;$A752)+IF(AND(YEAR($A752)=YEAR(Settings!$B$3),MONTH($A752)=MONTH(Settings!$B$3)),Settings!$B$11,0))</f>
        <v/>
      </c>
      <c r="P752" s="77">
        <f>IF($A752="","",SUMIFS($H$5:$H$800,$A$5:$A$800,"&gt;="&amp;DATE(YEAR($A752),MONTH($A752),1),$A$5:$A$800,"&lt;="&amp;$A752)+IF(AND(YEAR($A752)=YEAR(Settings!$B$3),MONTH($A752)=MONTH(Settings!$B$3)),Settings!$B$12,0))</f>
        <v/>
      </c>
      <c r="Q752" s="78">
        <f>IF($A752="","",SUMIFS($I$5:$I$800,$A$5:$A$800,"&gt;="&amp;DATE(YEAR($A752),MONTH($A752),1),$A$5:$A$800,"&lt;="&amp;$A752)+IF(AND(YEAR($A752)=YEAR(Settings!$B$3),MONTH($A752)=MONTH(Settings!$B$3)),Settings!$B$13,0))</f>
        <v/>
      </c>
      <c r="R752" s="77">
        <f>IF($A752="","",N752+P752)</f>
        <v/>
      </c>
      <c r="S752" s="78">
        <f>IF($A752="","",O752+Q752)</f>
        <v/>
      </c>
    </row>
    <row r="753">
      <c r="A753" s="67" t="n"/>
      <c r="B753" s="75" t="n"/>
      <c r="C753" s="76" t="n"/>
      <c r="D753" s="75" t="n"/>
      <c r="E753" s="76" t="n"/>
      <c r="F753" s="75" t="n"/>
      <c r="G753" s="76" t="n"/>
      <c r="H753" s="75" t="n"/>
      <c r="I753" s="76" t="n"/>
      <c r="J753" s="77">
        <f>IF($A753="","",B753+D753+F753)</f>
        <v/>
      </c>
      <c r="K753" s="78">
        <f>IF($A753="","",C753+E753+G753)</f>
        <v/>
      </c>
      <c r="L753" s="79">
        <f>IF($A753="","",J753+H753)</f>
        <v/>
      </c>
      <c r="M753" s="80">
        <f>IF($A753="","",K753+I753)</f>
        <v/>
      </c>
      <c r="N753" s="77">
        <f>IF($A753="","",SUMIFS($J$5:$J$800,$A$5:$A$800,"&gt;="&amp;DATE(YEAR($A753),MONTH($A753),1),$A$5:$A$800,"&lt;="&amp;$A753)+IF(AND(YEAR($A753)=YEAR(Settings!$B$3),MONTH($A753)=MONTH(Settings!$B$3)),Settings!$B$10,0))</f>
        <v/>
      </c>
      <c r="O753" s="78">
        <f>IF($A753="","",SUMIFS($K$5:$K$800,$A$5:$A$800,"&gt;="&amp;DATE(YEAR($A753),MONTH($A753),1),$A$5:$A$800,"&lt;="&amp;$A753)+IF(AND(YEAR($A753)=YEAR(Settings!$B$3),MONTH($A753)=MONTH(Settings!$B$3)),Settings!$B$11,0))</f>
        <v/>
      </c>
      <c r="P753" s="77">
        <f>IF($A753="","",SUMIFS($H$5:$H$800,$A$5:$A$800,"&gt;="&amp;DATE(YEAR($A753),MONTH($A753),1),$A$5:$A$800,"&lt;="&amp;$A753)+IF(AND(YEAR($A753)=YEAR(Settings!$B$3),MONTH($A753)=MONTH(Settings!$B$3)),Settings!$B$12,0))</f>
        <v/>
      </c>
      <c r="Q753" s="78">
        <f>IF($A753="","",SUMIFS($I$5:$I$800,$A$5:$A$800,"&gt;="&amp;DATE(YEAR($A753),MONTH($A753),1),$A$5:$A$800,"&lt;="&amp;$A753)+IF(AND(YEAR($A753)=YEAR(Settings!$B$3),MONTH($A753)=MONTH(Settings!$B$3)),Settings!$B$13,0))</f>
        <v/>
      </c>
      <c r="R753" s="77">
        <f>IF($A753="","",N753+P753)</f>
        <v/>
      </c>
      <c r="S753" s="78">
        <f>IF($A753="","",O753+Q753)</f>
        <v/>
      </c>
    </row>
    <row r="754">
      <c r="A754" s="67" t="n"/>
      <c r="B754" s="75" t="n"/>
      <c r="C754" s="76" t="n"/>
      <c r="D754" s="75" t="n"/>
      <c r="E754" s="76" t="n"/>
      <c r="F754" s="75" t="n"/>
      <c r="G754" s="76" t="n"/>
      <c r="H754" s="75" t="n"/>
      <c r="I754" s="76" t="n"/>
      <c r="J754" s="77">
        <f>IF($A754="","",B754+D754+F754)</f>
        <v/>
      </c>
      <c r="K754" s="78">
        <f>IF($A754="","",C754+E754+G754)</f>
        <v/>
      </c>
      <c r="L754" s="79">
        <f>IF($A754="","",J754+H754)</f>
        <v/>
      </c>
      <c r="M754" s="80">
        <f>IF($A754="","",K754+I754)</f>
        <v/>
      </c>
      <c r="N754" s="77">
        <f>IF($A754="","",SUMIFS($J$5:$J$800,$A$5:$A$800,"&gt;="&amp;DATE(YEAR($A754),MONTH($A754),1),$A$5:$A$800,"&lt;="&amp;$A754)+IF(AND(YEAR($A754)=YEAR(Settings!$B$3),MONTH($A754)=MONTH(Settings!$B$3)),Settings!$B$10,0))</f>
        <v/>
      </c>
      <c r="O754" s="78">
        <f>IF($A754="","",SUMIFS($K$5:$K$800,$A$5:$A$800,"&gt;="&amp;DATE(YEAR($A754),MONTH($A754),1),$A$5:$A$800,"&lt;="&amp;$A754)+IF(AND(YEAR($A754)=YEAR(Settings!$B$3),MONTH($A754)=MONTH(Settings!$B$3)),Settings!$B$11,0))</f>
        <v/>
      </c>
      <c r="P754" s="77">
        <f>IF($A754="","",SUMIFS($H$5:$H$800,$A$5:$A$800,"&gt;="&amp;DATE(YEAR($A754),MONTH($A754),1),$A$5:$A$800,"&lt;="&amp;$A754)+IF(AND(YEAR($A754)=YEAR(Settings!$B$3),MONTH($A754)=MONTH(Settings!$B$3)),Settings!$B$12,0))</f>
        <v/>
      </c>
      <c r="Q754" s="78">
        <f>IF($A754="","",SUMIFS($I$5:$I$800,$A$5:$A$800,"&gt;="&amp;DATE(YEAR($A754),MONTH($A754),1),$A$5:$A$800,"&lt;="&amp;$A754)+IF(AND(YEAR($A754)=YEAR(Settings!$B$3),MONTH($A754)=MONTH(Settings!$B$3)),Settings!$B$13,0))</f>
        <v/>
      </c>
      <c r="R754" s="77">
        <f>IF($A754="","",N754+P754)</f>
        <v/>
      </c>
      <c r="S754" s="78">
        <f>IF($A754="","",O754+Q754)</f>
        <v/>
      </c>
    </row>
    <row r="755">
      <c r="A755" s="67" t="n"/>
      <c r="B755" s="75" t="n"/>
      <c r="C755" s="76" t="n"/>
      <c r="D755" s="75" t="n"/>
      <c r="E755" s="76" t="n"/>
      <c r="F755" s="75" t="n"/>
      <c r="G755" s="76" t="n"/>
      <c r="H755" s="75" t="n"/>
      <c r="I755" s="76" t="n"/>
      <c r="J755" s="77">
        <f>IF($A755="","",B755+D755+F755)</f>
        <v/>
      </c>
      <c r="K755" s="78">
        <f>IF($A755="","",C755+E755+G755)</f>
        <v/>
      </c>
      <c r="L755" s="79">
        <f>IF($A755="","",J755+H755)</f>
        <v/>
      </c>
      <c r="M755" s="80">
        <f>IF($A755="","",K755+I755)</f>
        <v/>
      </c>
      <c r="N755" s="77">
        <f>IF($A755="","",SUMIFS($J$5:$J$800,$A$5:$A$800,"&gt;="&amp;DATE(YEAR($A755),MONTH($A755),1),$A$5:$A$800,"&lt;="&amp;$A755)+IF(AND(YEAR($A755)=YEAR(Settings!$B$3),MONTH($A755)=MONTH(Settings!$B$3)),Settings!$B$10,0))</f>
        <v/>
      </c>
      <c r="O755" s="78">
        <f>IF($A755="","",SUMIFS($K$5:$K$800,$A$5:$A$800,"&gt;="&amp;DATE(YEAR($A755),MONTH($A755),1),$A$5:$A$800,"&lt;="&amp;$A755)+IF(AND(YEAR($A755)=YEAR(Settings!$B$3),MONTH($A755)=MONTH(Settings!$B$3)),Settings!$B$11,0))</f>
        <v/>
      </c>
      <c r="P755" s="77">
        <f>IF($A755="","",SUMIFS($H$5:$H$800,$A$5:$A$800,"&gt;="&amp;DATE(YEAR($A755),MONTH($A755),1),$A$5:$A$800,"&lt;="&amp;$A755)+IF(AND(YEAR($A755)=YEAR(Settings!$B$3),MONTH($A755)=MONTH(Settings!$B$3)),Settings!$B$12,0))</f>
        <v/>
      </c>
      <c r="Q755" s="78">
        <f>IF($A755="","",SUMIFS($I$5:$I$800,$A$5:$A$800,"&gt;="&amp;DATE(YEAR($A755),MONTH($A755),1),$A$5:$A$800,"&lt;="&amp;$A755)+IF(AND(YEAR($A755)=YEAR(Settings!$B$3),MONTH($A755)=MONTH(Settings!$B$3)),Settings!$B$13,0))</f>
        <v/>
      </c>
      <c r="R755" s="77">
        <f>IF($A755="","",N755+P755)</f>
        <v/>
      </c>
      <c r="S755" s="78">
        <f>IF($A755="","",O755+Q755)</f>
        <v/>
      </c>
    </row>
    <row r="756">
      <c r="A756" s="67" t="n"/>
      <c r="B756" s="75" t="n"/>
      <c r="C756" s="76" t="n"/>
      <c r="D756" s="75" t="n"/>
      <c r="E756" s="76" t="n"/>
      <c r="F756" s="75" t="n"/>
      <c r="G756" s="76" t="n"/>
      <c r="H756" s="75" t="n"/>
      <c r="I756" s="76" t="n"/>
      <c r="J756" s="77">
        <f>IF($A756="","",B756+D756+F756)</f>
        <v/>
      </c>
      <c r="K756" s="78">
        <f>IF($A756="","",C756+E756+G756)</f>
        <v/>
      </c>
      <c r="L756" s="79">
        <f>IF($A756="","",J756+H756)</f>
        <v/>
      </c>
      <c r="M756" s="80">
        <f>IF($A756="","",K756+I756)</f>
        <v/>
      </c>
      <c r="N756" s="77">
        <f>IF($A756="","",SUMIFS($J$5:$J$800,$A$5:$A$800,"&gt;="&amp;DATE(YEAR($A756),MONTH($A756),1),$A$5:$A$800,"&lt;="&amp;$A756)+IF(AND(YEAR($A756)=YEAR(Settings!$B$3),MONTH($A756)=MONTH(Settings!$B$3)),Settings!$B$10,0))</f>
        <v/>
      </c>
      <c r="O756" s="78">
        <f>IF($A756="","",SUMIFS($K$5:$K$800,$A$5:$A$800,"&gt;="&amp;DATE(YEAR($A756),MONTH($A756),1),$A$5:$A$800,"&lt;="&amp;$A756)+IF(AND(YEAR($A756)=YEAR(Settings!$B$3),MONTH($A756)=MONTH(Settings!$B$3)),Settings!$B$11,0))</f>
        <v/>
      </c>
      <c r="P756" s="77">
        <f>IF($A756="","",SUMIFS($H$5:$H$800,$A$5:$A$800,"&gt;="&amp;DATE(YEAR($A756),MONTH($A756),1),$A$5:$A$800,"&lt;="&amp;$A756)+IF(AND(YEAR($A756)=YEAR(Settings!$B$3),MONTH($A756)=MONTH(Settings!$B$3)),Settings!$B$12,0))</f>
        <v/>
      </c>
      <c r="Q756" s="78">
        <f>IF($A756="","",SUMIFS($I$5:$I$800,$A$5:$A$800,"&gt;="&amp;DATE(YEAR($A756),MONTH($A756),1),$A$5:$A$800,"&lt;="&amp;$A756)+IF(AND(YEAR($A756)=YEAR(Settings!$B$3),MONTH($A756)=MONTH(Settings!$B$3)),Settings!$B$13,0))</f>
        <v/>
      </c>
      <c r="R756" s="77">
        <f>IF($A756="","",N756+P756)</f>
        <v/>
      </c>
      <c r="S756" s="78">
        <f>IF($A756="","",O756+Q756)</f>
        <v/>
      </c>
    </row>
    <row r="757">
      <c r="A757" s="67" t="n"/>
      <c r="B757" s="75" t="n"/>
      <c r="C757" s="76" t="n"/>
      <c r="D757" s="75" t="n"/>
      <c r="E757" s="76" t="n"/>
      <c r="F757" s="75" t="n"/>
      <c r="G757" s="76" t="n"/>
      <c r="H757" s="75" t="n"/>
      <c r="I757" s="76" t="n"/>
      <c r="J757" s="77">
        <f>IF($A757="","",B757+D757+F757)</f>
        <v/>
      </c>
      <c r="K757" s="78">
        <f>IF($A757="","",C757+E757+G757)</f>
        <v/>
      </c>
      <c r="L757" s="79">
        <f>IF($A757="","",J757+H757)</f>
        <v/>
      </c>
      <c r="M757" s="80">
        <f>IF($A757="","",K757+I757)</f>
        <v/>
      </c>
      <c r="N757" s="77">
        <f>IF($A757="","",SUMIFS($J$5:$J$800,$A$5:$A$800,"&gt;="&amp;DATE(YEAR($A757),MONTH($A757),1),$A$5:$A$800,"&lt;="&amp;$A757)+IF(AND(YEAR($A757)=YEAR(Settings!$B$3),MONTH($A757)=MONTH(Settings!$B$3)),Settings!$B$10,0))</f>
        <v/>
      </c>
      <c r="O757" s="78">
        <f>IF($A757="","",SUMIFS($K$5:$K$800,$A$5:$A$800,"&gt;="&amp;DATE(YEAR($A757),MONTH($A757),1),$A$5:$A$800,"&lt;="&amp;$A757)+IF(AND(YEAR($A757)=YEAR(Settings!$B$3),MONTH($A757)=MONTH(Settings!$B$3)),Settings!$B$11,0))</f>
        <v/>
      </c>
      <c r="P757" s="77">
        <f>IF($A757="","",SUMIFS($H$5:$H$800,$A$5:$A$800,"&gt;="&amp;DATE(YEAR($A757),MONTH($A757),1),$A$5:$A$800,"&lt;="&amp;$A757)+IF(AND(YEAR($A757)=YEAR(Settings!$B$3),MONTH($A757)=MONTH(Settings!$B$3)),Settings!$B$12,0))</f>
        <v/>
      </c>
      <c r="Q757" s="78">
        <f>IF($A757="","",SUMIFS($I$5:$I$800,$A$5:$A$800,"&gt;="&amp;DATE(YEAR($A757),MONTH($A757),1),$A$5:$A$800,"&lt;="&amp;$A757)+IF(AND(YEAR($A757)=YEAR(Settings!$B$3),MONTH($A757)=MONTH(Settings!$B$3)),Settings!$B$13,0))</f>
        <v/>
      </c>
      <c r="R757" s="77">
        <f>IF($A757="","",N757+P757)</f>
        <v/>
      </c>
      <c r="S757" s="78">
        <f>IF($A757="","",O757+Q757)</f>
        <v/>
      </c>
    </row>
    <row r="758">
      <c r="A758" s="67" t="n"/>
      <c r="B758" s="75" t="n"/>
      <c r="C758" s="76" t="n"/>
      <c r="D758" s="75" t="n"/>
      <c r="E758" s="76" t="n"/>
      <c r="F758" s="75" t="n"/>
      <c r="G758" s="76" t="n"/>
      <c r="H758" s="75" t="n"/>
      <c r="I758" s="76" t="n"/>
      <c r="J758" s="77">
        <f>IF($A758="","",B758+D758+F758)</f>
        <v/>
      </c>
      <c r="K758" s="78">
        <f>IF($A758="","",C758+E758+G758)</f>
        <v/>
      </c>
      <c r="L758" s="79">
        <f>IF($A758="","",J758+H758)</f>
        <v/>
      </c>
      <c r="M758" s="80">
        <f>IF($A758="","",K758+I758)</f>
        <v/>
      </c>
      <c r="N758" s="77">
        <f>IF($A758="","",SUMIFS($J$5:$J$800,$A$5:$A$800,"&gt;="&amp;DATE(YEAR($A758),MONTH($A758),1),$A$5:$A$800,"&lt;="&amp;$A758)+IF(AND(YEAR($A758)=YEAR(Settings!$B$3),MONTH($A758)=MONTH(Settings!$B$3)),Settings!$B$10,0))</f>
        <v/>
      </c>
      <c r="O758" s="78">
        <f>IF($A758="","",SUMIFS($K$5:$K$800,$A$5:$A$800,"&gt;="&amp;DATE(YEAR($A758),MONTH($A758),1),$A$5:$A$800,"&lt;="&amp;$A758)+IF(AND(YEAR($A758)=YEAR(Settings!$B$3),MONTH($A758)=MONTH(Settings!$B$3)),Settings!$B$11,0))</f>
        <v/>
      </c>
      <c r="P758" s="77">
        <f>IF($A758="","",SUMIFS($H$5:$H$800,$A$5:$A$800,"&gt;="&amp;DATE(YEAR($A758),MONTH($A758),1),$A$5:$A$800,"&lt;="&amp;$A758)+IF(AND(YEAR($A758)=YEAR(Settings!$B$3),MONTH($A758)=MONTH(Settings!$B$3)),Settings!$B$12,0))</f>
        <v/>
      </c>
      <c r="Q758" s="78">
        <f>IF($A758="","",SUMIFS($I$5:$I$800,$A$5:$A$800,"&gt;="&amp;DATE(YEAR($A758),MONTH($A758),1),$A$5:$A$800,"&lt;="&amp;$A758)+IF(AND(YEAR($A758)=YEAR(Settings!$B$3),MONTH($A758)=MONTH(Settings!$B$3)),Settings!$B$13,0))</f>
        <v/>
      </c>
      <c r="R758" s="77">
        <f>IF($A758="","",N758+P758)</f>
        <v/>
      </c>
      <c r="S758" s="78">
        <f>IF($A758="","",O758+Q758)</f>
        <v/>
      </c>
    </row>
    <row r="759">
      <c r="A759" s="67" t="n"/>
      <c r="B759" s="75" t="n"/>
      <c r="C759" s="76" t="n"/>
      <c r="D759" s="75" t="n"/>
      <c r="E759" s="76" t="n"/>
      <c r="F759" s="75" t="n"/>
      <c r="G759" s="76" t="n"/>
      <c r="H759" s="75" t="n"/>
      <c r="I759" s="76" t="n"/>
      <c r="J759" s="77">
        <f>IF($A759="","",B759+D759+F759)</f>
        <v/>
      </c>
      <c r="K759" s="78">
        <f>IF($A759="","",C759+E759+G759)</f>
        <v/>
      </c>
      <c r="L759" s="79">
        <f>IF($A759="","",J759+H759)</f>
        <v/>
      </c>
      <c r="M759" s="80">
        <f>IF($A759="","",K759+I759)</f>
        <v/>
      </c>
      <c r="N759" s="77">
        <f>IF($A759="","",SUMIFS($J$5:$J$800,$A$5:$A$800,"&gt;="&amp;DATE(YEAR($A759),MONTH($A759),1),$A$5:$A$800,"&lt;="&amp;$A759)+IF(AND(YEAR($A759)=YEAR(Settings!$B$3),MONTH($A759)=MONTH(Settings!$B$3)),Settings!$B$10,0))</f>
        <v/>
      </c>
      <c r="O759" s="78">
        <f>IF($A759="","",SUMIFS($K$5:$K$800,$A$5:$A$800,"&gt;="&amp;DATE(YEAR($A759),MONTH($A759),1),$A$5:$A$800,"&lt;="&amp;$A759)+IF(AND(YEAR($A759)=YEAR(Settings!$B$3),MONTH($A759)=MONTH(Settings!$B$3)),Settings!$B$11,0))</f>
        <v/>
      </c>
      <c r="P759" s="77">
        <f>IF($A759="","",SUMIFS($H$5:$H$800,$A$5:$A$800,"&gt;="&amp;DATE(YEAR($A759),MONTH($A759),1),$A$5:$A$800,"&lt;="&amp;$A759)+IF(AND(YEAR($A759)=YEAR(Settings!$B$3),MONTH($A759)=MONTH(Settings!$B$3)),Settings!$B$12,0))</f>
        <v/>
      </c>
      <c r="Q759" s="78">
        <f>IF($A759="","",SUMIFS($I$5:$I$800,$A$5:$A$800,"&gt;="&amp;DATE(YEAR($A759),MONTH($A759),1),$A$5:$A$800,"&lt;="&amp;$A759)+IF(AND(YEAR($A759)=YEAR(Settings!$B$3),MONTH($A759)=MONTH(Settings!$B$3)),Settings!$B$13,0))</f>
        <v/>
      </c>
      <c r="R759" s="77">
        <f>IF($A759="","",N759+P759)</f>
        <v/>
      </c>
      <c r="S759" s="78">
        <f>IF($A759="","",O759+Q759)</f>
        <v/>
      </c>
    </row>
    <row r="760">
      <c r="A760" s="67" t="n"/>
      <c r="B760" s="75" t="n"/>
      <c r="C760" s="76" t="n"/>
      <c r="D760" s="75" t="n"/>
      <c r="E760" s="76" t="n"/>
      <c r="F760" s="75" t="n"/>
      <c r="G760" s="76" t="n"/>
      <c r="H760" s="75" t="n"/>
      <c r="I760" s="76" t="n"/>
      <c r="J760" s="77">
        <f>IF($A760="","",B760+D760+F760)</f>
        <v/>
      </c>
      <c r="K760" s="78">
        <f>IF($A760="","",C760+E760+G760)</f>
        <v/>
      </c>
      <c r="L760" s="79">
        <f>IF($A760="","",J760+H760)</f>
        <v/>
      </c>
      <c r="M760" s="80">
        <f>IF($A760="","",K760+I760)</f>
        <v/>
      </c>
      <c r="N760" s="77">
        <f>IF($A760="","",SUMIFS($J$5:$J$800,$A$5:$A$800,"&gt;="&amp;DATE(YEAR($A760),MONTH($A760),1),$A$5:$A$800,"&lt;="&amp;$A760)+IF(AND(YEAR($A760)=YEAR(Settings!$B$3),MONTH($A760)=MONTH(Settings!$B$3)),Settings!$B$10,0))</f>
        <v/>
      </c>
      <c r="O760" s="78">
        <f>IF($A760="","",SUMIFS($K$5:$K$800,$A$5:$A$800,"&gt;="&amp;DATE(YEAR($A760),MONTH($A760),1),$A$5:$A$800,"&lt;="&amp;$A760)+IF(AND(YEAR($A760)=YEAR(Settings!$B$3),MONTH($A760)=MONTH(Settings!$B$3)),Settings!$B$11,0))</f>
        <v/>
      </c>
      <c r="P760" s="77">
        <f>IF($A760="","",SUMIFS($H$5:$H$800,$A$5:$A$800,"&gt;="&amp;DATE(YEAR($A760),MONTH($A760),1),$A$5:$A$800,"&lt;="&amp;$A760)+IF(AND(YEAR($A760)=YEAR(Settings!$B$3),MONTH($A760)=MONTH(Settings!$B$3)),Settings!$B$12,0))</f>
        <v/>
      </c>
      <c r="Q760" s="78">
        <f>IF($A760="","",SUMIFS($I$5:$I$800,$A$5:$A$800,"&gt;="&amp;DATE(YEAR($A760),MONTH($A760),1),$A$5:$A$800,"&lt;="&amp;$A760)+IF(AND(YEAR($A760)=YEAR(Settings!$B$3),MONTH($A760)=MONTH(Settings!$B$3)),Settings!$B$13,0))</f>
        <v/>
      </c>
      <c r="R760" s="77">
        <f>IF($A760="","",N760+P760)</f>
        <v/>
      </c>
      <c r="S760" s="78">
        <f>IF($A760="","",O760+Q760)</f>
        <v/>
      </c>
    </row>
    <row r="761">
      <c r="A761" s="67" t="n"/>
      <c r="B761" s="75" t="n"/>
      <c r="C761" s="76" t="n"/>
      <c r="D761" s="75" t="n"/>
      <c r="E761" s="76" t="n"/>
      <c r="F761" s="75" t="n"/>
      <c r="G761" s="76" t="n"/>
      <c r="H761" s="75" t="n"/>
      <c r="I761" s="76" t="n"/>
      <c r="J761" s="77">
        <f>IF($A761="","",B761+D761+F761)</f>
        <v/>
      </c>
      <c r="K761" s="78">
        <f>IF($A761="","",C761+E761+G761)</f>
        <v/>
      </c>
      <c r="L761" s="79">
        <f>IF($A761="","",J761+H761)</f>
        <v/>
      </c>
      <c r="M761" s="80">
        <f>IF($A761="","",K761+I761)</f>
        <v/>
      </c>
      <c r="N761" s="77">
        <f>IF($A761="","",SUMIFS($J$5:$J$800,$A$5:$A$800,"&gt;="&amp;DATE(YEAR($A761),MONTH($A761),1),$A$5:$A$800,"&lt;="&amp;$A761)+IF(AND(YEAR($A761)=YEAR(Settings!$B$3),MONTH($A761)=MONTH(Settings!$B$3)),Settings!$B$10,0))</f>
        <v/>
      </c>
      <c r="O761" s="78">
        <f>IF($A761="","",SUMIFS($K$5:$K$800,$A$5:$A$800,"&gt;="&amp;DATE(YEAR($A761),MONTH($A761),1),$A$5:$A$800,"&lt;="&amp;$A761)+IF(AND(YEAR($A761)=YEAR(Settings!$B$3),MONTH($A761)=MONTH(Settings!$B$3)),Settings!$B$11,0))</f>
        <v/>
      </c>
      <c r="P761" s="77">
        <f>IF($A761="","",SUMIFS($H$5:$H$800,$A$5:$A$800,"&gt;="&amp;DATE(YEAR($A761),MONTH($A761),1),$A$5:$A$800,"&lt;="&amp;$A761)+IF(AND(YEAR($A761)=YEAR(Settings!$B$3),MONTH($A761)=MONTH(Settings!$B$3)),Settings!$B$12,0))</f>
        <v/>
      </c>
      <c r="Q761" s="78">
        <f>IF($A761="","",SUMIFS($I$5:$I$800,$A$5:$A$800,"&gt;="&amp;DATE(YEAR($A761),MONTH($A761),1),$A$5:$A$800,"&lt;="&amp;$A761)+IF(AND(YEAR($A761)=YEAR(Settings!$B$3),MONTH($A761)=MONTH(Settings!$B$3)),Settings!$B$13,0))</f>
        <v/>
      </c>
      <c r="R761" s="77">
        <f>IF($A761="","",N761+P761)</f>
        <v/>
      </c>
      <c r="S761" s="78">
        <f>IF($A761="","",O761+Q761)</f>
        <v/>
      </c>
    </row>
    <row r="762">
      <c r="A762" s="67" t="n"/>
      <c r="B762" s="75" t="n"/>
      <c r="C762" s="76" t="n"/>
      <c r="D762" s="75" t="n"/>
      <c r="E762" s="76" t="n"/>
      <c r="F762" s="75" t="n"/>
      <c r="G762" s="76" t="n"/>
      <c r="H762" s="75" t="n"/>
      <c r="I762" s="76" t="n"/>
      <c r="J762" s="77">
        <f>IF($A762="","",B762+D762+F762)</f>
        <v/>
      </c>
      <c r="K762" s="78">
        <f>IF($A762="","",C762+E762+G762)</f>
        <v/>
      </c>
      <c r="L762" s="79">
        <f>IF($A762="","",J762+H762)</f>
        <v/>
      </c>
      <c r="M762" s="80">
        <f>IF($A762="","",K762+I762)</f>
        <v/>
      </c>
      <c r="N762" s="77">
        <f>IF($A762="","",SUMIFS($J$5:$J$800,$A$5:$A$800,"&gt;="&amp;DATE(YEAR($A762),MONTH($A762),1),$A$5:$A$800,"&lt;="&amp;$A762)+IF(AND(YEAR($A762)=YEAR(Settings!$B$3),MONTH($A762)=MONTH(Settings!$B$3)),Settings!$B$10,0))</f>
        <v/>
      </c>
      <c r="O762" s="78">
        <f>IF($A762="","",SUMIFS($K$5:$K$800,$A$5:$A$800,"&gt;="&amp;DATE(YEAR($A762),MONTH($A762),1),$A$5:$A$800,"&lt;="&amp;$A762)+IF(AND(YEAR($A762)=YEAR(Settings!$B$3),MONTH($A762)=MONTH(Settings!$B$3)),Settings!$B$11,0))</f>
        <v/>
      </c>
      <c r="P762" s="77">
        <f>IF($A762="","",SUMIFS($H$5:$H$800,$A$5:$A$800,"&gt;="&amp;DATE(YEAR($A762),MONTH($A762),1),$A$5:$A$800,"&lt;="&amp;$A762)+IF(AND(YEAR($A762)=YEAR(Settings!$B$3),MONTH($A762)=MONTH(Settings!$B$3)),Settings!$B$12,0))</f>
        <v/>
      </c>
      <c r="Q762" s="78">
        <f>IF($A762="","",SUMIFS($I$5:$I$800,$A$5:$A$800,"&gt;="&amp;DATE(YEAR($A762),MONTH($A762),1),$A$5:$A$800,"&lt;="&amp;$A762)+IF(AND(YEAR($A762)=YEAR(Settings!$B$3),MONTH($A762)=MONTH(Settings!$B$3)),Settings!$B$13,0))</f>
        <v/>
      </c>
      <c r="R762" s="77">
        <f>IF($A762="","",N762+P762)</f>
        <v/>
      </c>
      <c r="S762" s="78">
        <f>IF($A762="","",O762+Q762)</f>
        <v/>
      </c>
    </row>
    <row r="763">
      <c r="A763" s="67" t="n"/>
      <c r="B763" s="75" t="n"/>
      <c r="C763" s="76" t="n"/>
      <c r="D763" s="75" t="n"/>
      <c r="E763" s="76" t="n"/>
      <c r="F763" s="75" t="n"/>
      <c r="G763" s="76" t="n"/>
      <c r="H763" s="75" t="n"/>
      <c r="I763" s="76" t="n"/>
      <c r="J763" s="77">
        <f>IF($A763="","",B763+D763+F763)</f>
        <v/>
      </c>
      <c r="K763" s="78">
        <f>IF($A763="","",C763+E763+G763)</f>
        <v/>
      </c>
      <c r="L763" s="79">
        <f>IF($A763="","",J763+H763)</f>
        <v/>
      </c>
      <c r="M763" s="80">
        <f>IF($A763="","",K763+I763)</f>
        <v/>
      </c>
      <c r="N763" s="77">
        <f>IF($A763="","",SUMIFS($J$5:$J$800,$A$5:$A$800,"&gt;="&amp;DATE(YEAR($A763),MONTH($A763),1),$A$5:$A$800,"&lt;="&amp;$A763)+IF(AND(YEAR($A763)=YEAR(Settings!$B$3),MONTH($A763)=MONTH(Settings!$B$3)),Settings!$B$10,0))</f>
        <v/>
      </c>
      <c r="O763" s="78">
        <f>IF($A763="","",SUMIFS($K$5:$K$800,$A$5:$A$800,"&gt;="&amp;DATE(YEAR($A763),MONTH($A763),1),$A$5:$A$800,"&lt;="&amp;$A763)+IF(AND(YEAR($A763)=YEAR(Settings!$B$3),MONTH($A763)=MONTH(Settings!$B$3)),Settings!$B$11,0))</f>
        <v/>
      </c>
      <c r="P763" s="77">
        <f>IF($A763="","",SUMIFS($H$5:$H$800,$A$5:$A$800,"&gt;="&amp;DATE(YEAR($A763),MONTH($A763),1),$A$5:$A$800,"&lt;="&amp;$A763)+IF(AND(YEAR($A763)=YEAR(Settings!$B$3),MONTH($A763)=MONTH(Settings!$B$3)),Settings!$B$12,0))</f>
        <v/>
      </c>
      <c r="Q763" s="78">
        <f>IF($A763="","",SUMIFS($I$5:$I$800,$A$5:$A$800,"&gt;="&amp;DATE(YEAR($A763),MONTH($A763),1),$A$5:$A$800,"&lt;="&amp;$A763)+IF(AND(YEAR($A763)=YEAR(Settings!$B$3),MONTH($A763)=MONTH(Settings!$B$3)),Settings!$B$13,0))</f>
        <v/>
      </c>
      <c r="R763" s="77">
        <f>IF($A763="","",N763+P763)</f>
        <v/>
      </c>
      <c r="S763" s="78">
        <f>IF($A763="","",O763+Q763)</f>
        <v/>
      </c>
    </row>
    <row r="764">
      <c r="A764" s="67" t="n"/>
      <c r="B764" s="75" t="n"/>
      <c r="C764" s="76" t="n"/>
      <c r="D764" s="75" t="n"/>
      <c r="E764" s="76" t="n"/>
      <c r="F764" s="75" t="n"/>
      <c r="G764" s="76" t="n"/>
      <c r="H764" s="75" t="n"/>
      <c r="I764" s="76" t="n"/>
      <c r="J764" s="77">
        <f>IF($A764="","",B764+D764+F764)</f>
        <v/>
      </c>
      <c r="K764" s="78">
        <f>IF($A764="","",C764+E764+G764)</f>
        <v/>
      </c>
      <c r="L764" s="79">
        <f>IF($A764="","",J764+H764)</f>
        <v/>
      </c>
      <c r="M764" s="80">
        <f>IF($A764="","",K764+I764)</f>
        <v/>
      </c>
      <c r="N764" s="77">
        <f>IF($A764="","",SUMIFS($J$5:$J$800,$A$5:$A$800,"&gt;="&amp;DATE(YEAR($A764),MONTH($A764),1),$A$5:$A$800,"&lt;="&amp;$A764)+IF(AND(YEAR($A764)=YEAR(Settings!$B$3),MONTH($A764)=MONTH(Settings!$B$3)),Settings!$B$10,0))</f>
        <v/>
      </c>
      <c r="O764" s="78">
        <f>IF($A764="","",SUMIFS($K$5:$K$800,$A$5:$A$800,"&gt;="&amp;DATE(YEAR($A764),MONTH($A764),1),$A$5:$A$800,"&lt;="&amp;$A764)+IF(AND(YEAR($A764)=YEAR(Settings!$B$3),MONTH($A764)=MONTH(Settings!$B$3)),Settings!$B$11,0))</f>
        <v/>
      </c>
      <c r="P764" s="77">
        <f>IF($A764="","",SUMIFS($H$5:$H$800,$A$5:$A$800,"&gt;="&amp;DATE(YEAR($A764),MONTH($A764),1),$A$5:$A$800,"&lt;="&amp;$A764)+IF(AND(YEAR($A764)=YEAR(Settings!$B$3),MONTH($A764)=MONTH(Settings!$B$3)),Settings!$B$12,0))</f>
        <v/>
      </c>
      <c r="Q764" s="78">
        <f>IF($A764="","",SUMIFS($I$5:$I$800,$A$5:$A$800,"&gt;="&amp;DATE(YEAR($A764),MONTH($A764),1),$A$5:$A$800,"&lt;="&amp;$A764)+IF(AND(YEAR($A764)=YEAR(Settings!$B$3),MONTH($A764)=MONTH(Settings!$B$3)),Settings!$B$13,0))</f>
        <v/>
      </c>
      <c r="R764" s="77">
        <f>IF($A764="","",N764+P764)</f>
        <v/>
      </c>
      <c r="S764" s="78">
        <f>IF($A764="","",O764+Q764)</f>
        <v/>
      </c>
    </row>
    <row r="765">
      <c r="A765" s="67" t="n"/>
      <c r="B765" s="75" t="n"/>
      <c r="C765" s="76" t="n"/>
      <c r="D765" s="75" t="n"/>
      <c r="E765" s="76" t="n"/>
      <c r="F765" s="75" t="n"/>
      <c r="G765" s="76" t="n"/>
      <c r="H765" s="75" t="n"/>
      <c r="I765" s="76" t="n"/>
      <c r="J765" s="77">
        <f>IF($A765="","",B765+D765+F765)</f>
        <v/>
      </c>
      <c r="K765" s="78">
        <f>IF($A765="","",C765+E765+G765)</f>
        <v/>
      </c>
      <c r="L765" s="79">
        <f>IF($A765="","",J765+H765)</f>
        <v/>
      </c>
      <c r="M765" s="80">
        <f>IF($A765="","",K765+I765)</f>
        <v/>
      </c>
      <c r="N765" s="77">
        <f>IF($A765="","",SUMIFS($J$5:$J$800,$A$5:$A$800,"&gt;="&amp;DATE(YEAR($A765),MONTH($A765),1),$A$5:$A$800,"&lt;="&amp;$A765)+IF(AND(YEAR($A765)=YEAR(Settings!$B$3),MONTH($A765)=MONTH(Settings!$B$3)),Settings!$B$10,0))</f>
        <v/>
      </c>
      <c r="O765" s="78">
        <f>IF($A765="","",SUMIFS($K$5:$K$800,$A$5:$A$800,"&gt;="&amp;DATE(YEAR($A765),MONTH($A765),1),$A$5:$A$800,"&lt;="&amp;$A765)+IF(AND(YEAR($A765)=YEAR(Settings!$B$3),MONTH($A765)=MONTH(Settings!$B$3)),Settings!$B$11,0))</f>
        <v/>
      </c>
      <c r="P765" s="77">
        <f>IF($A765="","",SUMIFS($H$5:$H$800,$A$5:$A$800,"&gt;="&amp;DATE(YEAR($A765),MONTH($A765),1),$A$5:$A$800,"&lt;="&amp;$A765)+IF(AND(YEAR($A765)=YEAR(Settings!$B$3),MONTH($A765)=MONTH(Settings!$B$3)),Settings!$B$12,0))</f>
        <v/>
      </c>
      <c r="Q765" s="78">
        <f>IF($A765="","",SUMIFS($I$5:$I$800,$A$5:$A$800,"&gt;="&amp;DATE(YEAR($A765),MONTH($A765),1),$A$5:$A$800,"&lt;="&amp;$A765)+IF(AND(YEAR($A765)=YEAR(Settings!$B$3),MONTH($A765)=MONTH(Settings!$B$3)),Settings!$B$13,0))</f>
        <v/>
      </c>
      <c r="R765" s="77">
        <f>IF($A765="","",N765+P765)</f>
        <v/>
      </c>
      <c r="S765" s="78">
        <f>IF($A765="","",O765+Q765)</f>
        <v/>
      </c>
    </row>
    <row r="766">
      <c r="A766" s="67" t="n"/>
      <c r="B766" s="75" t="n"/>
      <c r="C766" s="76" t="n"/>
      <c r="D766" s="75" t="n"/>
      <c r="E766" s="76" t="n"/>
      <c r="F766" s="75" t="n"/>
      <c r="G766" s="76" t="n"/>
      <c r="H766" s="75" t="n"/>
      <c r="I766" s="76" t="n"/>
      <c r="J766" s="77">
        <f>IF($A766="","",B766+D766+F766)</f>
        <v/>
      </c>
      <c r="K766" s="78">
        <f>IF($A766="","",C766+E766+G766)</f>
        <v/>
      </c>
      <c r="L766" s="79">
        <f>IF($A766="","",J766+H766)</f>
        <v/>
      </c>
      <c r="M766" s="80">
        <f>IF($A766="","",K766+I766)</f>
        <v/>
      </c>
      <c r="N766" s="77">
        <f>IF($A766="","",SUMIFS($J$5:$J$800,$A$5:$A$800,"&gt;="&amp;DATE(YEAR($A766),MONTH($A766),1),$A$5:$A$800,"&lt;="&amp;$A766)+IF(AND(YEAR($A766)=YEAR(Settings!$B$3),MONTH($A766)=MONTH(Settings!$B$3)),Settings!$B$10,0))</f>
        <v/>
      </c>
      <c r="O766" s="78">
        <f>IF($A766="","",SUMIFS($K$5:$K$800,$A$5:$A$800,"&gt;="&amp;DATE(YEAR($A766),MONTH($A766),1),$A$5:$A$800,"&lt;="&amp;$A766)+IF(AND(YEAR($A766)=YEAR(Settings!$B$3),MONTH($A766)=MONTH(Settings!$B$3)),Settings!$B$11,0))</f>
        <v/>
      </c>
      <c r="P766" s="77">
        <f>IF($A766="","",SUMIFS($H$5:$H$800,$A$5:$A$800,"&gt;="&amp;DATE(YEAR($A766),MONTH($A766),1),$A$5:$A$800,"&lt;="&amp;$A766)+IF(AND(YEAR($A766)=YEAR(Settings!$B$3),MONTH($A766)=MONTH(Settings!$B$3)),Settings!$B$12,0))</f>
        <v/>
      </c>
      <c r="Q766" s="78">
        <f>IF($A766="","",SUMIFS($I$5:$I$800,$A$5:$A$800,"&gt;="&amp;DATE(YEAR($A766),MONTH($A766),1),$A$5:$A$800,"&lt;="&amp;$A766)+IF(AND(YEAR($A766)=YEAR(Settings!$B$3),MONTH($A766)=MONTH(Settings!$B$3)),Settings!$B$13,0))</f>
        <v/>
      </c>
      <c r="R766" s="77">
        <f>IF($A766="","",N766+P766)</f>
        <v/>
      </c>
      <c r="S766" s="78">
        <f>IF($A766="","",O766+Q766)</f>
        <v/>
      </c>
    </row>
    <row r="767">
      <c r="A767" s="67" t="n"/>
      <c r="B767" s="75" t="n"/>
      <c r="C767" s="76" t="n"/>
      <c r="D767" s="75" t="n"/>
      <c r="E767" s="76" t="n"/>
      <c r="F767" s="75" t="n"/>
      <c r="G767" s="76" t="n"/>
      <c r="H767" s="75" t="n"/>
      <c r="I767" s="76" t="n"/>
      <c r="J767" s="77">
        <f>IF($A767="","",B767+D767+F767)</f>
        <v/>
      </c>
      <c r="K767" s="78">
        <f>IF($A767="","",C767+E767+G767)</f>
        <v/>
      </c>
      <c r="L767" s="79">
        <f>IF($A767="","",J767+H767)</f>
        <v/>
      </c>
      <c r="M767" s="80">
        <f>IF($A767="","",K767+I767)</f>
        <v/>
      </c>
      <c r="N767" s="77">
        <f>IF($A767="","",SUMIFS($J$5:$J$800,$A$5:$A$800,"&gt;="&amp;DATE(YEAR($A767),MONTH($A767),1),$A$5:$A$800,"&lt;="&amp;$A767)+IF(AND(YEAR($A767)=YEAR(Settings!$B$3),MONTH($A767)=MONTH(Settings!$B$3)),Settings!$B$10,0))</f>
        <v/>
      </c>
      <c r="O767" s="78">
        <f>IF($A767="","",SUMIFS($K$5:$K$800,$A$5:$A$800,"&gt;="&amp;DATE(YEAR($A767),MONTH($A767),1),$A$5:$A$800,"&lt;="&amp;$A767)+IF(AND(YEAR($A767)=YEAR(Settings!$B$3),MONTH($A767)=MONTH(Settings!$B$3)),Settings!$B$11,0))</f>
        <v/>
      </c>
      <c r="P767" s="77">
        <f>IF($A767="","",SUMIFS($H$5:$H$800,$A$5:$A$800,"&gt;="&amp;DATE(YEAR($A767),MONTH($A767),1),$A$5:$A$800,"&lt;="&amp;$A767)+IF(AND(YEAR($A767)=YEAR(Settings!$B$3),MONTH($A767)=MONTH(Settings!$B$3)),Settings!$B$12,0))</f>
        <v/>
      </c>
      <c r="Q767" s="78">
        <f>IF($A767="","",SUMIFS($I$5:$I$800,$A$5:$A$800,"&gt;="&amp;DATE(YEAR($A767),MONTH($A767),1),$A$5:$A$800,"&lt;="&amp;$A767)+IF(AND(YEAR($A767)=YEAR(Settings!$B$3),MONTH($A767)=MONTH(Settings!$B$3)),Settings!$B$13,0))</f>
        <v/>
      </c>
      <c r="R767" s="77">
        <f>IF($A767="","",N767+P767)</f>
        <v/>
      </c>
      <c r="S767" s="78">
        <f>IF($A767="","",O767+Q767)</f>
        <v/>
      </c>
    </row>
    <row r="768">
      <c r="A768" s="67" t="n"/>
      <c r="B768" s="75" t="n"/>
      <c r="C768" s="76" t="n"/>
      <c r="D768" s="75" t="n"/>
      <c r="E768" s="76" t="n"/>
      <c r="F768" s="75" t="n"/>
      <c r="G768" s="76" t="n"/>
      <c r="H768" s="75" t="n"/>
      <c r="I768" s="76" t="n"/>
      <c r="J768" s="77">
        <f>IF($A768="","",B768+D768+F768)</f>
        <v/>
      </c>
      <c r="K768" s="78">
        <f>IF($A768="","",C768+E768+G768)</f>
        <v/>
      </c>
      <c r="L768" s="79">
        <f>IF($A768="","",J768+H768)</f>
        <v/>
      </c>
      <c r="M768" s="80">
        <f>IF($A768="","",K768+I768)</f>
        <v/>
      </c>
      <c r="N768" s="77">
        <f>IF($A768="","",SUMIFS($J$5:$J$800,$A$5:$A$800,"&gt;="&amp;DATE(YEAR($A768),MONTH($A768),1),$A$5:$A$800,"&lt;="&amp;$A768)+IF(AND(YEAR($A768)=YEAR(Settings!$B$3),MONTH($A768)=MONTH(Settings!$B$3)),Settings!$B$10,0))</f>
        <v/>
      </c>
      <c r="O768" s="78">
        <f>IF($A768="","",SUMIFS($K$5:$K$800,$A$5:$A$800,"&gt;="&amp;DATE(YEAR($A768),MONTH($A768),1),$A$5:$A$800,"&lt;="&amp;$A768)+IF(AND(YEAR($A768)=YEAR(Settings!$B$3),MONTH($A768)=MONTH(Settings!$B$3)),Settings!$B$11,0))</f>
        <v/>
      </c>
      <c r="P768" s="77">
        <f>IF($A768="","",SUMIFS($H$5:$H$800,$A$5:$A$800,"&gt;="&amp;DATE(YEAR($A768),MONTH($A768),1),$A$5:$A$800,"&lt;="&amp;$A768)+IF(AND(YEAR($A768)=YEAR(Settings!$B$3),MONTH($A768)=MONTH(Settings!$B$3)),Settings!$B$12,0))</f>
        <v/>
      </c>
      <c r="Q768" s="78">
        <f>IF($A768="","",SUMIFS($I$5:$I$800,$A$5:$A$800,"&gt;="&amp;DATE(YEAR($A768),MONTH($A768),1),$A$5:$A$800,"&lt;="&amp;$A768)+IF(AND(YEAR($A768)=YEAR(Settings!$B$3),MONTH($A768)=MONTH(Settings!$B$3)),Settings!$B$13,0))</f>
        <v/>
      </c>
      <c r="R768" s="77">
        <f>IF($A768="","",N768+P768)</f>
        <v/>
      </c>
      <c r="S768" s="78">
        <f>IF($A768="","",O768+Q768)</f>
        <v/>
      </c>
    </row>
    <row r="769">
      <c r="A769" s="67" t="n"/>
      <c r="B769" s="75" t="n"/>
      <c r="C769" s="76" t="n"/>
      <c r="D769" s="75" t="n"/>
      <c r="E769" s="76" t="n"/>
      <c r="F769" s="75" t="n"/>
      <c r="G769" s="76" t="n"/>
      <c r="H769" s="75" t="n"/>
      <c r="I769" s="76" t="n"/>
      <c r="J769" s="77">
        <f>IF($A769="","",B769+D769+F769)</f>
        <v/>
      </c>
      <c r="K769" s="78">
        <f>IF($A769="","",C769+E769+G769)</f>
        <v/>
      </c>
      <c r="L769" s="79">
        <f>IF($A769="","",J769+H769)</f>
        <v/>
      </c>
      <c r="M769" s="80">
        <f>IF($A769="","",K769+I769)</f>
        <v/>
      </c>
      <c r="N769" s="77">
        <f>IF($A769="","",SUMIFS($J$5:$J$800,$A$5:$A$800,"&gt;="&amp;DATE(YEAR($A769),MONTH($A769),1),$A$5:$A$800,"&lt;="&amp;$A769)+IF(AND(YEAR($A769)=YEAR(Settings!$B$3),MONTH($A769)=MONTH(Settings!$B$3)),Settings!$B$10,0))</f>
        <v/>
      </c>
      <c r="O769" s="78">
        <f>IF($A769="","",SUMIFS($K$5:$K$800,$A$5:$A$800,"&gt;="&amp;DATE(YEAR($A769),MONTH($A769),1),$A$5:$A$800,"&lt;="&amp;$A769)+IF(AND(YEAR($A769)=YEAR(Settings!$B$3),MONTH($A769)=MONTH(Settings!$B$3)),Settings!$B$11,0))</f>
        <v/>
      </c>
      <c r="P769" s="77">
        <f>IF($A769="","",SUMIFS($H$5:$H$800,$A$5:$A$800,"&gt;="&amp;DATE(YEAR($A769),MONTH($A769),1),$A$5:$A$800,"&lt;="&amp;$A769)+IF(AND(YEAR($A769)=YEAR(Settings!$B$3),MONTH($A769)=MONTH(Settings!$B$3)),Settings!$B$12,0))</f>
        <v/>
      </c>
      <c r="Q769" s="78">
        <f>IF($A769="","",SUMIFS($I$5:$I$800,$A$5:$A$800,"&gt;="&amp;DATE(YEAR($A769),MONTH($A769),1),$A$5:$A$800,"&lt;="&amp;$A769)+IF(AND(YEAR($A769)=YEAR(Settings!$B$3),MONTH($A769)=MONTH(Settings!$B$3)),Settings!$B$13,0))</f>
        <v/>
      </c>
      <c r="R769" s="77">
        <f>IF($A769="","",N769+P769)</f>
        <v/>
      </c>
      <c r="S769" s="78">
        <f>IF($A769="","",O769+Q769)</f>
        <v/>
      </c>
    </row>
    <row r="770">
      <c r="A770" s="67" t="n"/>
      <c r="B770" s="75" t="n"/>
      <c r="C770" s="76" t="n"/>
      <c r="D770" s="75" t="n"/>
      <c r="E770" s="76" t="n"/>
      <c r="F770" s="75" t="n"/>
      <c r="G770" s="76" t="n"/>
      <c r="H770" s="75" t="n"/>
      <c r="I770" s="76" t="n"/>
      <c r="J770" s="77">
        <f>IF($A770="","",B770+D770+F770)</f>
        <v/>
      </c>
      <c r="K770" s="78">
        <f>IF($A770="","",C770+E770+G770)</f>
        <v/>
      </c>
      <c r="L770" s="79">
        <f>IF($A770="","",J770+H770)</f>
        <v/>
      </c>
      <c r="M770" s="80">
        <f>IF($A770="","",K770+I770)</f>
        <v/>
      </c>
      <c r="N770" s="77">
        <f>IF($A770="","",SUMIFS($J$5:$J$800,$A$5:$A$800,"&gt;="&amp;DATE(YEAR($A770),MONTH($A770),1),$A$5:$A$800,"&lt;="&amp;$A770)+IF(AND(YEAR($A770)=YEAR(Settings!$B$3),MONTH($A770)=MONTH(Settings!$B$3)),Settings!$B$10,0))</f>
        <v/>
      </c>
      <c r="O770" s="78">
        <f>IF($A770="","",SUMIFS($K$5:$K$800,$A$5:$A$800,"&gt;="&amp;DATE(YEAR($A770),MONTH($A770),1),$A$5:$A$800,"&lt;="&amp;$A770)+IF(AND(YEAR($A770)=YEAR(Settings!$B$3),MONTH($A770)=MONTH(Settings!$B$3)),Settings!$B$11,0))</f>
        <v/>
      </c>
      <c r="P770" s="77">
        <f>IF($A770="","",SUMIFS($H$5:$H$800,$A$5:$A$800,"&gt;="&amp;DATE(YEAR($A770),MONTH($A770),1),$A$5:$A$800,"&lt;="&amp;$A770)+IF(AND(YEAR($A770)=YEAR(Settings!$B$3),MONTH($A770)=MONTH(Settings!$B$3)),Settings!$B$12,0))</f>
        <v/>
      </c>
      <c r="Q770" s="78">
        <f>IF($A770="","",SUMIFS($I$5:$I$800,$A$5:$A$800,"&gt;="&amp;DATE(YEAR($A770),MONTH($A770),1),$A$5:$A$800,"&lt;="&amp;$A770)+IF(AND(YEAR($A770)=YEAR(Settings!$B$3),MONTH($A770)=MONTH(Settings!$B$3)),Settings!$B$13,0))</f>
        <v/>
      </c>
      <c r="R770" s="77">
        <f>IF($A770="","",N770+P770)</f>
        <v/>
      </c>
      <c r="S770" s="78">
        <f>IF($A770="","",O770+Q770)</f>
        <v/>
      </c>
    </row>
    <row r="771">
      <c r="A771" s="67" t="n"/>
      <c r="B771" s="75" t="n"/>
      <c r="C771" s="76" t="n"/>
      <c r="D771" s="75" t="n"/>
      <c r="E771" s="76" t="n"/>
      <c r="F771" s="75" t="n"/>
      <c r="G771" s="76" t="n"/>
      <c r="H771" s="75" t="n"/>
      <c r="I771" s="76" t="n"/>
      <c r="J771" s="77">
        <f>IF($A771="","",B771+D771+F771)</f>
        <v/>
      </c>
      <c r="K771" s="78">
        <f>IF($A771="","",C771+E771+G771)</f>
        <v/>
      </c>
      <c r="L771" s="79">
        <f>IF($A771="","",J771+H771)</f>
        <v/>
      </c>
      <c r="M771" s="80">
        <f>IF($A771="","",K771+I771)</f>
        <v/>
      </c>
      <c r="N771" s="77">
        <f>IF($A771="","",SUMIFS($J$5:$J$800,$A$5:$A$800,"&gt;="&amp;DATE(YEAR($A771),MONTH($A771),1),$A$5:$A$800,"&lt;="&amp;$A771)+IF(AND(YEAR($A771)=YEAR(Settings!$B$3),MONTH($A771)=MONTH(Settings!$B$3)),Settings!$B$10,0))</f>
        <v/>
      </c>
      <c r="O771" s="78">
        <f>IF($A771="","",SUMIFS($K$5:$K$800,$A$5:$A$800,"&gt;="&amp;DATE(YEAR($A771),MONTH($A771),1),$A$5:$A$800,"&lt;="&amp;$A771)+IF(AND(YEAR($A771)=YEAR(Settings!$B$3),MONTH($A771)=MONTH(Settings!$B$3)),Settings!$B$11,0))</f>
        <v/>
      </c>
      <c r="P771" s="77">
        <f>IF($A771="","",SUMIFS($H$5:$H$800,$A$5:$A$800,"&gt;="&amp;DATE(YEAR($A771),MONTH($A771),1),$A$5:$A$800,"&lt;="&amp;$A771)+IF(AND(YEAR($A771)=YEAR(Settings!$B$3),MONTH($A771)=MONTH(Settings!$B$3)),Settings!$B$12,0))</f>
        <v/>
      </c>
      <c r="Q771" s="78">
        <f>IF($A771="","",SUMIFS($I$5:$I$800,$A$5:$A$800,"&gt;="&amp;DATE(YEAR($A771),MONTH($A771),1),$A$5:$A$800,"&lt;="&amp;$A771)+IF(AND(YEAR($A771)=YEAR(Settings!$B$3),MONTH($A771)=MONTH(Settings!$B$3)),Settings!$B$13,0))</f>
        <v/>
      </c>
      <c r="R771" s="77">
        <f>IF($A771="","",N771+P771)</f>
        <v/>
      </c>
      <c r="S771" s="78">
        <f>IF($A771="","",O771+Q771)</f>
        <v/>
      </c>
    </row>
    <row r="772">
      <c r="A772" s="67" t="n"/>
      <c r="B772" s="75" t="n"/>
      <c r="C772" s="76" t="n"/>
      <c r="D772" s="75" t="n"/>
      <c r="E772" s="76" t="n"/>
      <c r="F772" s="75" t="n"/>
      <c r="G772" s="76" t="n"/>
      <c r="H772" s="75" t="n"/>
      <c r="I772" s="76" t="n"/>
      <c r="J772" s="77">
        <f>IF($A772="","",B772+D772+F772)</f>
        <v/>
      </c>
      <c r="K772" s="78">
        <f>IF($A772="","",C772+E772+G772)</f>
        <v/>
      </c>
      <c r="L772" s="79">
        <f>IF($A772="","",J772+H772)</f>
        <v/>
      </c>
      <c r="M772" s="80">
        <f>IF($A772="","",K772+I772)</f>
        <v/>
      </c>
      <c r="N772" s="77">
        <f>IF($A772="","",SUMIFS($J$5:$J$800,$A$5:$A$800,"&gt;="&amp;DATE(YEAR($A772),MONTH($A772),1),$A$5:$A$800,"&lt;="&amp;$A772)+IF(AND(YEAR($A772)=YEAR(Settings!$B$3),MONTH($A772)=MONTH(Settings!$B$3)),Settings!$B$10,0))</f>
        <v/>
      </c>
      <c r="O772" s="78">
        <f>IF($A772="","",SUMIFS($K$5:$K$800,$A$5:$A$800,"&gt;="&amp;DATE(YEAR($A772),MONTH($A772),1),$A$5:$A$800,"&lt;="&amp;$A772)+IF(AND(YEAR($A772)=YEAR(Settings!$B$3),MONTH($A772)=MONTH(Settings!$B$3)),Settings!$B$11,0))</f>
        <v/>
      </c>
      <c r="P772" s="77">
        <f>IF($A772="","",SUMIFS($H$5:$H$800,$A$5:$A$800,"&gt;="&amp;DATE(YEAR($A772),MONTH($A772),1),$A$5:$A$800,"&lt;="&amp;$A772)+IF(AND(YEAR($A772)=YEAR(Settings!$B$3),MONTH($A772)=MONTH(Settings!$B$3)),Settings!$B$12,0))</f>
        <v/>
      </c>
      <c r="Q772" s="78">
        <f>IF($A772="","",SUMIFS($I$5:$I$800,$A$5:$A$800,"&gt;="&amp;DATE(YEAR($A772),MONTH($A772),1),$A$5:$A$800,"&lt;="&amp;$A772)+IF(AND(YEAR($A772)=YEAR(Settings!$B$3),MONTH($A772)=MONTH(Settings!$B$3)),Settings!$B$13,0))</f>
        <v/>
      </c>
      <c r="R772" s="77">
        <f>IF($A772="","",N772+P772)</f>
        <v/>
      </c>
      <c r="S772" s="78">
        <f>IF($A772="","",O772+Q772)</f>
        <v/>
      </c>
    </row>
    <row r="773">
      <c r="A773" s="67" t="n"/>
      <c r="B773" s="75" t="n"/>
      <c r="C773" s="76" t="n"/>
      <c r="D773" s="75" t="n"/>
      <c r="E773" s="76" t="n"/>
      <c r="F773" s="75" t="n"/>
      <c r="G773" s="76" t="n"/>
      <c r="H773" s="75" t="n"/>
      <c r="I773" s="76" t="n"/>
      <c r="J773" s="77">
        <f>IF($A773="","",B773+D773+F773)</f>
        <v/>
      </c>
      <c r="K773" s="78">
        <f>IF($A773="","",C773+E773+G773)</f>
        <v/>
      </c>
      <c r="L773" s="79">
        <f>IF($A773="","",J773+H773)</f>
        <v/>
      </c>
      <c r="M773" s="80">
        <f>IF($A773="","",K773+I773)</f>
        <v/>
      </c>
      <c r="N773" s="77">
        <f>IF($A773="","",SUMIFS($J$5:$J$800,$A$5:$A$800,"&gt;="&amp;DATE(YEAR($A773),MONTH($A773),1),$A$5:$A$800,"&lt;="&amp;$A773)+IF(AND(YEAR($A773)=YEAR(Settings!$B$3),MONTH($A773)=MONTH(Settings!$B$3)),Settings!$B$10,0))</f>
        <v/>
      </c>
      <c r="O773" s="78">
        <f>IF($A773="","",SUMIFS($K$5:$K$800,$A$5:$A$800,"&gt;="&amp;DATE(YEAR($A773),MONTH($A773),1),$A$5:$A$800,"&lt;="&amp;$A773)+IF(AND(YEAR($A773)=YEAR(Settings!$B$3),MONTH($A773)=MONTH(Settings!$B$3)),Settings!$B$11,0))</f>
        <v/>
      </c>
      <c r="P773" s="77">
        <f>IF($A773="","",SUMIFS($H$5:$H$800,$A$5:$A$800,"&gt;="&amp;DATE(YEAR($A773),MONTH($A773),1),$A$5:$A$800,"&lt;="&amp;$A773)+IF(AND(YEAR($A773)=YEAR(Settings!$B$3),MONTH($A773)=MONTH(Settings!$B$3)),Settings!$B$12,0))</f>
        <v/>
      </c>
      <c r="Q773" s="78">
        <f>IF($A773="","",SUMIFS($I$5:$I$800,$A$5:$A$800,"&gt;="&amp;DATE(YEAR($A773),MONTH($A773),1),$A$5:$A$800,"&lt;="&amp;$A773)+IF(AND(YEAR($A773)=YEAR(Settings!$B$3),MONTH($A773)=MONTH(Settings!$B$3)),Settings!$B$13,0))</f>
        <v/>
      </c>
      <c r="R773" s="77">
        <f>IF($A773="","",N773+P773)</f>
        <v/>
      </c>
      <c r="S773" s="78">
        <f>IF($A773="","",O773+Q773)</f>
        <v/>
      </c>
    </row>
    <row r="774">
      <c r="A774" s="67" t="n"/>
      <c r="B774" s="75" t="n"/>
      <c r="C774" s="76" t="n"/>
      <c r="D774" s="75" t="n"/>
      <c r="E774" s="76" t="n"/>
      <c r="F774" s="75" t="n"/>
      <c r="G774" s="76" t="n"/>
      <c r="H774" s="75" t="n"/>
      <c r="I774" s="76" t="n"/>
      <c r="J774" s="77">
        <f>IF($A774="","",B774+D774+F774)</f>
        <v/>
      </c>
      <c r="K774" s="78">
        <f>IF($A774="","",C774+E774+G774)</f>
        <v/>
      </c>
      <c r="L774" s="79">
        <f>IF($A774="","",J774+H774)</f>
        <v/>
      </c>
      <c r="M774" s="80">
        <f>IF($A774="","",K774+I774)</f>
        <v/>
      </c>
      <c r="N774" s="77">
        <f>IF($A774="","",SUMIFS($J$5:$J$800,$A$5:$A$800,"&gt;="&amp;DATE(YEAR($A774),MONTH($A774),1),$A$5:$A$800,"&lt;="&amp;$A774)+IF(AND(YEAR($A774)=YEAR(Settings!$B$3),MONTH($A774)=MONTH(Settings!$B$3)),Settings!$B$10,0))</f>
        <v/>
      </c>
      <c r="O774" s="78">
        <f>IF($A774="","",SUMIFS($K$5:$K$800,$A$5:$A$800,"&gt;="&amp;DATE(YEAR($A774),MONTH($A774),1),$A$5:$A$800,"&lt;="&amp;$A774)+IF(AND(YEAR($A774)=YEAR(Settings!$B$3),MONTH($A774)=MONTH(Settings!$B$3)),Settings!$B$11,0))</f>
        <v/>
      </c>
      <c r="P774" s="77">
        <f>IF($A774="","",SUMIFS($H$5:$H$800,$A$5:$A$800,"&gt;="&amp;DATE(YEAR($A774),MONTH($A774),1),$A$5:$A$800,"&lt;="&amp;$A774)+IF(AND(YEAR($A774)=YEAR(Settings!$B$3),MONTH($A774)=MONTH(Settings!$B$3)),Settings!$B$12,0))</f>
        <v/>
      </c>
      <c r="Q774" s="78">
        <f>IF($A774="","",SUMIFS($I$5:$I$800,$A$5:$A$800,"&gt;="&amp;DATE(YEAR($A774),MONTH($A774),1),$A$5:$A$800,"&lt;="&amp;$A774)+IF(AND(YEAR($A774)=YEAR(Settings!$B$3),MONTH($A774)=MONTH(Settings!$B$3)),Settings!$B$13,0))</f>
        <v/>
      </c>
      <c r="R774" s="77">
        <f>IF($A774="","",N774+P774)</f>
        <v/>
      </c>
      <c r="S774" s="78">
        <f>IF($A774="","",O774+Q774)</f>
        <v/>
      </c>
    </row>
    <row r="775">
      <c r="A775" s="67" t="n"/>
      <c r="B775" s="75" t="n"/>
      <c r="C775" s="76" t="n"/>
      <c r="D775" s="75" t="n"/>
      <c r="E775" s="76" t="n"/>
      <c r="F775" s="75" t="n"/>
      <c r="G775" s="76" t="n"/>
      <c r="H775" s="75" t="n"/>
      <c r="I775" s="76" t="n"/>
      <c r="J775" s="77">
        <f>IF($A775="","",B775+D775+F775)</f>
        <v/>
      </c>
      <c r="K775" s="78">
        <f>IF($A775="","",C775+E775+G775)</f>
        <v/>
      </c>
      <c r="L775" s="79">
        <f>IF($A775="","",J775+H775)</f>
        <v/>
      </c>
      <c r="M775" s="80">
        <f>IF($A775="","",K775+I775)</f>
        <v/>
      </c>
      <c r="N775" s="77">
        <f>IF($A775="","",SUMIFS($J$5:$J$800,$A$5:$A$800,"&gt;="&amp;DATE(YEAR($A775),MONTH($A775),1),$A$5:$A$800,"&lt;="&amp;$A775)+IF(AND(YEAR($A775)=YEAR(Settings!$B$3),MONTH($A775)=MONTH(Settings!$B$3)),Settings!$B$10,0))</f>
        <v/>
      </c>
      <c r="O775" s="78">
        <f>IF($A775="","",SUMIFS($K$5:$K$800,$A$5:$A$800,"&gt;="&amp;DATE(YEAR($A775),MONTH($A775),1),$A$5:$A$800,"&lt;="&amp;$A775)+IF(AND(YEAR($A775)=YEAR(Settings!$B$3),MONTH($A775)=MONTH(Settings!$B$3)),Settings!$B$11,0))</f>
        <v/>
      </c>
      <c r="P775" s="77">
        <f>IF($A775="","",SUMIFS($H$5:$H$800,$A$5:$A$800,"&gt;="&amp;DATE(YEAR($A775),MONTH($A775),1),$A$5:$A$800,"&lt;="&amp;$A775)+IF(AND(YEAR($A775)=YEAR(Settings!$B$3),MONTH($A775)=MONTH(Settings!$B$3)),Settings!$B$12,0))</f>
        <v/>
      </c>
      <c r="Q775" s="78">
        <f>IF($A775="","",SUMIFS($I$5:$I$800,$A$5:$A$800,"&gt;="&amp;DATE(YEAR($A775),MONTH($A775),1),$A$5:$A$800,"&lt;="&amp;$A775)+IF(AND(YEAR($A775)=YEAR(Settings!$B$3),MONTH($A775)=MONTH(Settings!$B$3)),Settings!$B$13,0))</f>
        <v/>
      </c>
      <c r="R775" s="77">
        <f>IF($A775="","",N775+P775)</f>
        <v/>
      </c>
      <c r="S775" s="78">
        <f>IF($A775="","",O775+Q775)</f>
        <v/>
      </c>
    </row>
    <row r="776">
      <c r="A776" s="67" t="n"/>
      <c r="B776" s="75" t="n"/>
      <c r="C776" s="76" t="n"/>
      <c r="D776" s="75" t="n"/>
      <c r="E776" s="76" t="n"/>
      <c r="F776" s="75" t="n"/>
      <c r="G776" s="76" t="n"/>
      <c r="H776" s="75" t="n"/>
      <c r="I776" s="76" t="n"/>
      <c r="J776" s="77">
        <f>IF($A776="","",B776+D776+F776)</f>
        <v/>
      </c>
      <c r="K776" s="78">
        <f>IF($A776="","",C776+E776+G776)</f>
        <v/>
      </c>
      <c r="L776" s="79">
        <f>IF($A776="","",J776+H776)</f>
        <v/>
      </c>
      <c r="M776" s="80">
        <f>IF($A776="","",K776+I776)</f>
        <v/>
      </c>
      <c r="N776" s="77">
        <f>IF($A776="","",SUMIFS($J$5:$J$800,$A$5:$A$800,"&gt;="&amp;DATE(YEAR($A776),MONTH($A776),1),$A$5:$A$800,"&lt;="&amp;$A776)+IF(AND(YEAR($A776)=YEAR(Settings!$B$3),MONTH($A776)=MONTH(Settings!$B$3)),Settings!$B$10,0))</f>
        <v/>
      </c>
      <c r="O776" s="78">
        <f>IF($A776="","",SUMIFS($K$5:$K$800,$A$5:$A$800,"&gt;="&amp;DATE(YEAR($A776),MONTH($A776),1),$A$5:$A$800,"&lt;="&amp;$A776)+IF(AND(YEAR($A776)=YEAR(Settings!$B$3),MONTH($A776)=MONTH(Settings!$B$3)),Settings!$B$11,0))</f>
        <v/>
      </c>
      <c r="P776" s="77">
        <f>IF($A776="","",SUMIFS($H$5:$H$800,$A$5:$A$800,"&gt;="&amp;DATE(YEAR($A776),MONTH($A776),1),$A$5:$A$800,"&lt;="&amp;$A776)+IF(AND(YEAR($A776)=YEAR(Settings!$B$3),MONTH($A776)=MONTH(Settings!$B$3)),Settings!$B$12,0))</f>
        <v/>
      </c>
      <c r="Q776" s="78">
        <f>IF($A776="","",SUMIFS($I$5:$I$800,$A$5:$A$800,"&gt;="&amp;DATE(YEAR($A776),MONTH($A776),1),$A$5:$A$800,"&lt;="&amp;$A776)+IF(AND(YEAR($A776)=YEAR(Settings!$B$3),MONTH($A776)=MONTH(Settings!$B$3)),Settings!$B$13,0))</f>
        <v/>
      </c>
      <c r="R776" s="77">
        <f>IF($A776="","",N776+P776)</f>
        <v/>
      </c>
      <c r="S776" s="78">
        <f>IF($A776="","",O776+Q776)</f>
        <v/>
      </c>
    </row>
    <row r="777">
      <c r="A777" s="67" t="n"/>
      <c r="B777" s="75" t="n"/>
      <c r="C777" s="76" t="n"/>
      <c r="D777" s="75" t="n"/>
      <c r="E777" s="76" t="n"/>
      <c r="F777" s="75" t="n"/>
      <c r="G777" s="76" t="n"/>
      <c r="H777" s="75" t="n"/>
      <c r="I777" s="76" t="n"/>
      <c r="J777" s="77">
        <f>IF($A777="","",B777+D777+F777)</f>
        <v/>
      </c>
      <c r="K777" s="78">
        <f>IF($A777="","",C777+E777+G777)</f>
        <v/>
      </c>
      <c r="L777" s="79">
        <f>IF($A777="","",J777+H777)</f>
        <v/>
      </c>
      <c r="M777" s="80">
        <f>IF($A777="","",K777+I777)</f>
        <v/>
      </c>
      <c r="N777" s="77">
        <f>IF($A777="","",SUMIFS($J$5:$J$800,$A$5:$A$800,"&gt;="&amp;DATE(YEAR($A777),MONTH($A777),1),$A$5:$A$800,"&lt;="&amp;$A777)+IF(AND(YEAR($A777)=YEAR(Settings!$B$3),MONTH($A777)=MONTH(Settings!$B$3)),Settings!$B$10,0))</f>
        <v/>
      </c>
      <c r="O777" s="78">
        <f>IF($A777="","",SUMIFS($K$5:$K$800,$A$5:$A$800,"&gt;="&amp;DATE(YEAR($A777),MONTH($A777),1),$A$5:$A$800,"&lt;="&amp;$A777)+IF(AND(YEAR($A777)=YEAR(Settings!$B$3),MONTH($A777)=MONTH(Settings!$B$3)),Settings!$B$11,0))</f>
        <v/>
      </c>
      <c r="P777" s="77">
        <f>IF($A777="","",SUMIFS($H$5:$H$800,$A$5:$A$800,"&gt;="&amp;DATE(YEAR($A777),MONTH($A777),1),$A$5:$A$800,"&lt;="&amp;$A777)+IF(AND(YEAR($A777)=YEAR(Settings!$B$3),MONTH($A777)=MONTH(Settings!$B$3)),Settings!$B$12,0))</f>
        <v/>
      </c>
      <c r="Q777" s="78">
        <f>IF($A777="","",SUMIFS($I$5:$I$800,$A$5:$A$800,"&gt;="&amp;DATE(YEAR($A777),MONTH($A777),1),$A$5:$A$800,"&lt;="&amp;$A777)+IF(AND(YEAR($A777)=YEAR(Settings!$B$3),MONTH($A777)=MONTH(Settings!$B$3)),Settings!$B$13,0))</f>
        <v/>
      </c>
      <c r="R777" s="77">
        <f>IF($A777="","",N777+P777)</f>
        <v/>
      </c>
      <c r="S777" s="78">
        <f>IF($A777="","",O777+Q777)</f>
        <v/>
      </c>
    </row>
    <row r="778">
      <c r="A778" s="67" t="n"/>
      <c r="B778" s="75" t="n"/>
      <c r="C778" s="76" t="n"/>
      <c r="D778" s="75" t="n"/>
      <c r="E778" s="76" t="n"/>
      <c r="F778" s="75" t="n"/>
      <c r="G778" s="76" t="n"/>
      <c r="H778" s="75" t="n"/>
      <c r="I778" s="76" t="n"/>
      <c r="J778" s="77">
        <f>IF($A778="","",B778+D778+F778)</f>
        <v/>
      </c>
      <c r="K778" s="78">
        <f>IF($A778="","",C778+E778+G778)</f>
        <v/>
      </c>
      <c r="L778" s="79">
        <f>IF($A778="","",J778+H778)</f>
        <v/>
      </c>
      <c r="M778" s="80">
        <f>IF($A778="","",K778+I778)</f>
        <v/>
      </c>
      <c r="N778" s="77">
        <f>IF($A778="","",SUMIFS($J$5:$J$800,$A$5:$A$800,"&gt;="&amp;DATE(YEAR($A778),MONTH($A778),1),$A$5:$A$800,"&lt;="&amp;$A778)+IF(AND(YEAR($A778)=YEAR(Settings!$B$3),MONTH($A778)=MONTH(Settings!$B$3)),Settings!$B$10,0))</f>
        <v/>
      </c>
      <c r="O778" s="78">
        <f>IF($A778="","",SUMIFS($K$5:$K$800,$A$5:$A$800,"&gt;="&amp;DATE(YEAR($A778),MONTH($A778),1),$A$5:$A$800,"&lt;="&amp;$A778)+IF(AND(YEAR($A778)=YEAR(Settings!$B$3),MONTH($A778)=MONTH(Settings!$B$3)),Settings!$B$11,0))</f>
        <v/>
      </c>
      <c r="P778" s="77">
        <f>IF($A778="","",SUMIFS($H$5:$H$800,$A$5:$A$800,"&gt;="&amp;DATE(YEAR($A778),MONTH($A778),1),$A$5:$A$800,"&lt;="&amp;$A778)+IF(AND(YEAR($A778)=YEAR(Settings!$B$3),MONTH($A778)=MONTH(Settings!$B$3)),Settings!$B$12,0))</f>
        <v/>
      </c>
      <c r="Q778" s="78">
        <f>IF($A778="","",SUMIFS($I$5:$I$800,$A$5:$A$800,"&gt;="&amp;DATE(YEAR($A778),MONTH($A778),1),$A$5:$A$800,"&lt;="&amp;$A778)+IF(AND(YEAR($A778)=YEAR(Settings!$B$3),MONTH($A778)=MONTH(Settings!$B$3)),Settings!$B$13,0))</f>
        <v/>
      </c>
      <c r="R778" s="77">
        <f>IF($A778="","",N778+P778)</f>
        <v/>
      </c>
      <c r="S778" s="78">
        <f>IF($A778="","",O778+Q778)</f>
        <v/>
      </c>
    </row>
    <row r="779">
      <c r="A779" s="67" t="n"/>
      <c r="B779" s="75" t="n"/>
      <c r="C779" s="76" t="n"/>
      <c r="D779" s="75" t="n"/>
      <c r="E779" s="76" t="n"/>
      <c r="F779" s="75" t="n"/>
      <c r="G779" s="76" t="n"/>
      <c r="H779" s="75" t="n"/>
      <c r="I779" s="76" t="n"/>
      <c r="J779" s="77">
        <f>IF($A779="","",B779+D779+F779)</f>
        <v/>
      </c>
      <c r="K779" s="78">
        <f>IF($A779="","",C779+E779+G779)</f>
        <v/>
      </c>
      <c r="L779" s="79">
        <f>IF($A779="","",J779+H779)</f>
        <v/>
      </c>
      <c r="M779" s="80">
        <f>IF($A779="","",K779+I779)</f>
        <v/>
      </c>
      <c r="N779" s="77">
        <f>IF($A779="","",SUMIFS($J$5:$J$800,$A$5:$A$800,"&gt;="&amp;DATE(YEAR($A779),MONTH($A779),1),$A$5:$A$800,"&lt;="&amp;$A779)+IF(AND(YEAR($A779)=YEAR(Settings!$B$3),MONTH($A779)=MONTH(Settings!$B$3)),Settings!$B$10,0))</f>
        <v/>
      </c>
      <c r="O779" s="78">
        <f>IF($A779="","",SUMIFS($K$5:$K$800,$A$5:$A$800,"&gt;="&amp;DATE(YEAR($A779),MONTH($A779),1),$A$5:$A$800,"&lt;="&amp;$A779)+IF(AND(YEAR($A779)=YEAR(Settings!$B$3),MONTH($A779)=MONTH(Settings!$B$3)),Settings!$B$11,0))</f>
        <v/>
      </c>
      <c r="P779" s="77">
        <f>IF($A779="","",SUMIFS($H$5:$H$800,$A$5:$A$800,"&gt;="&amp;DATE(YEAR($A779),MONTH($A779),1),$A$5:$A$800,"&lt;="&amp;$A779)+IF(AND(YEAR($A779)=YEAR(Settings!$B$3),MONTH($A779)=MONTH(Settings!$B$3)),Settings!$B$12,0))</f>
        <v/>
      </c>
      <c r="Q779" s="78">
        <f>IF($A779="","",SUMIFS($I$5:$I$800,$A$5:$A$800,"&gt;="&amp;DATE(YEAR($A779),MONTH($A779),1),$A$5:$A$800,"&lt;="&amp;$A779)+IF(AND(YEAR($A779)=YEAR(Settings!$B$3),MONTH($A779)=MONTH(Settings!$B$3)),Settings!$B$13,0))</f>
        <v/>
      </c>
      <c r="R779" s="77">
        <f>IF($A779="","",N779+P779)</f>
        <v/>
      </c>
      <c r="S779" s="78">
        <f>IF($A779="","",O779+Q779)</f>
        <v/>
      </c>
    </row>
    <row r="780">
      <c r="A780" s="67" t="n"/>
      <c r="B780" s="75" t="n"/>
      <c r="C780" s="76" t="n"/>
      <c r="D780" s="75" t="n"/>
      <c r="E780" s="76" t="n"/>
      <c r="F780" s="75" t="n"/>
      <c r="G780" s="76" t="n"/>
      <c r="H780" s="75" t="n"/>
      <c r="I780" s="76" t="n"/>
      <c r="J780" s="77">
        <f>IF($A780="","",B780+D780+F780)</f>
        <v/>
      </c>
      <c r="K780" s="78">
        <f>IF($A780="","",C780+E780+G780)</f>
        <v/>
      </c>
      <c r="L780" s="79">
        <f>IF($A780="","",J780+H780)</f>
        <v/>
      </c>
      <c r="M780" s="80">
        <f>IF($A780="","",K780+I780)</f>
        <v/>
      </c>
      <c r="N780" s="77">
        <f>IF($A780="","",SUMIFS($J$5:$J$800,$A$5:$A$800,"&gt;="&amp;DATE(YEAR($A780),MONTH($A780),1),$A$5:$A$800,"&lt;="&amp;$A780)+IF(AND(YEAR($A780)=YEAR(Settings!$B$3),MONTH($A780)=MONTH(Settings!$B$3)),Settings!$B$10,0))</f>
        <v/>
      </c>
      <c r="O780" s="78">
        <f>IF($A780="","",SUMIFS($K$5:$K$800,$A$5:$A$800,"&gt;="&amp;DATE(YEAR($A780),MONTH($A780),1),$A$5:$A$800,"&lt;="&amp;$A780)+IF(AND(YEAR($A780)=YEAR(Settings!$B$3),MONTH($A780)=MONTH(Settings!$B$3)),Settings!$B$11,0))</f>
        <v/>
      </c>
      <c r="P780" s="77">
        <f>IF($A780="","",SUMIFS($H$5:$H$800,$A$5:$A$800,"&gt;="&amp;DATE(YEAR($A780),MONTH($A780),1),$A$5:$A$800,"&lt;="&amp;$A780)+IF(AND(YEAR($A780)=YEAR(Settings!$B$3),MONTH($A780)=MONTH(Settings!$B$3)),Settings!$B$12,0))</f>
        <v/>
      </c>
      <c r="Q780" s="78">
        <f>IF($A780="","",SUMIFS($I$5:$I$800,$A$5:$A$800,"&gt;="&amp;DATE(YEAR($A780),MONTH($A780),1),$A$5:$A$800,"&lt;="&amp;$A780)+IF(AND(YEAR($A780)=YEAR(Settings!$B$3),MONTH($A780)=MONTH(Settings!$B$3)),Settings!$B$13,0))</f>
        <v/>
      </c>
      <c r="R780" s="77">
        <f>IF($A780="","",N780+P780)</f>
        <v/>
      </c>
      <c r="S780" s="78">
        <f>IF($A780="","",O780+Q780)</f>
        <v/>
      </c>
    </row>
    <row r="781">
      <c r="A781" s="67" t="n"/>
      <c r="B781" s="75" t="n"/>
      <c r="C781" s="76" t="n"/>
      <c r="D781" s="75" t="n"/>
      <c r="E781" s="76" t="n"/>
      <c r="F781" s="75" t="n"/>
      <c r="G781" s="76" t="n"/>
      <c r="H781" s="75" t="n"/>
      <c r="I781" s="76" t="n"/>
      <c r="J781" s="77">
        <f>IF($A781="","",B781+D781+F781)</f>
        <v/>
      </c>
      <c r="K781" s="78">
        <f>IF($A781="","",C781+E781+G781)</f>
        <v/>
      </c>
      <c r="L781" s="79">
        <f>IF($A781="","",J781+H781)</f>
        <v/>
      </c>
      <c r="M781" s="80">
        <f>IF($A781="","",K781+I781)</f>
        <v/>
      </c>
      <c r="N781" s="77">
        <f>IF($A781="","",SUMIFS($J$5:$J$800,$A$5:$A$800,"&gt;="&amp;DATE(YEAR($A781),MONTH($A781),1),$A$5:$A$800,"&lt;="&amp;$A781)+IF(AND(YEAR($A781)=YEAR(Settings!$B$3),MONTH($A781)=MONTH(Settings!$B$3)),Settings!$B$10,0))</f>
        <v/>
      </c>
      <c r="O781" s="78">
        <f>IF($A781="","",SUMIFS($K$5:$K$800,$A$5:$A$800,"&gt;="&amp;DATE(YEAR($A781),MONTH($A781),1),$A$5:$A$800,"&lt;="&amp;$A781)+IF(AND(YEAR($A781)=YEAR(Settings!$B$3),MONTH($A781)=MONTH(Settings!$B$3)),Settings!$B$11,0))</f>
        <v/>
      </c>
      <c r="P781" s="77">
        <f>IF($A781="","",SUMIFS($H$5:$H$800,$A$5:$A$800,"&gt;="&amp;DATE(YEAR($A781),MONTH($A781),1),$A$5:$A$800,"&lt;="&amp;$A781)+IF(AND(YEAR($A781)=YEAR(Settings!$B$3),MONTH($A781)=MONTH(Settings!$B$3)),Settings!$B$12,0))</f>
        <v/>
      </c>
      <c r="Q781" s="78">
        <f>IF($A781="","",SUMIFS($I$5:$I$800,$A$5:$A$800,"&gt;="&amp;DATE(YEAR($A781),MONTH($A781),1),$A$5:$A$800,"&lt;="&amp;$A781)+IF(AND(YEAR($A781)=YEAR(Settings!$B$3),MONTH($A781)=MONTH(Settings!$B$3)),Settings!$B$13,0))</f>
        <v/>
      </c>
      <c r="R781" s="77">
        <f>IF($A781="","",N781+P781)</f>
        <v/>
      </c>
      <c r="S781" s="78">
        <f>IF($A781="","",O781+Q781)</f>
        <v/>
      </c>
    </row>
    <row r="782">
      <c r="A782" s="67" t="n"/>
      <c r="B782" s="75" t="n"/>
      <c r="C782" s="76" t="n"/>
      <c r="D782" s="75" t="n"/>
      <c r="E782" s="76" t="n"/>
      <c r="F782" s="75" t="n"/>
      <c r="G782" s="76" t="n"/>
      <c r="H782" s="75" t="n"/>
      <c r="I782" s="76" t="n"/>
      <c r="J782" s="77">
        <f>IF($A782="","",B782+D782+F782)</f>
        <v/>
      </c>
      <c r="K782" s="78">
        <f>IF($A782="","",C782+E782+G782)</f>
        <v/>
      </c>
      <c r="L782" s="79">
        <f>IF($A782="","",J782+H782)</f>
        <v/>
      </c>
      <c r="M782" s="80">
        <f>IF($A782="","",K782+I782)</f>
        <v/>
      </c>
      <c r="N782" s="77">
        <f>IF($A782="","",SUMIFS($J$5:$J$800,$A$5:$A$800,"&gt;="&amp;DATE(YEAR($A782),MONTH($A782),1),$A$5:$A$800,"&lt;="&amp;$A782)+IF(AND(YEAR($A782)=YEAR(Settings!$B$3),MONTH($A782)=MONTH(Settings!$B$3)),Settings!$B$10,0))</f>
        <v/>
      </c>
      <c r="O782" s="78">
        <f>IF($A782="","",SUMIFS($K$5:$K$800,$A$5:$A$800,"&gt;="&amp;DATE(YEAR($A782),MONTH($A782),1),$A$5:$A$800,"&lt;="&amp;$A782)+IF(AND(YEAR($A782)=YEAR(Settings!$B$3),MONTH($A782)=MONTH(Settings!$B$3)),Settings!$B$11,0))</f>
        <v/>
      </c>
      <c r="P782" s="77">
        <f>IF($A782="","",SUMIFS($H$5:$H$800,$A$5:$A$800,"&gt;="&amp;DATE(YEAR($A782),MONTH($A782),1),$A$5:$A$800,"&lt;="&amp;$A782)+IF(AND(YEAR($A782)=YEAR(Settings!$B$3),MONTH($A782)=MONTH(Settings!$B$3)),Settings!$B$12,0))</f>
        <v/>
      </c>
      <c r="Q782" s="78">
        <f>IF($A782="","",SUMIFS($I$5:$I$800,$A$5:$A$800,"&gt;="&amp;DATE(YEAR($A782),MONTH($A782),1),$A$5:$A$800,"&lt;="&amp;$A782)+IF(AND(YEAR($A782)=YEAR(Settings!$B$3),MONTH($A782)=MONTH(Settings!$B$3)),Settings!$B$13,0))</f>
        <v/>
      </c>
      <c r="R782" s="77">
        <f>IF($A782="","",N782+P782)</f>
        <v/>
      </c>
      <c r="S782" s="78">
        <f>IF($A782="","",O782+Q782)</f>
        <v/>
      </c>
    </row>
    <row r="783">
      <c r="A783" s="67" t="n"/>
      <c r="B783" s="75" t="n"/>
      <c r="C783" s="76" t="n"/>
      <c r="D783" s="75" t="n"/>
      <c r="E783" s="76" t="n"/>
      <c r="F783" s="75" t="n"/>
      <c r="G783" s="76" t="n"/>
      <c r="H783" s="75" t="n"/>
      <c r="I783" s="76" t="n"/>
      <c r="J783" s="77">
        <f>IF($A783="","",B783+D783+F783)</f>
        <v/>
      </c>
      <c r="K783" s="78">
        <f>IF($A783="","",C783+E783+G783)</f>
        <v/>
      </c>
      <c r="L783" s="79">
        <f>IF($A783="","",J783+H783)</f>
        <v/>
      </c>
      <c r="M783" s="80">
        <f>IF($A783="","",K783+I783)</f>
        <v/>
      </c>
      <c r="N783" s="77">
        <f>IF($A783="","",SUMIFS($J$5:$J$800,$A$5:$A$800,"&gt;="&amp;DATE(YEAR($A783),MONTH($A783),1),$A$5:$A$800,"&lt;="&amp;$A783)+IF(AND(YEAR($A783)=YEAR(Settings!$B$3),MONTH($A783)=MONTH(Settings!$B$3)),Settings!$B$10,0))</f>
        <v/>
      </c>
      <c r="O783" s="78">
        <f>IF($A783="","",SUMIFS($K$5:$K$800,$A$5:$A$800,"&gt;="&amp;DATE(YEAR($A783),MONTH($A783),1),$A$5:$A$800,"&lt;="&amp;$A783)+IF(AND(YEAR($A783)=YEAR(Settings!$B$3),MONTH($A783)=MONTH(Settings!$B$3)),Settings!$B$11,0))</f>
        <v/>
      </c>
      <c r="P783" s="77">
        <f>IF($A783="","",SUMIFS($H$5:$H$800,$A$5:$A$800,"&gt;="&amp;DATE(YEAR($A783),MONTH($A783),1),$A$5:$A$800,"&lt;="&amp;$A783)+IF(AND(YEAR($A783)=YEAR(Settings!$B$3),MONTH($A783)=MONTH(Settings!$B$3)),Settings!$B$12,0))</f>
        <v/>
      </c>
      <c r="Q783" s="78">
        <f>IF($A783="","",SUMIFS($I$5:$I$800,$A$5:$A$800,"&gt;="&amp;DATE(YEAR($A783),MONTH($A783),1),$A$5:$A$800,"&lt;="&amp;$A783)+IF(AND(YEAR($A783)=YEAR(Settings!$B$3),MONTH($A783)=MONTH(Settings!$B$3)),Settings!$B$13,0))</f>
        <v/>
      </c>
      <c r="R783" s="77">
        <f>IF($A783="","",N783+P783)</f>
        <v/>
      </c>
      <c r="S783" s="78">
        <f>IF($A783="","",O783+Q783)</f>
        <v/>
      </c>
    </row>
    <row r="784">
      <c r="A784" s="67" t="n"/>
      <c r="B784" s="75" t="n"/>
      <c r="C784" s="76" t="n"/>
      <c r="D784" s="75" t="n"/>
      <c r="E784" s="76" t="n"/>
      <c r="F784" s="75" t="n"/>
      <c r="G784" s="76" t="n"/>
      <c r="H784" s="75" t="n"/>
      <c r="I784" s="76" t="n"/>
      <c r="J784" s="77">
        <f>IF($A784="","",B784+D784+F784)</f>
        <v/>
      </c>
      <c r="K784" s="78">
        <f>IF($A784="","",C784+E784+G784)</f>
        <v/>
      </c>
      <c r="L784" s="79">
        <f>IF($A784="","",J784+H784)</f>
        <v/>
      </c>
      <c r="M784" s="80">
        <f>IF($A784="","",K784+I784)</f>
        <v/>
      </c>
      <c r="N784" s="77">
        <f>IF($A784="","",SUMIFS($J$5:$J$800,$A$5:$A$800,"&gt;="&amp;DATE(YEAR($A784),MONTH($A784),1),$A$5:$A$800,"&lt;="&amp;$A784)+IF(AND(YEAR($A784)=YEAR(Settings!$B$3),MONTH($A784)=MONTH(Settings!$B$3)),Settings!$B$10,0))</f>
        <v/>
      </c>
      <c r="O784" s="78">
        <f>IF($A784="","",SUMIFS($K$5:$K$800,$A$5:$A$800,"&gt;="&amp;DATE(YEAR($A784),MONTH($A784),1),$A$5:$A$800,"&lt;="&amp;$A784)+IF(AND(YEAR($A784)=YEAR(Settings!$B$3),MONTH($A784)=MONTH(Settings!$B$3)),Settings!$B$11,0))</f>
        <v/>
      </c>
      <c r="P784" s="77">
        <f>IF($A784="","",SUMIFS($H$5:$H$800,$A$5:$A$800,"&gt;="&amp;DATE(YEAR($A784),MONTH($A784),1),$A$5:$A$800,"&lt;="&amp;$A784)+IF(AND(YEAR($A784)=YEAR(Settings!$B$3),MONTH($A784)=MONTH(Settings!$B$3)),Settings!$B$12,0))</f>
        <v/>
      </c>
      <c r="Q784" s="78">
        <f>IF($A784="","",SUMIFS($I$5:$I$800,$A$5:$A$800,"&gt;="&amp;DATE(YEAR($A784),MONTH($A784),1),$A$5:$A$800,"&lt;="&amp;$A784)+IF(AND(YEAR($A784)=YEAR(Settings!$B$3),MONTH($A784)=MONTH(Settings!$B$3)),Settings!$B$13,0))</f>
        <v/>
      </c>
      <c r="R784" s="77">
        <f>IF($A784="","",N784+P784)</f>
        <v/>
      </c>
      <c r="S784" s="78">
        <f>IF($A784="","",O784+Q784)</f>
        <v/>
      </c>
    </row>
    <row r="785">
      <c r="A785" s="67" t="n"/>
      <c r="B785" s="75" t="n"/>
      <c r="C785" s="76" t="n"/>
      <c r="D785" s="75" t="n"/>
      <c r="E785" s="76" t="n"/>
      <c r="F785" s="75" t="n"/>
      <c r="G785" s="76" t="n"/>
      <c r="H785" s="75" t="n"/>
      <c r="I785" s="76" t="n"/>
      <c r="J785" s="77">
        <f>IF($A785="","",B785+D785+F785)</f>
        <v/>
      </c>
      <c r="K785" s="78">
        <f>IF($A785="","",C785+E785+G785)</f>
        <v/>
      </c>
      <c r="L785" s="79">
        <f>IF($A785="","",J785+H785)</f>
        <v/>
      </c>
      <c r="M785" s="80">
        <f>IF($A785="","",K785+I785)</f>
        <v/>
      </c>
      <c r="N785" s="77">
        <f>IF($A785="","",SUMIFS($J$5:$J$800,$A$5:$A$800,"&gt;="&amp;DATE(YEAR($A785),MONTH($A785),1),$A$5:$A$800,"&lt;="&amp;$A785)+IF(AND(YEAR($A785)=YEAR(Settings!$B$3),MONTH($A785)=MONTH(Settings!$B$3)),Settings!$B$10,0))</f>
        <v/>
      </c>
      <c r="O785" s="78">
        <f>IF($A785="","",SUMIFS($K$5:$K$800,$A$5:$A$800,"&gt;="&amp;DATE(YEAR($A785),MONTH($A785),1),$A$5:$A$800,"&lt;="&amp;$A785)+IF(AND(YEAR($A785)=YEAR(Settings!$B$3),MONTH($A785)=MONTH(Settings!$B$3)),Settings!$B$11,0))</f>
        <v/>
      </c>
      <c r="P785" s="77">
        <f>IF($A785="","",SUMIFS($H$5:$H$800,$A$5:$A$800,"&gt;="&amp;DATE(YEAR($A785),MONTH($A785),1),$A$5:$A$800,"&lt;="&amp;$A785)+IF(AND(YEAR($A785)=YEAR(Settings!$B$3),MONTH($A785)=MONTH(Settings!$B$3)),Settings!$B$12,0))</f>
        <v/>
      </c>
      <c r="Q785" s="78">
        <f>IF($A785="","",SUMIFS($I$5:$I$800,$A$5:$A$800,"&gt;="&amp;DATE(YEAR($A785),MONTH($A785),1),$A$5:$A$800,"&lt;="&amp;$A785)+IF(AND(YEAR($A785)=YEAR(Settings!$B$3),MONTH($A785)=MONTH(Settings!$B$3)),Settings!$B$13,0))</f>
        <v/>
      </c>
      <c r="R785" s="77">
        <f>IF($A785="","",N785+P785)</f>
        <v/>
      </c>
      <c r="S785" s="78">
        <f>IF($A785="","",O785+Q785)</f>
        <v/>
      </c>
    </row>
    <row r="786">
      <c r="A786" s="67" t="n"/>
      <c r="B786" s="75" t="n"/>
      <c r="C786" s="76" t="n"/>
      <c r="D786" s="75" t="n"/>
      <c r="E786" s="76" t="n"/>
      <c r="F786" s="75" t="n"/>
      <c r="G786" s="76" t="n"/>
      <c r="H786" s="75" t="n"/>
      <c r="I786" s="76" t="n"/>
      <c r="J786" s="77">
        <f>IF($A786="","",B786+D786+F786)</f>
        <v/>
      </c>
      <c r="K786" s="78">
        <f>IF($A786="","",C786+E786+G786)</f>
        <v/>
      </c>
      <c r="L786" s="79">
        <f>IF($A786="","",J786+H786)</f>
        <v/>
      </c>
      <c r="M786" s="80">
        <f>IF($A786="","",K786+I786)</f>
        <v/>
      </c>
      <c r="N786" s="77">
        <f>IF($A786="","",SUMIFS($J$5:$J$800,$A$5:$A$800,"&gt;="&amp;DATE(YEAR($A786),MONTH($A786),1),$A$5:$A$800,"&lt;="&amp;$A786)+IF(AND(YEAR($A786)=YEAR(Settings!$B$3),MONTH($A786)=MONTH(Settings!$B$3)),Settings!$B$10,0))</f>
        <v/>
      </c>
      <c r="O786" s="78">
        <f>IF($A786="","",SUMIFS($K$5:$K$800,$A$5:$A$800,"&gt;="&amp;DATE(YEAR($A786),MONTH($A786),1),$A$5:$A$800,"&lt;="&amp;$A786)+IF(AND(YEAR($A786)=YEAR(Settings!$B$3),MONTH($A786)=MONTH(Settings!$B$3)),Settings!$B$11,0))</f>
        <v/>
      </c>
      <c r="P786" s="77">
        <f>IF($A786="","",SUMIFS($H$5:$H$800,$A$5:$A$800,"&gt;="&amp;DATE(YEAR($A786),MONTH($A786),1),$A$5:$A$800,"&lt;="&amp;$A786)+IF(AND(YEAR($A786)=YEAR(Settings!$B$3),MONTH($A786)=MONTH(Settings!$B$3)),Settings!$B$12,0))</f>
        <v/>
      </c>
      <c r="Q786" s="78">
        <f>IF($A786="","",SUMIFS($I$5:$I$800,$A$5:$A$800,"&gt;="&amp;DATE(YEAR($A786),MONTH($A786),1),$A$5:$A$800,"&lt;="&amp;$A786)+IF(AND(YEAR($A786)=YEAR(Settings!$B$3),MONTH($A786)=MONTH(Settings!$B$3)),Settings!$B$13,0))</f>
        <v/>
      </c>
      <c r="R786" s="77">
        <f>IF($A786="","",N786+P786)</f>
        <v/>
      </c>
      <c r="S786" s="78">
        <f>IF($A786="","",O786+Q786)</f>
        <v/>
      </c>
    </row>
    <row r="787">
      <c r="A787" s="67" t="n"/>
      <c r="B787" s="75" t="n"/>
      <c r="C787" s="76" t="n"/>
      <c r="D787" s="75" t="n"/>
      <c r="E787" s="76" t="n"/>
      <c r="F787" s="75" t="n"/>
      <c r="G787" s="76" t="n"/>
      <c r="H787" s="75" t="n"/>
      <c r="I787" s="76" t="n"/>
      <c r="J787" s="77">
        <f>IF($A787="","",B787+D787+F787)</f>
        <v/>
      </c>
      <c r="K787" s="78">
        <f>IF($A787="","",C787+E787+G787)</f>
        <v/>
      </c>
      <c r="L787" s="79">
        <f>IF($A787="","",J787+H787)</f>
        <v/>
      </c>
      <c r="M787" s="80">
        <f>IF($A787="","",K787+I787)</f>
        <v/>
      </c>
      <c r="N787" s="77">
        <f>IF($A787="","",SUMIFS($J$5:$J$800,$A$5:$A$800,"&gt;="&amp;DATE(YEAR($A787),MONTH($A787),1),$A$5:$A$800,"&lt;="&amp;$A787)+IF(AND(YEAR($A787)=YEAR(Settings!$B$3),MONTH($A787)=MONTH(Settings!$B$3)),Settings!$B$10,0))</f>
        <v/>
      </c>
      <c r="O787" s="78">
        <f>IF($A787="","",SUMIFS($K$5:$K$800,$A$5:$A$800,"&gt;="&amp;DATE(YEAR($A787),MONTH($A787),1),$A$5:$A$800,"&lt;="&amp;$A787)+IF(AND(YEAR($A787)=YEAR(Settings!$B$3),MONTH($A787)=MONTH(Settings!$B$3)),Settings!$B$11,0))</f>
        <v/>
      </c>
      <c r="P787" s="77">
        <f>IF($A787="","",SUMIFS($H$5:$H$800,$A$5:$A$800,"&gt;="&amp;DATE(YEAR($A787),MONTH($A787),1),$A$5:$A$800,"&lt;="&amp;$A787)+IF(AND(YEAR($A787)=YEAR(Settings!$B$3),MONTH($A787)=MONTH(Settings!$B$3)),Settings!$B$12,0))</f>
        <v/>
      </c>
      <c r="Q787" s="78">
        <f>IF($A787="","",SUMIFS($I$5:$I$800,$A$5:$A$800,"&gt;="&amp;DATE(YEAR($A787),MONTH($A787),1),$A$5:$A$800,"&lt;="&amp;$A787)+IF(AND(YEAR($A787)=YEAR(Settings!$B$3),MONTH($A787)=MONTH(Settings!$B$3)),Settings!$B$13,0))</f>
        <v/>
      </c>
      <c r="R787" s="77">
        <f>IF($A787="","",N787+P787)</f>
        <v/>
      </c>
      <c r="S787" s="78">
        <f>IF($A787="","",O787+Q787)</f>
        <v/>
      </c>
    </row>
    <row r="788">
      <c r="A788" s="67" t="n"/>
      <c r="B788" s="75" t="n"/>
      <c r="C788" s="76" t="n"/>
      <c r="D788" s="75" t="n"/>
      <c r="E788" s="76" t="n"/>
      <c r="F788" s="75" t="n"/>
      <c r="G788" s="76" t="n"/>
      <c r="H788" s="75" t="n"/>
      <c r="I788" s="76" t="n"/>
      <c r="J788" s="77">
        <f>IF($A788="","",B788+D788+F788)</f>
        <v/>
      </c>
      <c r="K788" s="78">
        <f>IF($A788="","",C788+E788+G788)</f>
        <v/>
      </c>
      <c r="L788" s="79">
        <f>IF($A788="","",J788+H788)</f>
        <v/>
      </c>
      <c r="M788" s="80">
        <f>IF($A788="","",K788+I788)</f>
        <v/>
      </c>
      <c r="N788" s="77">
        <f>IF($A788="","",SUMIFS($J$5:$J$800,$A$5:$A$800,"&gt;="&amp;DATE(YEAR($A788),MONTH($A788),1),$A$5:$A$800,"&lt;="&amp;$A788)+IF(AND(YEAR($A788)=YEAR(Settings!$B$3),MONTH($A788)=MONTH(Settings!$B$3)),Settings!$B$10,0))</f>
        <v/>
      </c>
      <c r="O788" s="78">
        <f>IF($A788="","",SUMIFS($K$5:$K$800,$A$5:$A$800,"&gt;="&amp;DATE(YEAR($A788),MONTH($A788),1),$A$5:$A$800,"&lt;="&amp;$A788)+IF(AND(YEAR($A788)=YEAR(Settings!$B$3),MONTH($A788)=MONTH(Settings!$B$3)),Settings!$B$11,0))</f>
        <v/>
      </c>
      <c r="P788" s="77">
        <f>IF($A788="","",SUMIFS($H$5:$H$800,$A$5:$A$800,"&gt;="&amp;DATE(YEAR($A788),MONTH($A788),1),$A$5:$A$800,"&lt;="&amp;$A788)+IF(AND(YEAR($A788)=YEAR(Settings!$B$3),MONTH($A788)=MONTH(Settings!$B$3)),Settings!$B$12,0))</f>
        <v/>
      </c>
      <c r="Q788" s="78">
        <f>IF($A788="","",SUMIFS($I$5:$I$800,$A$5:$A$800,"&gt;="&amp;DATE(YEAR($A788),MONTH($A788),1),$A$5:$A$800,"&lt;="&amp;$A788)+IF(AND(YEAR($A788)=YEAR(Settings!$B$3),MONTH($A788)=MONTH(Settings!$B$3)),Settings!$B$13,0))</f>
        <v/>
      </c>
      <c r="R788" s="77">
        <f>IF($A788="","",N788+P788)</f>
        <v/>
      </c>
      <c r="S788" s="78">
        <f>IF($A788="","",O788+Q788)</f>
        <v/>
      </c>
    </row>
    <row r="789">
      <c r="A789" s="67" t="n"/>
      <c r="B789" s="75" t="n"/>
      <c r="C789" s="76" t="n"/>
      <c r="D789" s="75" t="n"/>
      <c r="E789" s="76" t="n"/>
      <c r="F789" s="75" t="n"/>
      <c r="G789" s="76" t="n"/>
      <c r="H789" s="75" t="n"/>
      <c r="I789" s="76" t="n"/>
      <c r="J789" s="77">
        <f>IF($A789="","",B789+D789+F789)</f>
        <v/>
      </c>
      <c r="K789" s="78">
        <f>IF($A789="","",C789+E789+G789)</f>
        <v/>
      </c>
      <c r="L789" s="79">
        <f>IF($A789="","",J789+H789)</f>
        <v/>
      </c>
      <c r="M789" s="80">
        <f>IF($A789="","",K789+I789)</f>
        <v/>
      </c>
      <c r="N789" s="77">
        <f>IF($A789="","",SUMIFS($J$5:$J$800,$A$5:$A$800,"&gt;="&amp;DATE(YEAR($A789),MONTH($A789),1),$A$5:$A$800,"&lt;="&amp;$A789)+IF(AND(YEAR($A789)=YEAR(Settings!$B$3),MONTH($A789)=MONTH(Settings!$B$3)),Settings!$B$10,0))</f>
        <v/>
      </c>
      <c r="O789" s="78">
        <f>IF($A789="","",SUMIFS($K$5:$K$800,$A$5:$A$800,"&gt;="&amp;DATE(YEAR($A789),MONTH($A789),1),$A$5:$A$800,"&lt;="&amp;$A789)+IF(AND(YEAR($A789)=YEAR(Settings!$B$3),MONTH($A789)=MONTH(Settings!$B$3)),Settings!$B$11,0))</f>
        <v/>
      </c>
      <c r="P789" s="77">
        <f>IF($A789="","",SUMIFS($H$5:$H$800,$A$5:$A$800,"&gt;="&amp;DATE(YEAR($A789),MONTH($A789),1),$A$5:$A$800,"&lt;="&amp;$A789)+IF(AND(YEAR($A789)=YEAR(Settings!$B$3),MONTH($A789)=MONTH(Settings!$B$3)),Settings!$B$12,0))</f>
        <v/>
      </c>
      <c r="Q789" s="78">
        <f>IF($A789="","",SUMIFS($I$5:$I$800,$A$5:$A$800,"&gt;="&amp;DATE(YEAR($A789),MONTH($A789),1),$A$5:$A$800,"&lt;="&amp;$A789)+IF(AND(YEAR($A789)=YEAR(Settings!$B$3),MONTH($A789)=MONTH(Settings!$B$3)),Settings!$B$13,0))</f>
        <v/>
      </c>
      <c r="R789" s="77">
        <f>IF($A789="","",N789+P789)</f>
        <v/>
      </c>
      <c r="S789" s="78">
        <f>IF($A789="","",O789+Q789)</f>
        <v/>
      </c>
    </row>
    <row r="790">
      <c r="A790" s="67" t="n"/>
      <c r="B790" s="75" t="n"/>
      <c r="C790" s="76" t="n"/>
      <c r="D790" s="75" t="n"/>
      <c r="E790" s="76" t="n"/>
      <c r="F790" s="75" t="n"/>
      <c r="G790" s="76" t="n"/>
      <c r="H790" s="75" t="n"/>
      <c r="I790" s="76" t="n"/>
      <c r="J790" s="77">
        <f>IF($A790="","",B790+D790+F790)</f>
        <v/>
      </c>
      <c r="K790" s="78">
        <f>IF($A790="","",C790+E790+G790)</f>
        <v/>
      </c>
      <c r="L790" s="79">
        <f>IF($A790="","",J790+H790)</f>
        <v/>
      </c>
      <c r="M790" s="80">
        <f>IF($A790="","",K790+I790)</f>
        <v/>
      </c>
      <c r="N790" s="77">
        <f>IF($A790="","",SUMIFS($J$5:$J$800,$A$5:$A$800,"&gt;="&amp;DATE(YEAR($A790),MONTH($A790),1),$A$5:$A$800,"&lt;="&amp;$A790)+IF(AND(YEAR($A790)=YEAR(Settings!$B$3),MONTH($A790)=MONTH(Settings!$B$3)),Settings!$B$10,0))</f>
        <v/>
      </c>
      <c r="O790" s="78">
        <f>IF($A790="","",SUMIFS($K$5:$K$800,$A$5:$A$800,"&gt;="&amp;DATE(YEAR($A790),MONTH($A790),1),$A$5:$A$800,"&lt;="&amp;$A790)+IF(AND(YEAR($A790)=YEAR(Settings!$B$3),MONTH($A790)=MONTH(Settings!$B$3)),Settings!$B$11,0))</f>
        <v/>
      </c>
      <c r="P790" s="77">
        <f>IF($A790="","",SUMIFS($H$5:$H$800,$A$5:$A$800,"&gt;="&amp;DATE(YEAR($A790),MONTH($A790),1),$A$5:$A$800,"&lt;="&amp;$A790)+IF(AND(YEAR($A790)=YEAR(Settings!$B$3),MONTH($A790)=MONTH(Settings!$B$3)),Settings!$B$12,0))</f>
        <v/>
      </c>
      <c r="Q790" s="78">
        <f>IF($A790="","",SUMIFS($I$5:$I$800,$A$5:$A$800,"&gt;="&amp;DATE(YEAR($A790),MONTH($A790),1),$A$5:$A$800,"&lt;="&amp;$A790)+IF(AND(YEAR($A790)=YEAR(Settings!$B$3),MONTH($A790)=MONTH(Settings!$B$3)),Settings!$B$13,0))</f>
        <v/>
      </c>
      <c r="R790" s="77">
        <f>IF($A790="","",N790+P790)</f>
        <v/>
      </c>
      <c r="S790" s="78">
        <f>IF($A790="","",O790+Q790)</f>
        <v/>
      </c>
    </row>
    <row r="791">
      <c r="A791" s="67" t="n"/>
      <c r="B791" s="75" t="n"/>
      <c r="C791" s="76" t="n"/>
      <c r="D791" s="75" t="n"/>
      <c r="E791" s="76" t="n"/>
      <c r="F791" s="75" t="n"/>
      <c r="G791" s="76" t="n"/>
      <c r="H791" s="75" t="n"/>
      <c r="I791" s="76" t="n"/>
      <c r="J791" s="77">
        <f>IF($A791="","",B791+D791+F791)</f>
        <v/>
      </c>
      <c r="K791" s="78">
        <f>IF($A791="","",C791+E791+G791)</f>
        <v/>
      </c>
      <c r="L791" s="79">
        <f>IF($A791="","",J791+H791)</f>
        <v/>
      </c>
      <c r="M791" s="80">
        <f>IF($A791="","",K791+I791)</f>
        <v/>
      </c>
      <c r="N791" s="77">
        <f>IF($A791="","",SUMIFS($J$5:$J$800,$A$5:$A$800,"&gt;="&amp;DATE(YEAR($A791),MONTH($A791),1),$A$5:$A$800,"&lt;="&amp;$A791)+IF(AND(YEAR($A791)=YEAR(Settings!$B$3),MONTH($A791)=MONTH(Settings!$B$3)),Settings!$B$10,0))</f>
        <v/>
      </c>
      <c r="O791" s="78">
        <f>IF($A791="","",SUMIFS($K$5:$K$800,$A$5:$A$800,"&gt;="&amp;DATE(YEAR($A791),MONTH($A791),1),$A$5:$A$800,"&lt;="&amp;$A791)+IF(AND(YEAR($A791)=YEAR(Settings!$B$3),MONTH($A791)=MONTH(Settings!$B$3)),Settings!$B$11,0))</f>
        <v/>
      </c>
      <c r="P791" s="77">
        <f>IF($A791="","",SUMIFS($H$5:$H$800,$A$5:$A$800,"&gt;="&amp;DATE(YEAR($A791),MONTH($A791),1),$A$5:$A$800,"&lt;="&amp;$A791)+IF(AND(YEAR($A791)=YEAR(Settings!$B$3),MONTH($A791)=MONTH(Settings!$B$3)),Settings!$B$12,0))</f>
        <v/>
      </c>
      <c r="Q791" s="78">
        <f>IF($A791="","",SUMIFS($I$5:$I$800,$A$5:$A$800,"&gt;="&amp;DATE(YEAR($A791),MONTH($A791),1),$A$5:$A$800,"&lt;="&amp;$A791)+IF(AND(YEAR($A791)=YEAR(Settings!$B$3),MONTH($A791)=MONTH(Settings!$B$3)),Settings!$B$13,0))</f>
        <v/>
      </c>
      <c r="R791" s="77">
        <f>IF($A791="","",N791+P791)</f>
        <v/>
      </c>
      <c r="S791" s="78">
        <f>IF($A791="","",O791+Q791)</f>
        <v/>
      </c>
    </row>
    <row r="792">
      <c r="A792" s="67" t="n"/>
      <c r="B792" s="75" t="n"/>
      <c r="C792" s="76" t="n"/>
      <c r="D792" s="75" t="n"/>
      <c r="E792" s="76" t="n"/>
      <c r="F792" s="75" t="n"/>
      <c r="G792" s="76" t="n"/>
      <c r="H792" s="75" t="n"/>
      <c r="I792" s="76" t="n"/>
      <c r="J792" s="77">
        <f>IF($A792="","",B792+D792+F792)</f>
        <v/>
      </c>
      <c r="K792" s="78">
        <f>IF($A792="","",C792+E792+G792)</f>
        <v/>
      </c>
      <c r="L792" s="79">
        <f>IF($A792="","",J792+H792)</f>
        <v/>
      </c>
      <c r="M792" s="80">
        <f>IF($A792="","",K792+I792)</f>
        <v/>
      </c>
      <c r="N792" s="77">
        <f>IF($A792="","",SUMIFS($J$5:$J$800,$A$5:$A$800,"&gt;="&amp;DATE(YEAR($A792),MONTH($A792),1),$A$5:$A$800,"&lt;="&amp;$A792)+IF(AND(YEAR($A792)=YEAR(Settings!$B$3),MONTH($A792)=MONTH(Settings!$B$3)),Settings!$B$10,0))</f>
        <v/>
      </c>
      <c r="O792" s="78">
        <f>IF($A792="","",SUMIFS($K$5:$K$800,$A$5:$A$800,"&gt;="&amp;DATE(YEAR($A792),MONTH($A792),1),$A$5:$A$800,"&lt;="&amp;$A792)+IF(AND(YEAR($A792)=YEAR(Settings!$B$3),MONTH($A792)=MONTH(Settings!$B$3)),Settings!$B$11,0))</f>
        <v/>
      </c>
      <c r="P792" s="77">
        <f>IF($A792="","",SUMIFS($H$5:$H$800,$A$5:$A$800,"&gt;="&amp;DATE(YEAR($A792),MONTH($A792),1),$A$5:$A$800,"&lt;="&amp;$A792)+IF(AND(YEAR($A792)=YEAR(Settings!$B$3),MONTH($A792)=MONTH(Settings!$B$3)),Settings!$B$12,0))</f>
        <v/>
      </c>
      <c r="Q792" s="78">
        <f>IF($A792="","",SUMIFS($I$5:$I$800,$A$5:$A$800,"&gt;="&amp;DATE(YEAR($A792),MONTH($A792),1),$A$5:$A$800,"&lt;="&amp;$A792)+IF(AND(YEAR($A792)=YEAR(Settings!$B$3),MONTH($A792)=MONTH(Settings!$B$3)),Settings!$B$13,0))</f>
        <v/>
      </c>
      <c r="R792" s="77">
        <f>IF($A792="","",N792+P792)</f>
        <v/>
      </c>
      <c r="S792" s="78">
        <f>IF($A792="","",O792+Q792)</f>
        <v/>
      </c>
    </row>
    <row r="793">
      <c r="A793" s="67" t="n"/>
      <c r="B793" s="75" t="n"/>
      <c r="C793" s="76" t="n"/>
      <c r="D793" s="75" t="n"/>
      <c r="E793" s="76" t="n"/>
      <c r="F793" s="75" t="n"/>
      <c r="G793" s="76" t="n"/>
      <c r="H793" s="75" t="n"/>
      <c r="I793" s="76" t="n"/>
      <c r="J793" s="77">
        <f>IF($A793="","",B793+D793+F793)</f>
        <v/>
      </c>
      <c r="K793" s="78">
        <f>IF($A793="","",C793+E793+G793)</f>
        <v/>
      </c>
      <c r="L793" s="79">
        <f>IF($A793="","",J793+H793)</f>
        <v/>
      </c>
      <c r="M793" s="80">
        <f>IF($A793="","",K793+I793)</f>
        <v/>
      </c>
      <c r="N793" s="77">
        <f>IF($A793="","",SUMIFS($J$5:$J$800,$A$5:$A$800,"&gt;="&amp;DATE(YEAR($A793),MONTH($A793),1),$A$5:$A$800,"&lt;="&amp;$A793)+IF(AND(YEAR($A793)=YEAR(Settings!$B$3),MONTH($A793)=MONTH(Settings!$B$3)),Settings!$B$10,0))</f>
        <v/>
      </c>
      <c r="O793" s="78">
        <f>IF($A793="","",SUMIFS($K$5:$K$800,$A$5:$A$800,"&gt;="&amp;DATE(YEAR($A793),MONTH($A793),1),$A$5:$A$800,"&lt;="&amp;$A793)+IF(AND(YEAR($A793)=YEAR(Settings!$B$3),MONTH($A793)=MONTH(Settings!$B$3)),Settings!$B$11,0))</f>
        <v/>
      </c>
      <c r="P793" s="77">
        <f>IF($A793="","",SUMIFS($H$5:$H$800,$A$5:$A$800,"&gt;="&amp;DATE(YEAR($A793),MONTH($A793),1),$A$5:$A$800,"&lt;="&amp;$A793)+IF(AND(YEAR($A793)=YEAR(Settings!$B$3),MONTH($A793)=MONTH(Settings!$B$3)),Settings!$B$12,0))</f>
        <v/>
      </c>
      <c r="Q793" s="78">
        <f>IF($A793="","",SUMIFS($I$5:$I$800,$A$5:$A$800,"&gt;="&amp;DATE(YEAR($A793),MONTH($A793),1),$A$5:$A$800,"&lt;="&amp;$A793)+IF(AND(YEAR($A793)=YEAR(Settings!$B$3),MONTH($A793)=MONTH(Settings!$B$3)),Settings!$B$13,0))</f>
        <v/>
      </c>
      <c r="R793" s="77">
        <f>IF($A793="","",N793+P793)</f>
        <v/>
      </c>
      <c r="S793" s="78">
        <f>IF($A793="","",O793+Q793)</f>
        <v/>
      </c>
    </row>
    <row r="794">
      <c r="A794" s="67" t="n"/>
      <c r="B794" s="75" t="n"/>
      <c r="C794" s="76" t="n"/>
      <c r="D794" s="75" t="n"/>
      <c r="E794" s="76" t="n"/>
      <c r="F794" s="75" t="n"/>
      <c r="G794" s="76" t="n"/>
      <c r="H794" s="75" t="n"/>
      <c r="I794" s="76" t="n"/>
      <c r="J794" s="77">
        <f>IF($A794="","",B794+D794+F794)</f>
        <v/>
      </c>
      <c r="K794" s="78">
        <f>IF($A794="","",C794+E794+G794)</f>
        <v/>
      </c>
      <c r="L794" s="79">
        <f>IF($A794="","",J794+H794)</f>
        <v/>
      </c>
      <c r="M794" s="80">
        <f>IF($A794="","",K794+I794)</f>
        <v/>
      </c>
      <c r="N794" s="77">
        <f>IF($A794="","",SUMIFS($J$5:$J$800,$A$5:$A$800,"&gt;="&amp;DATE(YEAR($A794),MONTH($A794),1),$A$5:$A$800,"&lt;="&amp;$A794)+IF(AND(YEAR($A794)=YEAR(Settings!$B$3),MONTH($A794)=MONTH(Settings!$B$3)),Settings!$B$10,0))</f>
        <v/>
      </c>
      <c r="O794" s="78">
        <f>IF($A794="","",SUMIFS($K$5:$K$800,$A$5:$A$800,"&gt;="&amp;DATE(YEAR($A794),MONTH($A794),1),$A$5:$A$800,"&lt;="&amp;$A794)+IF(AND(YEAR($A794)=YEAR(Settings!$B$3),MONTH($A794)=MONTH(Settings!$B$3)),Settings!$B$11,0))</f>
        <v/>
      </c>
      <c r="P794" s="77">
        <f>IF($A794="","",SUMIFS($H$5:$H$800,$A$5:$A$800,"&gt;="&amp;DATE(YEAR($A794),MONTH($A794),1),$A$5:$A$800,"&lt;="&amp;$A794)+IF(AND(YEAR($A794)=YEAR(Settings!$B$3),MONTH($A794)=MONTH(Settings!$B$3)),Settings!$B$12,0))</f>
        <v/>
      </c>
      <c r="Q794" s="78">
        <f>IF($A794="","",SUMIFS($I$5:$I$800,$A$5:$A$800,"&gt;="&amp;DATE(YEAR($A794),MONTH($A794),1),$A$5:$A$800,"&lt;="&amp;$A794)+IF(AND(YEAR($A794)=YEAR(Settings!$B$3),MONTH($A794)=MONTH(Settings!$B$3)),Settings!$B$13,0))</f>
        <v/>
      </c>
      <c r="R794" s="77">
        <f>IF($A794="","",N794+P794)</f>
        <v/>
      </c>
      <c r="S794" s="78">
        <f>IF($A794="","",O794+Q794)</f>
        <v/>
      </c>
    </row>
    <row r="795">
      <c r="A795" s="67" t="n"/>
      <c r="B795" s="75" t="n"/>
      <c r="C795" s="76" t="n"/>
      <c r="D795" s="75" t="n"/>
      <c r="E795" s="76" t="n"/>
      <c r="F795" s="75" t="n"/>
      <c r="G795" s="76" t="n"/>
      <c r="H795" s="75" t="n"/>
      <c r="I795" s="76" t="n"/>
      <c r="J795" s="77">
        <f>IF($A795="","",B795+D795+F795)</f>
        <v/>
      </c>
      <c r="K795" s="78">
        <f>IF($A795="","",C795+E795+G795)</f>
        <v/>
      </c>
      <c r="L795" s="79">
        <f>IF($A795="","",J795+H795)</f>
        <v/>
      </c>
      <c r="M795" s="80">
        <f>IF($A795="","",K795+I795)</f>
        <v/>
      </c>
      <c r="N795" s="77">
        <f>IF($A795="","",SUMIFS($J$5:$J$800,$A$5:$A$800,"&gt;="&amp;DATE(YEAR($A795),MONTH($A795),1),$A$5:$A$800,"&lt;="&amp;$A795)+IF(AND(YEAR($A795)=YEAR(Settings!$B$3),MONTH($A795)=MONTH(Settings!$B$3)),Settings!$B$10,0))</f>
        <v/>
      </c>
      <c r="O795" s="78">
        <f>IF($A795="","",SUMIFS($K$5:$K$800,$A$5:$A$800,"&gt;="&amp;DATE(YEAR($A795),MONTH($A795),1),$A$5:$A$800,"&lt;="&amp;$A795)+IF(AND(YEAR($A795)=YEAR(Settings!$B$3),MONTH($A795)=MONTH(Settings!$B$3)),Settings!$B$11,0))</f>
        <v/>
      </c>
      <c r="P795" s="77">
        <f>IF($A795="","",SUMIFS($H$5:$H$800,$A$5:$A$800,"&gt;="&amp;DATE(YEAR($A795),MONTH($A795),1),$A$5:$A$800,"&lt;="&amp;$A795)+IF(AND(YEAR($A795)=YEAR(Settings!$B$3),MONTH($A795)=MONTH(Settings!$B$3)),Settings!$B$12,0))</f>
        <v/>
      </c>
      <c r="Q795" s="78">
        <f>IF($A795="","",SUMIFS($I$5:$I$800,$A$5:$A$800,"&gt;="&amp;DATE(YEAR($A795),MONTH($A795),1),$A$5:$A$800,"&lt;="&amp;$A795)+IF(AND(YEAR($A795)=YEAR(Settings!$B$3),MONTH($A795)=MONTH(Settings!$B$3)),Settings!$B$13,0))</f>
        <v/>
      </c>
      <c r="R795" s="77">
        <f>IF($A795="","",N795+P795)</f>
        <v/>
      </c>
      <c r="S795" s="78">
        <f>IF($A795="","",O795+Q795)</f>
        <v/>
      </c>
    </row>
    <row r="796">
      <c r="A796" s="67" t="n"/>
      <c r="B796" s="75" t="n"/>
      <c r="C796" s="76" t="n"/>
      <c r="D796" s="75" t="n"/>
      <c r="E796" s="76" t="n"/>
      <c r="F796" s="75" t="n"/>
      <c r="G796" s="76" t="n"/>
      <c r="H796" s="75" t="n"/>
      <c r="I796" s="76" t="n"/>
      <c r="J796" s="77">
        <f>IF($A796="","",B796+D796+F796)</f>
        <v/>
      </c>
      <c r="K796" s="78">
        <f>IF($A796="","",C796+E796+G796)</f>
        <v/>
      </c>
      <c r="L796" s="79">
        <f>IF($A796="","",J796+H796)</f>
        <v/>
      </c>
      <c r="M796" s="80">
        <f>IF($A796="","",K796+I796)</f>
        <v/>
      </c>
      <c r="N796" s="77">
        <f>IF($A796="","",SUMIFS($J$5:$J$800,$A$5:$A$800,"&gt;="&amp;DATE(YEAR($A796),MONTH($A796),1),$A$5:$A$800,"&lt;="&amp;$A796)+IF(AND(YEAR($A796)=YEAR(Settings!$B$3),MONTH($A796)=MONTH(Settings!$B$3)),Settings!$B$10,0))</f>
        <v/>
      </c>
      <c r="O796" s="78">
        <f>IF($A796="","",SUMIFS($K$5:$K$800,$A$5:$A$800,"&gt;="&amp;DATE(YEAR($A796),MONTH($A796),1),$A$5:$A$800,"&lt;="&amp;$A796)+IF(AND(YEAR($A796)=YEAR(Settings!$B$3),MONTH($A796)=MONTH(Settings!$B$3)),Settings!$B$11,0))</f>
        <v/>
      </c>
      <c r="P796" s="77">
        <f>IF($A796="","",SUMIFS($H$5:$H$800,$A$5:$A$800,"&gt;="&amp;DATE(YEAR($A796),MONTH($A796),1),$A$5:$A$800,"&lt;="&amp;$A796)+IF(AND(YEAR($A796)=YEAR(Settings!$B$3),MONTH($A796)=MONTH(Settings!$B$3)),Settings!$B$12,0))</f>
        <v/>
      </c>
      <c r="Q796" s="78">
        <f>IF($A796="","",SUMIFS($I$5:$I$800,$A$5:$A$800,"&gt;="&amp;DATE(YEAR($A796),MONTH($A796),1),$A$5:$A$800,"&lt;="&amp;$A796)+IF(AND(YEAR($A796)=YEAR(Settings!$B$3),MONTH($A796)=MONTH(Settings!$B$3)),Settings!$B$13,0))</f>
        <v/>
      </c>
      <c r="R796" s="77">
        <f>IF($A796="","",N796+P796)</f>
        <v/>
      </c>
      <c r="S796" s="78">
        <f>IF($A796="","",O796+Q796)</f>
        <v/>
      </c>
    </row>
    <row r="797">
      <c r="A797" s="67" t="n"/>
      <c r="B797" s="75" t="n"/>
      <c r="C797" s="76" t="n"/>
      <c r="D797" s="75" t="n"/>
      <c r="E797" s="76" t="n"/>
      <c r="F797" s="75" t="n"/>
      <c r="G797" s="76" t="n"/>
      <c r="H797" s="75" t="n"/>
      <c r="I797" s="76" t="n"/>
      <c r="J797" s="77">
        <f>IF($A797="","",B797+D797+F797)</f>
        <v/>
      </c>
      <c r="K797" s="78">
        <f>IF($A797="","",C797+E797+G797)</f>
        <v/>
      </c>
      <c r="L797" s="79">
        <f>IF($A797="","",J797+H797)</f>
        <v/>
      </c>
      <c r="M797" s="80">
        <f>IF($A797="","",K797+I797)</f>
        <v/>
      </c>
      <c r="N797" s="77">
        <f>IF($A797="","",SUMIFS($J$5:$J$800,$A$5:$A$800,"&gt;="&amp;DATE(YEAR($A797),MONTH($A797),1),$A$5:$A$800,"&lt;="&amp;$A797)+IF(AND(YEAR($A797)=YEAR(Settings!$B$3),MONTH($A797)=MONTH(Settings!$B$3)),Settings!$B$10,0))</f>
        <v/>
      </c>
      <c r="O797" s="78">
        <f>IF($A797="","",SUMIFS($K$5:$K$800,$A$5:$A$800,"&gt;="&amp;DATE(YEAR($A797),MONTH($A797),1),$A$5:$A$800,"&lt;="&amp;$A797)+IF(AND(YEAR($A797)=YEAR(Settings!$B$3),MONTH($A797)=MONTH(Settings!$B$3)),Settings!$B$11,0))</f>
        <v/>
      </c>
      <c r="P797" s="77">
        <f>IF($A797="","",SUMIFS($H$5:$H$800,$A$5:$A$800,"&gt;="&amp;DATE(YEAR($A797),MONTH($A797),1),$A$5:$A$800,"&lt;="&amp;$A797)+IF(AND(YEAR($A797)=YEAR(Settings!$B$3),MONTH($A797)=MONTH(Settings!$B$3)),Settings!$B$12,0))</f>
        <v/>
      </c>
      <c r="Q797" s="78">
        <f>IF($A797="","",SUMIFS($I$5:$I$800,$A$5:$A$800,"&gt;="&amp;DATE(YEAR($A797),MONTH($A797),1),$A$5:$A$800,"&lt;="&amp;$A797)+IF(AND(YEAR($A797)=YEAR(Settings!$B$3),MONTH($A797)=MONTH(Settings!$B$3)),Settings!$B$13,0))</f>
        <v/>
      </c>
      <c r="R797" s="77">
        <f>IF($A797="","",N797+P797)</f>
        <v/>
      </c>
      <c r="S797" s="78">
        <f>IF($A797="","",O797+Q797)</f>
        <v/>
      </c>
    </row>
    <row r="798">
      <c r="A798" s="67" t="n"/>
      <c r="B798" s="75" t="n"/>
      <c r="C798" s="76" t="n"/>
      <c r="D798" s="75" t="n"/>
      <c r="E798" s="76" t="n"/>
      <c r="F798" s="75" t="n"/>
      <c r="G798" s="76" t="n"/>
      <c r="H798" s="75" t="n"/>
      <c r="I798" s="76" t="n"/>
      <c r="J798" s="77">
        <f>IF($A798="","",B798+D798+F798)</f>
        <v/>
      </c>
      <c r="K798" s="78">
        <f>IF($A798="","",C798+E798+G798)</f>
        <v/>
      </c>
      <c r="L798" s="79">
        <f>IF($A798="","",J798+H798)</f>
        <v/>
      </c>
      <c r="M798" s="80">
        <f>IF($A798="","",K798+I798)</f>
        <v/>
      </c>
      <c r="N798" s="77">
        <f>IF($A798="","",SUMIFS($J$5:$J$800,$A$5:$A$800,"&gt;="&amp;DATE(YEAR($A798),MONTH($A798),1),$A$5:$A$800,"&lt;="&amp;$A798)+IF(AND(YEAR($A798)=YEAR(Settings!$B$3),MONTH($A798)=MONTH(Settings!$B$3)),Settings!$B$10,0))</f>
        <v/>
      </c>
      <c r="O798" s="78">
        <f>IF($A798="","",SUMIFS($K$5:$K$800,$A$5:$A$800,"&gt;="&amp;DATE(YEAR($A798),MONTH($A798),1),$A$5:$A$800,"&lt;="&amp;$A798)+IF(AND(YEAR($A798)=YEAR(Settings!$B$3),MONTH($A798)=MONTH(Settings!$B$3)),Settings!$B$11,0))</f>
        <v/>
      </c>
      <c r="P798" s="77">
        <f>IF($A798="","",SUMIFS($H$5:$H$800,$A$5:$A$800,"&gt;="&amp;DATE(YEAR($A798),MONTH($A798),1),$A$5:$A$800,"&lt;="&amp;$A798)+IF(AND(YEAR($A798)=YEAR(Settings!$B$3),MONTH($A798)=MONTH(Settings!$B$3)),Settings!$B$12,0))</f>
        <v/>
      </c>
      <c r="Q798" s="78">
        <f>IF($A798="","",SUMIFS($I$5:$I$800,$A$5:$A$800,"&gt;="&amp;DATE(YEAR($A798),MONTH($A798),1),$A$5:$A$800,"&lt;="&amp;$A798)+IF(AND(YEAR($A798)=YEAR(Settings!$B$3),MONTH($A798)=MONTH(Settings!$B$3)),Settings!$B$13,0))</f>
        <v/>
      </c>
      <c r="R798" s="77">
        <f>IF($A798="","",N798+P798)</f>
        <v/>
      </c>
      <c r="S798" s="78">
        <f>IF($A798="","",O798+Q798)</f>
        <v/>
      </c>
    </row>
    <row r="799">
      <c r="A799" s="67" t="n"/>
      <c r="B799" s="75" t="n"/>
      <c r="C799" s="76" t="n"/>
      <c r="D799" s="75" t="n"/>
      <c r="E799" s="76" t="n"/>
      <c r="F799" s="75" t="n"/>
      <c r="G799" s="76" t="n"/>
      <c r="H799" s="75" t="n"/>
      <c r="I799" s="76" t="n"/>
      <c r="J799" s="77">
        <f>IF($A799="","",B799+D799+F799)</f>
        <v/>
      </c>
      <c r="K799" s="78">
        <f>IF($A799="","",C799+E799+G799)</f>
        <v/>
      </c>
      <c r="L799" s="79">
        <f>IF($A799="","",J799+H799)</f>
        <v/>
      </c>
      <c r="M799" s="80">
        <f>IF($A799="","",K799+I799)</f>
        <v/>
      </c>
      <c r="N799" s="77">
        <f>IF($A799="","",SUMIFS($J$5:$J$800,$A$5:$A$800,"&gt;="&amp;DATE(YEAR($A799),MONTH($A799),1),$A$5:$A$800,"&lt;="&amp;$A799)+IF(AND(YEAR($A799)=YEAR(Settings!$B$3),MONTH($A799)=MONTH(Settings!$B$3)),Settings!$B$10,0))</f>
        <v/>
      </c>
      <c r="O799" s="78">
        <f>IF($A799="","",SUMIFS($K$5:$K$800,$A$5:$A$800,"&gt;="&amp;DATE(YEAR($A799),MONTH($A799),1),$A$5:$A$800,"&lt;="&amp;$A799)+IF(AND(YEAR($A799)=YEAR(Settings!$B$3),MONTH($A799)=MONTH(Settings!$B$3)),Settings!$B$11,0))</f>
        <v/>
      </c>
      <c r="P799" s="77">
        <f>IF($A799="","",SUMIFS($H$5:$H$800,$A$5:$A$800,"&gt;="&amp;DATE(YEAR($A799),MONTH($A799),1),$A$5:$A$800,"&lt;="&amp;$A799)+IF(AND(YEAR($A799)=YEAR(Settings!$B$3),MONTH($A799)=MONTH(Settings!$B$3)),Settings!$B$12,0))</f>
        <v/>
      </c>
      <c r="Q799" s="78">
        <f>IF($A799="","",SUMIFS($I$5:$I$800,$A$5:$A$800,"&gt;="&amp;DATE(YEAR($A799),MONTH($A799),1),$A$5:$A$800,"&lt;="&amp;$A799)+IF(AND(YEAR($A799)=YEAR(Settings!$B$3),MONTH($A799)=MONTH(Settings!$B$3)),Settings!$B$13,0))</f>
        <v/>
      </c>
      <c r="R799" s="77">
        <f>IF($A799="","",N799+P799)</f>
        <v/>
      </c>
      <c r="S799" s="78">
        <f>IF($A799="","",O799+Q799)</f>
        <v/>
      </c>
    </row>
    <row r="800">
      <c r="A800" s="67" t="n"/>
      <c r="B800" s="75" t="n"/>
      <c r="C800" s="76" t="n"/>
      <c r="D800" s="75" t="n"/>
      <c r="E800" s="76" t="n"/>
      <c r="F800" s="75" t="n"/>
      <c r="G800" s="76" t="n"/>
      <c r="H800" s="75" t="n"/>
      <c r="I800" s="76" t="n"/>
      <c r="J800" s="77">
        <f>IF($A800="","",B800+D800+F800)</f>
        <v/>
      </c>
      <c r="K800" s="78">
        <f>IF($A800="","",C800+E800+G800)</f>
        <v/>
      </c>
      <c r="L800" s="79">
        <f>IF($A800="","",J800+H800)</f>
        <v/>
      </c>
      <c r="M800" s="80">
        <f>IF($A800="","",K800+I800)</f>
        <v/>
      </c>
      <c r="N800" s="77">
        <f>IF($A800="","",SUMIFS($J$5:$J$800,$A$5:$A$800,"&gt;="&amp;DATE(YEAR($A800),MONTH($A800),1),$A$5:$A$800,"&lt;="&amp;$A800)+IF(AND(YEAR($A800)=YEAR(Settings!$B$3),MONTH($A800)=MONTH(Settings!$B$3)),Settings!$B$10,0))</f>
        <v/>
      </c>
      <c r="O800" s="78">
        <f>IF($A800="","",SUMIFS($K$5:$K$800,$A$5:$A$800,"&gt;="&amp;DATE(YEAR($A800),MONTH($A800),1),$A$5:$A$800,"&lt;="&amp;$A800)+IF(AND(YEAR($A800)=YEAR(Settings!$B$3),MONTH($A800)=MONTH(Settings!$B$3)),Settings!$B$11,0))</f>
        <v/>
      </c>
      <c r="P800" s="77">
        <f>IF($A800="","",SUMIFS($H$5:$H$800,$A$5:$A$800,"&gt;="&amp;DATE(YEAR($A800),MONTH($A800),1),$A$5:$A$800,"&lt;="&amp;$A800)+IF(AND(YEAR($A800)=YEAR(Settings!$B$3),MONTH($A800)=MONTH(Settings!$B$3)),Settings!$B$12,0))</f>
        <v/>
      </c>
      <c r="Q800" s="78">
        <f>IF($A800="","",SUMIFS($I$5:$I$800,$A$5:$A$800,"&gt;="&amp;DATE(YEAR($A800),MONTH($A800),1),$A$5:$A$800,"&lt;="&amp;$A800)+IF(AND(YEAR($A800)=YEAR(Settings!$B$3),MONTH($A800)=MONTH(Settings!$B$3)),Settings!$B$13,0))</f>
        <v/>
      </c>
      <c r="R800" s="77">
        <f>IF($A800="","",N800+P800)</f>
        <v/>
      </c>
      <c r="S800" s="78">
        <f>IF($A800="","",O800+Q800)</f>
        <v/>
      </c>
    </row>
  </sheetData>
  <mergeCells count="3">
    <mergeCell ref="B3:I3"/>
    <mergeCell ref="J3:M3"/>
    <mergeCell ref="N3:S3"/>
  </mergeCells>
  <dataValidations count="2">
    <dataValidation sqref="A5:A800" showDropDown="0" showInputMessage="0" showErrorMessage="1" allowBlank="0" error="Enter a valid date" type="date" operator="greaterThan">
      <formula1>DATE(2000,1,1)</formula1>
    </dataValidation>
    <dataValidation sqref="B5:I800" showDropDown="0" showInputMessage="0" showErrorMessage="1" allowBlank="0" error="Enter a number ≥ 0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4" customWidth="1" min="4" max="4"/>
    <col width="12" customWidth="1" min="5" max="5"/>
    <col width="55" customWidth="1" min="6" max="6"/>
    <col width="70" customWidth="1" min="7" max="7"/>
    <col width="13" customWidth="1" min="8" max="8"/>
  </cols>
  <sheetData>
    <row r="1">
      <c r="A1" s="60" t="inlineStr">
        <is>
          <t>BLOCK 4 – PLANT AND EQUIPMENT'S RUNNING HOURS/KM  +  BLOCK 6 – REMARKS (one row per day)</t>
        </is>
      </c>
    </row>
    <row r="2">
      <c r="A2" s="61" t="inlineStr">
        <is>
          <t>Type everything in yellow: hours for each section/machine, Camper km, and a short remark for Primary and Secondary sections.</t>
        </is>
      </c>
    </row>
    <row r="3">
      <c r="B3" s="62" t="inlineStr">
        <is>
          <t>4. PLANT AND EQUIPMENT'S RUNNING HOURS/KM</t>
        </is>
      </c>
      <c r="F3" s="81" t="inlineStr">
        <is>
          <t>6. REMARKS</t>
        </is>
      </c>
      <c r="H3" s="62" t="inlineStr">
        <is>
          <t>4. KM</t>
        </is>
      </c>
    </row>
    <row r="4" ht="58" customHeight="1">
      <c r="A4" s="66" t="inlineStr">
        <is>
          <t>Date</t>
        </is>
      </c>
      <c r="B4" s="66" t="inlineStr">
        <is>
          <t>Primary
Section
Hrs</t>
        </is>
      </c>
      <c r="C4" s="66" t="inlineStr">
        <is>
          <t>Secondary
Section
Hrs</t>
        </is>
      </c>
      <c r="D4" s="66" t="inlineStr">
        <is>
          <t>Hyundai
Excavator R230
Hrs</t>
        </is>
      </c>
      <c r="E4" s="66" t="inlineStr">
        <is>
          <t>JCB
UP92T7813
Hrs</t>
        </is>
      </c>
      <c r="F4" s="66" t="inlineStr">
        <is>
          <t>Remarks – Primary Section</t>
        </is>
      </c>
      <c r="G4" s="66" t="inlineStr">
        <is>
          <t>Remarks – Secondary Section</t>
        </is>
      </c>
      <c r="H4" s="66" t="inlineStr">
        <is>
          <t>Camper
MP07ZM6345
km</t>
        </is>
      </c>
    </row>
    <row r="5">
      <c r="A5" s="67" t="n"/>
      <c r="B5" s="82" t="n"/>
      <c r="C5" s="82" t="n"/>
      <c r="D5" s="82" t="n"/>
      <c r="E5" s="82" t="n"/>
      <c r="F5" s="83" t="n"/>
      <c r="G5" s="83" t="n"/>
      <c r="H5" s="82" t="n"/>
    </row>
    <row r="6">
      <c r="A6" s="67" t="n"/>
      <c r="B6" s="82" t="n"/>
      <c r="C6" s="82" t="n"/>
      <c r="D6" s="82" t="n"/>
      <c r="E6" s="82" t="n"/>
      <c r="F6" s="83" t="n"/>
      <c r="G6" s="83" t="n"/>
      <c r="H6" s="82" t="n"/>
    </row>
    <row r="7">
      <c r="A7" s="67" t="n"/>
      <c r="B7" s="82" t="n"/>
      <c r="C7" s="82" t="n"/>
      <c r="D7" s="82" t="n"/>
      <c r="E7" s="82" t="n"/>
      <c r="F7" s="83" t="n"/>
      <c r="G7" s="83" t="n"/>
      <c r="H7" s="82" t="n"/>
    </row>
    <row r="8">
      <c r="A8" s="67" t="n"/>
      <c r="B8" s="82" t="n"/>
      <c r="C8" s="82" t="n"/>
      <c r="D8" s="82" t="n"/>
      <c r="E8" s="82" t="n"/>
      <c r="F8" s="83" t="n"/>
      <c r="G8" s="83" t="n"/>
      <c r="H8" s="82" t="n"/>
    </row>
    <row r="9">
      <c r="A9" s="67" t="n"/>
      <c r="B9" s="82" t="n"/>
      <c r="C9" s="82" t="n"/>
      <c r="D9" s="82" t="n"/>
      <c r="E9" s="82" t="n"/>
      <c r="F9" s="83" t="n"/>
      <c r="G9" s="83" t="n"/>
      <c r="H9" s="82" t="n"/>
    </row>
    <row r="10">
      <c r="A10" s="67" t="n"/>
      <c r="B10" s="82" t="n"/>
      <c r="C10" s="82" t="n"/>
      <c r="D10" s="82" t="n"/>
      <c r="E10" s="82" t="n"/>
      <c r="F10" s="83" t="n"/>
      <c r="G10" s="83" t="n"/>
      <c r="H10" s="82" t="n"/>
    </row>
    <row r="11">
      <c r="A11" s="67" t="n"/>
      <c r="B11" s="82" t="n"/>
      <c r="C11" s="82" t="n"/>
      <c r="D11" s="82" t="n"/>
      <c r="E11" s="82" t="n"/>
      <c r="F11" s="83" t="n"/>
      <c r="G11" s="83" t="n"/>
      <c r="H11" s="82" t="n"/>
    </row>
    <row r="12">
      <c r="A12" s="67" t="n"/>
      <c r="B12" s="82" t="n"/>
      <c r="C12" s="82" t="n"/>
      <c r="D12" s="82" t="n"/>
      <c r="E12" s="82" t="n"/>
      <c r="F12" s="83" t="n"/>
      <c r="G12" s="83" t="n"/>
      <c r="H12" s="82" t="n"/>
    </row>
    <row r="13">
      <c r="A13" s="67" t="n"/>
      <c r="B13" s="82" t="n"/>
      <c r="C13" s="82" t="n"/>
      <c r="D13" s="82" t="n"/>
      <c r="E13" s="82" t="n"/>
      <c r="F13" s="83" t="n"/>
      <c r="G13" s="83" t="n"/>
      <c r="H13" s="82" t="n"/>
    </row>
    <row r="14">
      <c r="A14" s="67" t="n"/>
      <c r="B14" s="82" t="n"/>
      <c r="C14" s="82" t="n"/>
      <c r="D14" s="82" t="n"/>
      <c r="E14" s="82" t="n"/>
      <c r="F14" s="83" t="n"/>
      <c r="G14" s="83" t="n"/>
      <c r="H14" s="82" t="n"/>
    </row>
    <row r="15">
      <c r="A15" s="67" t="n"/>
      <c r="B15" s="82" t="n"/>
      <c r="C15" s="82" t="n"/>
      <c r="D15" s="82" t="n"/>
      <c r="E15" s="82" t="n"/>
      <c r="F15" s="83" t="n"/>
      <c r="G15" s="83" t="n"/>
      <c r="H15" s="82" t="n"/>
    </row>
    <row r="16">
      <c r="A16" s="67" t="n"/>
      <c r="B16" s="82" t="n"/>
      <c r="C16" s="82" t="n"/>
      <c r="D16" s="82" t="n"/>
      <c r="E16" s="82" t="n"/>
      <c r="F16" s="83" t="n"/>
      <c r="G16" s="83" t="n"/>
      <c r="H16" s="82" t="n"/>
    </row>
    <row r="17">
      <c r="A17" s="67" t="n"/>
      <c r="B17" s="82" t="n"/>
      <c r="C17" s="82" t="n"/>
      <c r="D17" s="82" t="n"/>
      <c r="E17" s="82" t="n"/>
      <c r="F17" s="83" t="n"/>
      <c r="G17" s="83" t="n"/>
      <c r="H17" s="82" t="n"/>
    </row>
    <row r="18">
      <c r="A18" s="67" t="n"/>
      <c r="B18" s="82" t="n"/>
      <c r="C18" s="82" t="n"/>
      <c r="D18" s="82" t="n"/>
      <c r="E18" s="82" t="n"/>
      <c r="F18" s="83" t="n"/>
      <c r="G18" s="83" t="n"/>
      <c r="H18" s="82" t="n"/>
    </row>
    <row r="19">
      <c r="A19" s="67" t="n"/>
      <c r="B19" s="82" t="n"/>
      <c r="C19" s="82" t="n"/>
      <c r="D19" s="82" t="n"/>
      <c r="E19" s="82" t="n"/>
      <c r="F19" s="83" t="n"/>
      <c r="G19" s="83" t="n"/>
      <c r="H19" s="82" t="n"/>
    </row>
    <row r="20">
      <c r="A20" s="67" t="n"/>
      <c r="B20" s="82" t="n"/>
      <c r="C20" s="82" t="n"/>
      <c r="D20" s="82" t="n"/>
      <c r="E20" s="82" t="n"/>
      <c r="F20" s="83" t="n"/>
      <c r="G20" s="83" t="n"/>
      <c r="H20" s="82" t="n"/>
    </row>
    <row r="21">
      <c r="A21" s="67" t="n"/>
      <c r="B21" s="82" t="n"/>
      <c r="C21" s="82" t="n"/>
      <c r="D21" s="82" t="n"/>
      <c r="E21" s="82" t="n"/>
      <c r="F21" s="83" t="n"/>
      <c r="G21" s="83" t="n"/>
      <c r="H21" s="82" t="n"/>
    </row>
    <row r="22">
      <c r="A22" s="67" t="n"/>
      <c r="B22" s="82" t="n"/>
      <c r="C22" s="82" t="n"/>
      <c r="D22" s="82" t="n"/>
      <c r="E22" s="82" t="n"/>
      <c r="F22" s="83" t="n"/>
      <c r="G22" s="83" t="n"/>
      <c r="H22" s="82" t="n"/>
    </row>
    <row r="23">
      <c r="A23" s="67" t="n"/>
      <c r="B23" s="82" t="n"/>
      <c r="C23" s="82" t="n"/>
      <c r="D23" s="82" t="n"/>
      <c r="E23" s="82" t="n"/>
      <c r="F23" s="83" t="n"/>
      <c r="G23" s="83" t="n"/>
      <c r="H23" s="82" t="n"/>
    </row>
    <row r="24">
      <c r="A24" s="67" t="n"/>
      <c r="B24" s="82" t="n"/>
      <c r="C24" s="82" t="n"/>
      <c r="D24" s="82" t="n"/>
      <c r="E24" s="82" t="n"/>
      <c r="F24" s="83" t="n"/>
      <c r="G24" s="83" t="n"/>
      <c r="H24" s="82" t="n"/>
    </row>
    <row r="25">
      <c r="A25" s="67" t="n"/>
      <c r="B25" s="82" t="n"/>
      <c r="C25" s="82" t="n"/>
      <c r="D25" s="82" t="n"/>
      <c r="E25" s="82" t="n"/>
      <c r="F25" s="83" t="n"/>
      <c r="G25" s="83" t="n"/>
      <c r="H25" s="82" t="n"/>
    </row>
    <row r="26">
      <c r="A26" s="67" t="n"/>
      <c r="B26" s="82" t="n"/>
      <c r="C26" s="82" t="n"/>
      <c r="D26" s="82" t="n"/>
      <c r="E26" s="82" t="n"/>
      <c r="F26" s="83" t="n"/>
      <c r="G26" s="83" t="n"/>
      <c r="H26" s="82" t="n"/>
    </row>
    <row r="27">
      <c r="A27" s="67" t="n"/>
      <c r="B27" s="82" t="n"/>
      <c r="C27" s="82" t="n"/>
      <c r="D27" s="82" t="n"/>
      <c r="E27" s="82" t="n"/>
      <c r="F27" s="83" t="n"/>
      <c r="G27" s="83" t="n"/>
      <c r="H27" s="82" t="n"/>
    </row>
    <row r="28">
      <c r="A28" s="67" t="n"/>
      <c r="B28" s="82" t="n"/>
      <c r="C28" s="82" t="n"/>
      <c r="D28" s="82" t="n"/>
      <c r="E28" s="82" t="n"/>
      <c r="F28" s="83" t="n"/>
      <c r="G28" s="83" t="n"/>
      <c r="H28" s="82" t="n"/>
    </row>
    <row r="29">
      <c r="A29" s="67" t="n"/>
      <c r="B29" s="82" t="n"/>
      <c r="C29" s="82" t="n"/>
      <c r="D29" s="82" t="n"/>
      <c r="E29" s="82" t="n"/>
      <c r="F29" s="83" t="n"/>
      <c r="G29" s="83" t="n"/>
      <c r="H29" s="82" t="n"/>
    </row>
    <row r="30">
      <c r="A30" s="67" t="n"/>
      <c r="B30" s="82" t="n"/>
      <c r="C30" s="82" t="n"/>
      <c r="D30" s="82" t="n"/>
      <c r="E30" s="82" t="n"/>
      <c r="F30" s="83" t="n"/>
      <c r="G30" s="83" t="n"/>
      <c r="H30" s="82" t="n"/>
    </row>
    <row r="31">
      <c r="A31" s="67" t="n"/>
      <c r="B31" s="82" t="n"/>
      <c r="C31" s="82" t="n"/>
      <c r="D31" s="82" t="n"/>
      <c r="E31" s="82" t="n"/>
      <c r="F31" s="83" t="n"/>
      <c r="G31" s="83" t="n"/>
      <c r="H31" s="82" t="n"/>
    </row>
    <row r="32">
      <c r="A32" s="67" t="n"/>
      <c r="B32" s="82" t="n"/>
      <c r="C32" s="82" t="n"/>
      <c r="D32" s="82" t="n"/>
      <c r="E32" s="82" t="n"/>
      <c r="F32" s="83" t="n"/>
      <c r="G32" s="83" t="n"/>
      <c r="H32" s="82" t="n"/>
    </row>
    <row r="33">
      <c r="A33" s="67" t="n"/>
      <c r="B33" s="82" t="n"/>
      <c r="C33" s="82" t="n"/>
      <c r="D33" s="82" t="n"/>
      <c r="E33" s="82" t="n"/>
      <c r="F33" s="83" t="n"/>
      <c r="G33" s="83" t="n"/>
      <c r="H33" s="82" t="n"/>
    </row>
    <row r="34">
      <c r="A34" s="67" t="n"/>
      <c r="B34" s="82" t="n"/>
      <c r="C34" s="82" t="n"/>
      <c r="D34" s="82" t="n"/>
      <c r="E34" s="82" t="n"/>
      <c r="F34" s="83" t="n"/>
      <c r="G34" s="83" t="n"/>
      <c r="H34" s="82" t="n"/>
    </row>
    <row r="35">
      <c r="A35" s="67" t="n"/>
      <c r="B35" s="82" t="n"/>
      <c r="C35" s="82" t="n"/>
      <c r="D35" s="82" t="n"/>
      <c r="E35" s="82" t="n"/>
      <c r="F35" s="83" t="n"/>
      <c r="G35" s="83" t="n"/>
      <c r="H35" s="82" t="n"/>
    </row>
    <row r="36">
      <c r="A36" s="67" t="n"/>
      <c r="B36" s="82" t="n"/>
      <c r="C36" s="82" t="n"/>
      <c r="D36" s="82" t="n"/>
      <c r="E36" s="82" t="n"/>
      <c r="F36" s="83" t="n"/>
      <c r="G36" s="83" t="n"/>
      <c r="H36" s="82" t="n"/>
    </row>
    <row r="37">
      <c r="A37" s="67" t="n"/>
      <c r="B37" s="82" t="n"/>
      <c r="C37" s="82" t="n"/>
      <c r="D37" s="82" t="n"/>
      <c r="E37" s="82" t="n"/>
      <c r="F37" s="83" t="n"/>
      <c r="G37" s="83" t="n"/>
      <c r="H37" s="82" t="n"/>
    </row>
    <row r="38">
      <c r="A38" s="67" t="n"/>
      <c r="B38" s="82" t="n"/>
      <c r="C38" s="82" t="n"/>
      <c r="D38" s="82" t="n"/>
      <c r="E38" s="82" t="n"/>
      <c r="F38" s="83" t="n"/>
      <c r="G38" s="83" t="n"/>
      <c r="H38" s="82" t="n"/>
    </row>
    <row r="39">
      <c r="A39" s="67" t="n"/>
      <c r="B39" s="82" t="n"/>
      <c r="C39" s="82" t="n"/>
      <c r="D39" s="82" t="n"/>
      <c r="E39" s="82" t="n"/>
      <c r="F39" s="83" t="n"/>
      <c r="G39" s="83" t="n"/>
      <c r="H39" s="82" t="n"/>
    </row>
    <row r="40">
      <c r="A40" s="67" t="n"/>
      <c r="B40" s="82" t="n"/>
      <c r="C40" s="82" t="n"/>
      <c r="D40" s="82" t="n"/>
      <c r="E40" s="82" t="n"/>
      <c r="F40" s="83" t="n"/>
      <c r="G40" s="83" t="n"/>
      <c r="H40" s="82" t="n"/>
    </row>
    <row r="41">
      <c r="A41" s="67" t="n"/>
      <c r="B41" s="82" t="n"/>
      <c r="C41" s="82" t="n"/>
      <c r="D41" s="82" t="n"/>
      <c r="E41" s="82" t="n"/>
      <c r="F41" s="83" t="n"/>
      <c r="G41" s="83" t="n"/>
      <c r="H41" s="82" t="n"/>
    </row>
    <row r="42">
      <c r="A42" s="67" t="n"/>
      <c r="B42" s="82" t="n"/>
      <c r="C42" s="82" t="n"/>
      <c r="D42" s="82" t="n"/>
      <c r="E42" s="82" t="n"/>
      <c r="F42" s="83" t="n"/>
      <c r="G42" s="83" t="n"/>
      <c r="H42" s="82" t="n"/>
    </row>
    <row r="43">
      <c r="A43" s="67" t="n"/>
      <c r="B43" s="82" t="n"/>
      <c r="C43" s="82" t="n"/>
      <c r="D43" s="82" t="n"/>
      <c r="E43" s="82" t="n"/>
      <c r="F43" s="83" t="n"/>
      <c r="G43" s="83" t="n"/>
      <c r="H43" s="82" t="n"/>
    </row>
    <row r="44">
      <c r="A44" s="67" t="n"/>
      <c r="B44" s="82" t="n"/>
      <c r="C44" s="82" t="n"/>
      <c r="D44" s="82" t="n"/>
      <c r="E44" s="82" t="n"/>
      <c r="F44" s="83" t="n"/>
      <c r="G44" s="83" t="n"/>
      <c r="H44" s="82" t="n"/>
    </row>
    <row r="45">
      <c r="A45" s="67" t="n"/>
      <c r="B45" s="82" t="n"/>
      <c r="C45" s="82" t="n"/>
      <c r="D45" s="82" t="n"/>
      <c r="E45" s="82" t="n"/>
      <c r="F45" s="83" t="n"/>
      <c r="G45" s="83" t="n"/>
      <c r="H45" s="82" t="n"/>
    </row>
    <row r="46">
      <c r="A46" s="67" t="n"/>
      <c r="B46" s="82" t="n"/>
      <c r="C46" s="82" t="n"/>
      <c r="D46" s="82" t="n"/>
      <c r="E46" s="82" t="n"/>
      <c r="F46" s="83" t="n"/>
      <c r="G46" s="83" t="n"/>
      <c r="H46" s="82" t="n"/>
    </row>
    <row r="47">
      <c r="A47" s="67" t="n"/>
      <c r="B47" s="82" t="n"/>
      <c r="C47" s="82" t="n"/>
      <c r="D47" s="82" t="n"/>
      <c r="E47" s="82" t="n"/>
      <c r="F47" s="83" t="n"/>
      <c r="G47" s="83" t="n"/>
      <c r="H47" s="82" t="n"/>
    </row>
    <row r="48">
      <c r="A48" s="67" t="n"/>
      <c r="B48" s="82" t="n"/>
      <c r="C48" s="82" t="n"/>
      <c r="D48" s="82" t="n"/>
      <c r="E48" s="82" t="n"/>
      <c r="F48" s="83" t="n"/>
      <c r="G48" s="83" t="n"/>
      <c r="H48" s="82" t="n"/>
    </row>
    <row r="49">
      <c r="A49" s="67" t="n"/>
      <c r="B49" s="82" t="n"/>
      <c r="C49" s="82" t="n"/>
      <c r="D49" s="82" t="n"/>
      <c r="E49" s="82" t="n"/>
      <c r="F49" s="83" t="n"/>
      <c r="G49" s="83" t="n"/>
      <c r="H49" s="82" t="n"/>
    </row>
    <row r="50">
      <c r="A50" s="67" t="n"/>
      <c r="B50" s="82" t="n"/>
      <c r="C50" s="82" t="n"/>
      <c r="D50" s="82" t="n"/>
      <c r="E50" s="82" t="n"/>
      <c r="F50" s="83" t="n"/>
      <c r="G50" s="83" t="n"/>
      <c r="H50" s="82" t="n"/>
    </row>
    <row r="51">
      <c r="A51" s="67" t="n"/>
      <c r="B51" s="82" t="n"/>
      <c r="C51" s="82" t="n"/>
      <c r="D51" s="82" t="n"/>
      <c r="E51" s="82" t="n"/>
      <c r="F51" s="83" t="n"/>
      <c r="G51" s="83" t="n"/>
      <c r="H51" s="82" t="n"/>
    </row>
    <row r="52">
      <c r="A52" s="67" t="n"/>
      <c r="B52" s="82" t="n"/>
      <c r="C52" s="82" t="n"/>
      <c r="D52" s="82" t="n"/>
      <c r="E52" s="82" t="n"/>
      <c r="F52" s="83" t="n"/>
      <c r="G52" s="83" t="n"/>
      <c r="H52" s="82" t="n"/>
    </row>
    <row r="53">
      <c r="A53" s="67" t="n"/>
      <c r="B53" s="82" t="n"/>
      <c r="C53" s="82" t="n"/>
      <c r="D53" s="82" t="n"/>
      <c r="E53" s="82" t="n"/>
      <c r="F53" s="83" t="n"/>
      <c r="G53" s="83" t="n"/>
      <c r="H53" s="82" t="n"/>
    </row>
    <row r="54">
      <c r="A54" s="67" t="n"/>
      <c r="B54" s="82" t="n"/>
      <c r="C54" s="82" t="n"/>
      <c r="D54" s="82" t="n"/>
      <c r="E54" s="82" t="n"/>
      <c r="F54" s="83" t="n"/>
      <c r="G54" s="83" t="n"/>
      <c r="H54" s="82" t="n"/>
    </row>
    <row r="55">
      <c r="A55" s="67" t="n"/>
      <c r="B55" s="82" t="n"/>
      <c r="C55" s="82" t="n"/>
      <c r="D55" s="82" t="n"/>
      <c r="E55" s="82" t="n"/>
      <c r="F55" s="83" t="n"/>
      <c r="G55" s="83" t="n"/>
      <c r="H55" s="82" t="n"/>
    </row>
    <row r="56">
      <c r="A56" s="67" t="n"/>
      <c r="B56" s="82" t="n"/>
      <c r="C56" s="82" t="n"/>
      <c r="D56" s="82" t="n"/>
      <c r="E56" s="82" t="n"/>
      <c r="F56" s="83" t="n"/>
      <c r="G56" s="83" t="n"/>
      <c r="H56" s="82" t="n"/>
    </row>
    <row r="57">
      <c r="A57" s="67" t="n"/>
      <c r="B57" s="82" t="n"/>
      <c r="C57" s="82" t="n"/>
      <c r="D57" s="82" t="n"/>
      <c r="E57" s="82" t="n"/>
      <c r="F57" s="83" t="n"/>
      <c r="G57" s="83" t="n"/>
      <c r="H57" s="82" t="n"/>
    </row>
    <row r="58">
      <c r="A58" s="67" t="n"/>
      <c r="B58" s="82" t="n"/>
      <c r="C58" s="82" t="n"/>
      <c r="D58" s="82" t="n"/>
      <c r="E58" s="82" t="n"/>
      <c r="F58" s="83" t="n"/>
      <c r="G58" s="83" t="n"/>
      <c r="H58" s="82" t="n"/>
    </row>
    <row r="59">
      <c r="A59" s="67" t="n"/>
      <c r="B59" s="82" t="n"/>
      <c r="C59" s="82" t="n"/>
      <c r="D59" s="82" t="n"/>
      <c r="E59" s="82" t="n"/>
      <c r="F59" s="83" t="n"/>
      <c r="G59" s="83" t="n"/>
      <c r="H59" s="82" t="n"/>
    </row>
    <row r="60">
      <c r="A60" s="67" t="n"/>
      <c r="B60" s="82" t="n"/>
      <c r="C60" s="82" t="n"/>
      <c r="D60" s="82" t="n"/>
      <c r="E60" s="82" t="n"/>
      <c r="F60" s="83" t="n"/>
      <c r="G60" s="83" t="n"/>
      <c r="H60" s="82" t="n"/>
    </row>
    <row r="61">
      <c r="A61" s="67" t="n"/>
      <c r="B61" s="82" t="n"/>
      <c r="C61" s="82" t="n"/>
      <c r="D61" s="82" t="n"/>
      <c r="E61" s="82" t="n"/>
      <c r="F61" s="83" t="n"/>
      <c r="G61" s="83" t="n"/>
      <c r="H61" s="82" t="n"/>
    </row>
    <row r="62">
      <c r="A62" s="67" t="n"/>
      <c r="B62" s="82" t="n"/>
      <c r="C62" s="82" t="n"/>
      <c r="D62" s="82" t="n"/>
      <c r="E62" s="82" t="n"/>
      <c r="F62" s="83" t="n"/>
      <c r="G62" s="83" t="n"/>
      <c r="H62" s="82" t="n"/>
    </row>
    <row r="63">
      <c r="A63" s="67" t="n"/>
      <c r="B63" s="82" t="n"/>
      <c r="C63" s="82" t="n"/>
      <c r="D63" s="82" t="n"/>
      <c r="E63" s="82" t="n"/>
      <c r="F63" s="83" t="n"/>
      <c r="G63" s="83" t="n"/>
      <c r="H63" s="82" t="n"/>
    </row>
    <row r="64">
      <c r="A64" s="67" t="n"/>
      <c r="B64" s="82" t="n"/>
      <c r="C64" s="82" t="n"/>
      <c r="D64" s="82" t="n"/>
      <c r="E64" s="82" t="n"/>
      <c r="F64" s="83" t="n"/>
      <c r="G64" s="83" t="n"/>
      <c r="H64" s="82" t="n"/>
    </row>
    <row r="65">
      <c r="A65" s="67" t="n"/>
      <c r="B65" s="82" t="n"/>
      <c r="C65" s="82" t="n"/>
      <c r="D65" s="82" t="n"/>
      <c r="E65" s="82" t="n"/>
      <c r="F65" s="83" t="n"/>
      <c r="G65" s="83" t="n"/>
      <c r="H65" s="82" t="n"/>
    </row>
    <row r="66">
      <c r="A66" s="67" t="n"/>
      <c r="B66" s="82" t="n"/>
      <c r="C66" s="82" t="n"/>
      <c r="D66" s="82" t="n"/>
      <c r="E66" s="82" t="n"/>
      <c r="F66" s="83" t="n"/>
      <c r="G66" s="83" t="n"/>
      <c r="H66" s="82" t="n"/>
    </row>
    <row r="67">
      <c r="A67" s="67" t="n"/>
      <c r="B67" s="82" t="n"/>
      <c r="C67" s="82" t="n"/>
      <c r="D67" s="82" t="n"/>
      <c r="E67" s="82" t="n"/>
      <c r="F67" s="83" t="n"/>
      <c r="G67" s="83" t="n"/>
      <c r="H67" s="82" t="n"/>
    </row>
    <row r="68">
      <c r="A68" s="67" t="n"/>
      <c r="B68" s="82" t="n"/>
      <c r="C68" s="82" t="n"/>
      <c r="D68" s="82" t="n"/>
      <c r="E68" s="82" t="n"/>
      <c r="F68" s="83" t="n"/>
      <c r="G68" s="83" t="n"/>
      <c r="H68" s="82" t="n"/>
    </row>
    <row r="69">
      <c r="A69" s="67" t="n"/>
      <c r="B69" s="82" t="n"/>
      <c r="C69" s="82" t="n"/>
      <c r="D69" s="82" t="n"/>
      <c r="E69" s="82" t="n"/>
      <c r="F69" s="83" t="n"/>
      <c r="G69" s="83" t="n"/>
      <c r="H69" s="82" t="n"/>
    </row>
    <row r="70">
      <c r="A70" s="67" t="n"/>
      <c r="B70" s="82" t="n"/>
      <c r="C70" s="82" t="n"/>
      <c r="D70" s="82" t="n"/>
      <c r="E70" s="82" t="n"/>
      <c r="F70" s="83" t="n"/>
      <c r="G70" s="83" t="n"/>
      <c r="H70" s="82" t="n"/>
    </row>
    <row r="71">
      <c r="A71" s="67" t="n"/>
      <c r="B71" s="82" t="n"/>
      <c r="C71" s="82" t="n"/>
      <c r="D71" s="82" t="n"/>
      <c r="E71" s="82" t="n"/>
      <c r="F71" s="83" t="n"/>
      <c r="G71" s="83" t="n"/>
      <c r="H71" s="82" t="n"/>
    </row>
    <row r="72">
      <c r="A72" s="67" t="n"/>
      <c r="B72" s="82" t="n"/>
      <c r="C72" s="82" t="n"/>
      <c r="D72" s="82" t="n"/>
      <c r="E72" s="82" t="n"/>
      <c r="F72" s="83" t="n"/>
      <c r="G72" s="83" t="n"/>
      <c r="H72" s="82" t="n"/>
    </row>
    <row r="73">
      <c r="A73" s="67" t="n"/>
      <c r="B73" s="82" t="n"/>
      <c r="C73" s="82" t="n"/>
      <c r="D73" s="82" t="n"/>
      <c r="E73" s="82" t="n"/>
      <c r="F73" s="83" t="n"/>
      <c r="G73" s="83" t="n"/>
      <c r="H73" s="82" t="n"/>
    </row>
    <row r="74">
      <c r="A74" s="67" t="n"/>
      <c r="B74" s="82" t="n"/>
      <c r="C74" s="82" t="n"/>
      <c r="D74" s="82" t="n"/>
      <c r="E74" s="82" t="n"/>
      <c r="F74" s="83" t="n"/>
      <c r="G74" s="83" t="n"/>
      <c r="H74" s="82" t="n"/>
    </row>
    <row r="75">
      <c r="A75" s="67" t="n"/>
      <c r="B75" s="82" t="n"/>
      <c r="C75" s="82" t="n"/>
      <c r="D75" s="82" t="n"/>
      <c r="E75" s="82" t="n"/>
      <c r="F75" s="83" t="n"/>
      <c r="G75" s="83" t="n"/>
      <c r="H75" s="82" t="n"/>
    </row>
    <row r="76">
      <c r="A76" s="67" t="n"/>
      <c r="B76" s="82" t="n"/>
      <c r="C76" s="82" t="n"/>
      <c r="D76" s="82" t="n"/>
      <c r="E76" s="82" t="n"/>
      <c r="F76" s="83" t="n"/>
      <c r="G76" s="83" t="n"/>
      <c r="H76" s="82" t="n"/>
    </row>
    <row r="77">
      <c r="A77" s="67" t="n"/>
      <c r="B77" s="82" t="n"/>
      <c r="C77" s="82" t="n"/>
      <c r="D77" s="82" t="n"/>
      <c r="E77" s="82" t="n"/>
      <c r="F77" s="83" t="n"/>
      <c r="G77" s="83" t="n"/>
      <c r="H77" s="82" t="n"/>
    </row>
    <row r="78">
      <c r="A78" s="67" t="n"/>
      <c r="B78" s="82" t="n"/>
      <c r="C78" s="82" t="n"/>
      <c r="D78" s="82" t="n"/>
      <c r="E78" s="82" t="n"/>
      <c r="F78" s="83" t="n"/>
      <c r="G78" s="83" t="n"/>
      <c r="H78" s="82" t="n"/>
    </row>
    <row r="79">
      <c r="A79" s="67" t="n"/>
      <c r="B79" s="82" t="n"/>
      <c r="C79" s="82" t="n"/>
      <c r="D79" s="82" t="n"/>
      <c r="E79" s="82" t="n"/>
      <c r="F79" s="83" t="n"/>
      <c r="G79" s="83" t="n"/>
      <c r="H79" s="82" t="n"/>
    </row>
    <row r="80">
      <c r="A80" s="67" t="n"/>
      <c r="B80" s="82" t="n"/>
      <c r="C80" s="82" t="n"/>
      <c r="D80" s="82" t="n"/>
      <c r="E80" s="82" t="n"/>
      <c r="F80" s="83" t="n"/>
      <c r="G80" s="83" t="n"/>
      <c r="H80" s="82" t="n"/>
    </row>
    <row r="81">
      <c r="A81" s="67" t="n"/>
      <c r="B81" s="82" t="n"/>
      <c r="C81" s="82" t="n"/>
      <c r="D81" s="82" t="n"/>
      <c r="E81" s="82" t="n"/>
      <c r="F81" s="83" t="n"/>
      <c r="G81" s="83" t="n"/>
      <c r="H81" s="82" t="n"/>
    </row>
    <row r="82">
      <c r="A82" s="67" t="n"/>
      <c r="B82" s="82" t="n"/>
      <c r="C82" s="82" t="n"/>
      <c r="D82" s="82" t="n"/>
      <c r="E82" s="82" t="n"/>
      <c r="F82" s="83" t="n"/>
      <c r="G82" s="83" t="n"/>
      <c r="H82" s="82" t="n"/>
    </row>
    <row r="83">
      <c r="A83" s="67" t="n"/>
      <c r="B83" s="82" t="n"/>
      <c r="C83" s="82" t="n"/>
      <c r="D83" s="82" t="n"/>
      <c r="E83" s="82" t="n"/>
      <c r="F83" s="83" t="n"/>
      <c r="G83" s="83" t="n"/>
      <c r="H83" s="82" t="n"/>
    </row>
    <row r="84">
      <c r="A84" s="67" t="n"/>
      <c r="B84" s="82" t="n"/>
      <c r="C84" s="82" t="n"/>
      <c r="D84" s="82" t="n"/>
      <c r="E84" s="82" t="n"/>
      <c r="F84" s="83" t="n"/>
      <c r="G84" s="83" t="n"/>
      <c r="H84" s="82" t="n"/>
    </row>
    <row r="85">
      <c r="A85" s="67" t="n"/>
      <c r="B85" s="82" t="n"/>
      <c r="C85" s="82" t="n"/>
      <c r="D85" s="82" t="n"/>
      <c r="E85" s="82" t="n"/>
      <c r="F85" s="83" t="n"/>
      <c r="G85" s="83" t="n"/>
      <c r="H85" s="82" t="n"/>
    </row>
    <row r="86">
      <c r="A86" s="67" t="n"/>
      <c r="B86" s="82" t="n"/>
      <c r="C86" s="82" t="n"/>
      <c r="D86" s="82" t="n"/>
      <c r="E86" s="82" t="n"/>
      <c r="F86" s="83" t="n"/>
      <c r="G86" s="83" t="n"/>
      <c r="H86" s="82" t="n"/>
    </row>
    <row r="87">
      <c r="A87" s="67" t="n"/>
      <c r="B87" s="82" t="n"/>
      <c r="C87" s="82" t="n"/>
      <c r="D87" s="82" t="n"/>
      <c r="E87" s="82" t="n"/>
      <c r="F87" s="83" t="n"/>
      <c r="G87" s="83" t="n"/>
      <c r="H87" s="82" t="n"/>
    </row>
    <row r="88">
      <c r="A88" s="67" t="n"/>
      <c r="B88" s="82" t="n"/>
      <c r="C88" s="82" t="n"/>
      <c r="D88" s="82" t="n"/>
      <c r="E88" s="82" t="n"/>
      <c r="F88" s="83" t="n"/>
      <c r="G88" s="83" t="n"/>
      <c r="H88" s="82" t="n"/>
    </row>
    <row r="89">
      <c r="A89" s="67" t="n"/>
      <c r="B89" s="82" t="n"/>
      <c r="C89" s="82" t="n"/>
      <c r="D89" s="82" t="n"/>
      <c r="E89" s="82" t="n"/>
      <c r="F89" s="83" t="n"/>
      <c r="G89" s="83" t="n"/>
      <c r="H89" s="82" t="n"/>
    </row>
    <row r="90">
      <c r="A90" s="67" t="n"/>
      <c r="B90" s="82" t="n"/>
      <c r="C90" s="82" t="n"/>
      <c r="D90" s="82" t="n"/>
      <c r="E90" s="82" t="n"/>
      <c r="F90" s="83" t="n"/>
      <c r="G90" s="83" t="n"/>
      <c r="H90" s="82" t="n"/>
    </row>
    <row r="91">
      <c r="A91" s="67" t="n"/>
      <c r="B91" s="82" t="n"/>
      <c r="C91" s="82" t="n"/>
      <c r="D91" s="82" t="n"/>
      <c r="E91" s="82" t="n"/>
      <c r="F91" s="83" t="n"/>
      <c r="G91" s="83" t="n"/>
      <c r="H91" s="82" t="n"/>
    </row>
    <row r="92">
      <c r="A92" s="67" t="n"/>
      <c r="B92" s="82" t="n"/>
      <c r="C92" s="82" t="n"/>
      <c r="D92" s="82" t="n"/>
      <c r="E92" s="82" t="n"/>
      <c r="F92" s="83" t="n"/>
      <c r="G92" s="83" t="n"/>
      <c r="H92" s="82" t="n"/>
    </row>
    <row r="93">
      <c r="A93" s="67" t="n"/>
      <c r="B93" s="82" t="n"/>
      <c r="C93" s="82" t="n"/>
      <c r="D93" s="82" t="n"/>
      <c r="E93" s="82" t="n"/>
      <c r="F93" s="83" t="n"/>
      <c r="G93" s="83" t="n"/>
      <c r="H93" s="82" t="n"/>
    </row>
    <row r="94">
      <c r="A94" s="67" t="n"/>
      <c r="B94" s="82" t="n"/>
      <c r="C94" s="82" t="n"/>
      <c r="D94" s="82" t="n"/>
      <c r="E94" s="82" t="n"/>
      <c r="F94" s="83" t="n"/>
      <c r="G94" s="83" t="n"/>
      <c r="H94" s="82" t="n"/>
    </row>
    <row r="95">
      <c r="A95" s="67" t="n"/>
      <c r="B95" s="82" t="n"/>
      <c r="C95" s="82" t="n"/>
      <c r="D95" s="82" t="n"/>
      <c r="E95" s="82" t="n"/>
      <c r="F95" s="83" t="n"/>
      <c r="G95" s="83" t="n"/>
      <c r="H95" s="82" t="n"/>
    </row>
    <row r="96">
      <c r="A96" s="67" t="n"/>
      <c r="B96" s="82" t="n"/>
      <c r="C96" s="82" t="n"/>
      <c r="D96" s="82" t="n"/>
      <c r="E96" s="82" t="n"/>
      <c r="F96" s="83" t="n"/>
      <c r="G96" s="83" t="n"/>
      <c r="H96" s="82" t="n"/>
    </row>
    <row r="97">
      <c r="A97" s="67" t="n"/>
      <c r="B97" s="82" t="n"/>
      <c r="C97" s="82" t="n"/>
      <c r="D97" s="82" t="n"/>
      <c r="E97" s="82" t="n"/>
      <c r="F97" s="83" t="n"/>
      <c r="G97" s="83" t="n"/>
      <c r="H97" s="82" t="n"/>
    </row>
    <row r="98">
      <c r="A98" s="67" t="n"/>
      <c r="B98" s="82" t="n"/>
      <c r="C98" s="82" t="n"/>
      <c r="D98" s="82" t="n"/>
      <c r="E98" s="82" t="n"/>
      <c r="F98" s="83" t="n"/>
      <c r="G98" s="83" t="n"/>
      <c r="H98" s="82" t="n"/>
    </row>
    <row r="99">
      <c r="A99" s="67" t="n"/>
      <c r="B99" s="82" t="n"/>
      <c r="C99" s="82" t="n"/>
      <c r="D99" s="82" t="n"/>
      <c r="E99" s="82" t="n"/>
      <c r="F99" s="83" t="n"/>
      <c r="G99" s="83" t="n"/>
      <c r="H99" s="82" t="n"/>
    </row>
    <row r="100">
      <c r="A100" s="67" t="n"/>
      <c r="B100" s="82" t="n"/>
      <c r="C100" s="82" t="n"/>
      <c r="D100" s="82" t="n"/>
      <c r="E100" s="82" t="n"/>
      <c r="F100" s="83" t="n"/>
      <c r="G100" s="83" t="n"/>
      <c r="H100" s="82" t="n"/>
    </row>
    <row r="101">
      <c r="A101" s="67" t="n"/>
      <c r="B101" s="82" t="n"/>
      <c r="C101" s="82" t="n"/>
      <c r="D101" s="82" t="n"/>
      <c r="E101" s="82" t="n"/>
      <c r="F101" s="83" t="n"/>
      <c r="G101" s="83" t="n"/>
      <c r="H101" s="82" t="n"/>
    </row>
    <row r="102">
      <c r="A102" s="67" t="n"/>
      <c r="B102" s="82" t="n"/>
      <c r="C102" s="82" t="n"/>
      <c r="D102" s="82" t="n"/>
      <c r="E102" s="82" t="n"/>
      <c r="F102" s="83" t="n"/>
      <c r="G102" s="83" t="n"/>
      <c r="H102" s="82" t="n"/>
    </row>
    <row r="103">
      <c r="A103" s="67" t="n"/>
      <c r="B103" s="82" t="n"/>
      <c r="C103" s="82" t="n"/>
      <c r="D103" s="82" t="n"/>
      <c r="E103" s="82" t="n"/>
      <c r="F103" s="83" t="n"/>
      <c r="G103" s="83" t="n"/>
      <c r="H103" s="82" t="n"/>
    </row>
    <row r="104">
      <c r="A104" s="67" t="n"/>
      <c r="B104" s="82" t="n"/>
      <c r="C104" s="82" t="n"/>
      <c r="D104" s="82" t="n"/>
      <c r="E104" s="82" t="n"/>
      <c r="F104" s="83" t="n"/>
      <c r="G104" s="83" t="n"/>
      <c r="H104" s="82" t="n"/>
    </row>
    <row r="105">
      <c r="A105" s="67" t="n"/>
      <c r="B105" s="82" t="n"/>
      <c r="C105" s="82" t="n"/>
      <c r="D105" s="82" t="n"/>
      <c r="E105" s="82" t="n"/>
      <c r="F105" s="83" t="n"/>
      <c r="G105" s="83" t="n"/>
      <c r="H105" s="82" t="n"/>
    </row>
    <row r="106">
      <c r="A106" s="67" t="n"/>
      <c r="B106" s="82" t="n"/>
      <c r="C106" s="82" t="n"/>
      <c r="D106" s="82" t="n"/>
      <c r="E106" s="82" t="n"/>
      <c r="F106" s="83" t="n"/>
      <c r="G106" s="83" t="n"/>
      <c r="H106" s="82" t="n"/>
    </row>
    <row r="107">
      <c r="A107" s="67" t="n"/>
      <c r="B107" s="82" t="n"/>
      <c r="C107" s="82" t="n"/>
      <c r="D107" s="82" t="n"/>
      <c r="E107" s="82" t="n"/>
      <c r="F107" s="83" t="n"/>
      <c r="G107" s="83" t="n"/>
      <c r="H107" s="82" t="n"/>
    </row>
    <row r="108">
      <c r="A108" s="67" t="n"/>
      <c r="B108" s="82" t="n"/>
      <c r="C108" s="82" t="n"/>
      <c r="D108" s="82" t="n"/>
      <c r="E108" s="82" t="n"/>
      <c r="F108" s="83" t="n"/>
      <c r="G108" s="83" t="n"/>
      <c r="H108" s="82" t="n"/>
    </row>
    <row r="109">
      <c r="A109" s="67" t="n"/>
      <c r="B109" s="82" t="n"/>
      <c r="C109" s="82" t="n"/>
      <c r="D109" s="82" t="n"/>
      <c r="E109" s="82" t="n"/>
      <c r="F109" s="83" t="n"/>
      <c r="G109" s="83" t="n"/>
      <c r="H109" s="82" t="n"/>
    </row>
    <row r="110">
      <c r="A110" s="67" t="n"/>
      <c r="B110" s="82" t="n"/>
      <c r="C110" s="82" t="n"/>
      <c r="D110" s="82" t="n"/>
      <c r="E110" s="82" t="n"/>
      <c r="F110" s="83" t="n"/>
      <c r="G110" s="83" t="n"/>
      <c r="H110" s="82" t="n"/>
    </row>
    <row r="111">
      <c r="A111" s="67" t="n"/>
      <c r="B111" s="82" t="n"/>
      <c r="C111" s="82" t="n"/>
      <c r="D111" s="82" t="n"/>
      <c r="E111" s="82" t="n"/>
      <c r="F111" s="83" t="n"/>
      <c r="G111" s="83" t="n"/>
      <c r="H111" s="82" t="n"/>
    </row>
    <row r="112">
      <c r="A112" s="67" t="n"/>
      <c r="B112" s="82" t="n"/>
      <c r="C112" s="82" t="n"/>
      <c r="D112" s="82" t="n"/>
      <c r="E112" s="82" t="n"/>
      <c r="F112" s="83" t="n"/>
      <c r="G112" s="83" t="n"/>
      <c r="H112" s="82" t="n"/>
    </row>
    <row r="113">
      <c r="A113" s="67" t="n"/>
      <c r="B113" s="82" t="n"/>
      <c r="C113" s="82" t="n"/>
      <c r="D113" s="82" t="n"/>
      <c r="E113" s="82" t="n"/>
      <c r="F113" s="83" t="n"/>
      <c r="G113" s="83" t="n"/>
      <c r="H113" s="82" t="n"/>
    </row>
    <row r="114">
      <c r="A114" s="67" t="n"/>
      <c r="B114" s="82" t="n"/>
      <c r="C114" s="82" t="n"/>
      <c r="D114" s="82" t="n"/>
      <c r="E114" s="82" t="n"/>
      <c r="F114" s="83" t="n"/>
      <c r="G114" s="83" t="n"/>
      <c r="H114" s="82" t="n"/>
    </row>
    <row r="115">
      <c r="A115" s="67" t="n"/>
      <c r="B115" s="82" t="n"/>
      <c r="C115" s="82" t="n"/>
      <c r="D115" s="82" t="n"/>
      <c r="E115" s="82" t="n"/>
      <c r="F115" s="83" t="n"/>
      <c r="G115" s="83" t="n"/>
      <c r="H115" s="82" t="n"/>
    </row>
    <row r="116">
      <c r="A116" s="67" t="n"/>
      <c r="B116" s="82" t="n"/>
      <c r="C116" s="82" t="n"/>
      <c r="D116" s="82" t="n"/>
      <c r="E116" s="82" t="n"/>
      <c r="F116" s="83" t="n"/>
      <c r="G116" s="83" t="n"/>
      <c r="H116" s="82" t="n"/>
    </row>
    <row r="117">
      <c r="A117" s="67" t="n"/>
      <c r="B117" s="82" t="n"/>
      <c r="C117" s="82" t="n"/>
      <c r="D117" s="82" t="n"/>
      <c r="E117" s="82" t="n"/>
      <c r="F117" s="83" t="n"/>
      <c r="G117" s="83" t="n"/>
      <c r="H117" s="82" t="n"/>
    </row>
    <row r="118">
      <c r="A118" s="67" t="n"/>
      <c r="B118" s="82" t="n"/>
      <c r="C118" s="82" t="n"/>
      <c r="D118" s="82" t="n"/>
      <c r="E118" s="82" t="n"/>
      <c r="F118" s="83" t="n"/>
      <c r="G118" s="83" t="n"/>
      <c r="H118" s="82" t="n"/>
    </row>
    <row r="119">
      <c r="A119" s="67" t="n"/>
      <c r="B119" s="82" t="n"/>
      <c r="C119" s="82" t="n"/>
      <c r="D119" s="82" t="n"/>
      <c r="E119" s="82" t="n"/>
      <c r="F119" s="83" t="n"/>
      <c r="G119" s="83" t="n"/>
      <c r="H119" s="82" t="n"/>
    </row>
    <row r="120">
      <c r="A120" s="67" t="n"/>
      <c r="B120" s="82" t="n"/>
      <c r="C120" s="82" t="n"/>
      <c r="D120" s="82" t="n"/>
      <c r="E120" s="82" t="n"/>
      <c r="F120" s="83" t="n"/>
      <c r="G120" s="83" t="n"/>
      <c r="H120" s="82" t="n"/>
    </row>
    <row r="121">
      <c r="A121" s="67" t="n"/>
      <c r="B121" s="82" t="n"/>
      <c r="C121" s="82" t="n"/>
      <c r="D121" s="82" t="n"/>
      <c r="E121" s="82" t="n"/>
      <c r="F121" s="83" t="n"/>
      <c r="G121" s="83" t="n"/>
      <c r="H121" s="82" t="n"/>
    </row>
    <row r="122">
      <c r="A122" s="67" t="n"/>
      <c r="B122" s="82" t="n"/>
      <c r="C122" s="82" t="n"/>
      <c r="D122" s="82" t="n"/>
      <c r="E122" s="82" t="n"/>
      <c r="F122" s="83" t="n"/>
      <c r="G122" s="83" t="n"/>
      <c r="H122" s="82" t="n"/>
    </row>
    <row r="123">
      <c r="A123" s="67" t="n"/>
      <c r="B123" s="82" t="n"/>
      <c r="C123" s="82" t="n"/>
      <c r="D123" s="82" t="n"/>
      <c r="E123" s="82" t="n"/>
      <c r="F123" s="83" t="n"/>
      <c r="G123" s="83" t="n"/>
      <c r="H123" s="82" t="n"/>
    </row>
    <row r="124">
      <c r="A124" s="67" t="n"/>
      <c r="B124" s="82" t="n"/>
      <c r="C124" s="82" t="n"/>
      <c r="D124" s="82" t="n"/>
      <c r="E124" s="82" t="n"/>
      <c r="F124" s="83" t="n"/>
      <c r="G124" s="83" t="n"/>
      <c r="H124" s="82" t="n"/>
    </row>
    <row r="125">
      <c r="A125" s="67" t="n"/>
      <c r="B125" s="82" t="n"/>
      <c r="C125" s="82" t="n"/>
      <c r="D125" s="82" t="n"/>
      <c r="E125" s="82" t="n"/>
      <c r="F125" s="83" t="n"/>
      <c r="G125" s="83" t="n"/>
      <c r="H125" s="82" t="n"/>
    </row>
    <row r="126">
      <c r="A126" s="67" t="n"/>
      <c r="B126" s="82" t="n"/>
      <c r="C126" s="82" t="n"/>
      <c r="D126" s="82" t="n"/>
      <c r="E126" s="82" t="n"/>
      <c r="F126" s="83" t="n"/>
      <c r="G126" s="83" t="n"/>
      <c r="H126" s="82" t="n"/>
    </row>
    <row r="127">
      <c r="A127" s="67" t="n"/>
      <c r="B127" s="82" t="n"/>
      <c r="C127" s="82" t="n"/>
      <c r="D127" s="82" t="n"/>
      <c r="E127" s="82" t="n"/>
      <c r="F127" s="83" t="n"/>
      <c r="G127" s="83" t="n"/>
      <c r="H127" s="82" t="n"/>
    </row>
    <row r="128">
      <c r="A128" s="67" t="n"/>
      <c r="B128" s="82" t="n"/>
      <c r="C128" s="82" t="n"/>
      <c r="D128" s="82" t="n"/>
      <c r="E128" s="82" t="n"/>
      <c r="F128" s="83" t="n"/>
      <c r="G128" s="83" t="n"/>
      <c r="H128" s="82" t="n"/>
    </row>
    <row r="129">
      <c r="A129" s="67" t="n"/>
      <c r="B129" s="82" t="n"/>
      <c r="C129" s="82" t="n"/>
      <c r="D129" s="82" t="n"/>
      <c r="E129" s="82" t="n"/>
      <c r="F129" s="83" t="n"/>
      <c r="G129" s="83" t="n"/>
      <c r="H129" s="82" t="n"/>
    </row>
    <row r="130">
      <c r="A130" s="67" t="n"/>
      <c r="B130" s="82" t="n"/>
      <c r="C130" s="82" t="n"/>
      <c r="D130" s="82" t="n"/>
      <c r="E130" s="82" t="n"/>
      <c r="F130" s="83" t="n"/>
      <c r="G130" s="83" t="n"/>
      <c r="H130" s="82" t="n"/>
    </row>
    <row r="131">
      <c r="A131" s="67" t="n"/>
      <c r="B131" s="82" t="n"/>
      <c r="C131" s="82" t="n"/>
      <c r="D131" s="82" t="n"/>
      <c r="E131" s="82" t="n"/>
      <c r="F131" s="83" t="n"/>
      <c r="G131" s="83" t="n"/>
      <c r="H131" s="82" t="n"/>
    </row>
    <row r="132">
      <c r="A132" s="67" t="n"/>
      <c r="B132" s="82" t="n"/>
      <c r="C132" s="82" t="n"/>
      <c r="D132" s="82" t="n"/>
      <c r="E132" s="82" t="n"/>
      <c r="F132" s="83" t="n"/>
      <c r="G132" s="83" t="n"/>
      <c r="H132" s="82" t="n"/>
    </row>
    <row r="133">
      <c r="A133" s="67" t="n"/>
      <c r="B133" s="82" t="n"/>
      <c r="C133" s="82" t="n"/>
      <c r="D133" s="82" t="n"/>
      <c r="E133" s="82" t="n"/>
      <c r="F133" s="83" t="n"/>
      <c r="G133" s="83" t="n"/>
      <c r="H133" s="82" t="n"/>
    </row>
    <row r="134">
      <c r="A134" s="67" t="n"/>
      <c r="B134" s="82" t="n"/>
      <c r="C134" s="82" t="n"/>
      <c r="D134" s="82" t="n"/>
      <c r="E134" s="82" t="n"/>
      <c r="F134" s="83" t="n"/>
      <c r="G134" s="83" t="n"/>
      <c r="H134" s="82" t="n"/>
    </row>
    <row r="135">
      <c r="A135" s="67" t="n"/>
      <c r="B135" s="82" t="n"/>
      <c r="C135" s="82" t="n"/>
      <c r="D135" s="82" t="n"/>
      <c r="E135" s="82" t="n"/>
      <c r="F135" s="83" t="n"/>
      <c r="G135" s="83" t="n"/>
      <c r="H135" s="82" t="n"/>
    </row>
    <row r="136">
      <c r="A136" s="67" t="n"/>
      <c r="B136" s="82" t="n"/>
      <c r="C136" s="82" t="n"/>
      <c r="D136" s="82" t="n"/>
      <c r="E136" s="82" t="n"/>
      <c r="F136" s="83" t="n"/>
      <c r="G136" s="83" t="n"/>
      <c r="H136" s="82" t="n"/>
    </row>
    <row r="137">
      <c r="A137" s="67" t="n"/>
      <c r="B137" s="82" t="n"/>
      <c r="C137" s="82" t="n"/>
      <c r="D137" s="82" t="n"/>
      <c r="E137" s="82" t="n"/>
      <c r="F137" s="83" t="n"/>
      <c r="G137" s="83" t="n"/>
      <c r="H137" s="82" t="n"/>
    </row>
    <row r="138">
      <c r="A138" s="67" t="n"/>
      <c r="B138" s="82" t="n"/>
      <c r="C138" s="82" t="n"/>
      <c r="D138" s="82" t="n"/>
      <c r="E138" s="82" t="n"/>
      <c r="F138" s="83" t="n"/>
      <c r="G138" s="83" t="n"/>
      <c r="H138" s="82" t="n"/>
    </row>
    <row r="139">
      <c r="A139" s="67" t="n"/>
      <c r="B139" s="82" t="n"/>
      <c r="C139" s="82" t="n"/>
      <c r="D139" s="82" t="n"/>
      <c r="E139" s="82" t="n"/>
      <c r="F139" s="83" t="n"/>
      <c r="G139" s="83" t="n"/>
      <c r="H139" s="82" t="n"/>
    </row>
    <row r="140">
      <c r="A140" s="67" t="n"/>
      <c r="B140" s="82" t="n"/>
      <c r="C140" s="82" t="n"/>
      <c r="D140" s="82" t="n"/>
      <c r="E140" s="82" t="n"/>
      <c r="F140" s="83" t="n"/>
      <c r="G140" s="83" t="n"/>
      <c r="H140" s="82" t="n"/>
    </row>
    <row r="141">
      <c r="A141" s="67" t="n"/>
      <c r="B141" s="82" t="n"/>
      <c r="C141" s="82" t="n"/>
      <c r="D141" s="82" t="n"/>
      <c r="E141" s="82" t="n"/>
      <c r="F141" s="83" t="n"/>
      <c r="G141" s="83" t="n"/>
      <c r="H141" s="82" t="n"/>
    </row>
    <row r="142">
      <c r="A142" s="67" t="n"/>
      <c r="B142" s="82" t="n"/>
      <c r="C142" s="82" t="n"/>
      <c r="D142" s="82" t="n"/>
      <c r="E142" s="82" t="n"/>
      <c r="F142" s="83" t="n"/>
      <c r="G142" s="83" t="n"/>
      <c r="H142" s="82" t="n"/>
    </row>
    <row r="143">
      <c r="A143" s="67" t="n"/>
      <c r="B143" s="82" t="n"/>
      <c r="C143" s="82" t="n"/>
      <c r="D143" s="82" t="n"/>
      <c r="E143" s="82" t="n"/>
      <c r="F143" s="83" t="n"/>
      <c r="G143" s="83" t="n"/>
      <c r="H143" s="82" t="n"/>
    </row>
    <row r="144">
      <c r="A144" s="67" t="n"/>
      <c r="B144" s="82" t="n"/>
      <c r="C144" s="82" t="n"/>
      <c r="D144" s="82" t="n"/>
      <c r="E144" s="82" t="n"/>
      <c r="F144" s="83" t="n"/>
      <c r="G144" s="83" t="n"/>
      <c r="H144" s="82" t="n"/>
    </row>
    <row r="145">
      <c r="A145" s="67" t="n"/>
      <c r="B145" s="82" t="n"/>
      <c r="C145" s="82" t="n"/>
      <c r="D145" s="82" t="n"/>
      <c r="E145" s="82" t="n"/>
      <c r="F145" s="83" t="n"/>
      <c r="G145" s="83" t="n"/>
      <c r="H145" s="82" t="n"/>
    </row>
    <row r="146">
      <c r="A146" s="67" t="n"/>
      <c r="B146" s="82" t="n"/>
      <c r="C146" s="82" t="n"/>
      <c r="D146" s="82" t="n"/>
      <c r="E146" s="82" t="n"/>
      <c r="F146" s="83" t="n"/>
      <c r="G146" s="83" t="n"/>
      <c r="H146" s="82" t="n"/>
    </row>
    <row r="147">
      <c r="A147" s="67" t="n"/>
      <c r="B147" s="82" t="n"/>
      <c r="C147" s="82" t="n"/>
      <c r="D147" s="82" t="n"/>
      <c r="E147" s="82" t="n"/>
      <c r="F147" s="83" t="n"/>
      <c r="G147" s="83" t="n"/>
      <c r="H147" s="82" t="n"/>
    </row>
    <row r="148">
      <c r="A148" s="67" t="n"/>
      <c r="B148" s="82" t="n"/>
      <c r="C148" s="82" t="n"/>
      <c r="D148" s="82" t="n"/>
      <c r="E148" s="82" t="n"/>
      <c r="F148" s="83" t="n"/>
      <c r="G148" s="83" t="n"/>
      <c r="H148" s="82" t="n"/>
    </row>
    <row r="149">
      <c r="A149" s="67" t="n"/>
      <c r="B149" s="82" t="n"/>
      <c r="C149" s="82" t="n"/>
      <c r="D149" s="82" t="n"/>
      <c r="E149" s="82" t="n"/>
      <c r="F149" s="83" t="n"/>
      <c r="G149" s="83" t="n"/>
      <c r="H149" s="82" t="n"/>
    </row>
    <row r="150">
      <c r="A150" s="67" t="n"/>
      <c r="B150" s="82" t="n"/>
      <c r="C150" s="82" t="n"/>
      <c r="D150" s="82" t="n"/>
      <c r="E150" s="82" t="n"/>
      <c r="F150" s="83" t="n"/>
      <c r="G150" s="83" t="n"/>
      <c r="H150" s="82" t="n"/>
    </row>
    <row r="151">
      <c r="A151" s="67" t="n"/>
      <c r="B151" s="82" t="n"/>
      <c r="C151" s="82" t="n"/>
      <c r="D151" s="82" t="n"/>
      <c r="E151" s="82" t="n"/>
      <c r="F151" s="83" t="n"/>
      <c r="G151" s="83" t="n"/>
      <c r="H151" s="82" t="n"/>
    </row>
    <row r="152">
      <c r="A152" s="67" t="n"/>
      <c r="B152" s="82" t="n"/>
      <c r="C152" s="82" t="n"/>
      <c r="D152" s="82" t="n"/>
      <c r="E152" s="82" t="n"/>
      <c r="F152" s="83" t="n"/>
      <c r="G152" s="83" t="n"/>
      <c r="H152" s="82" t="n"/>
    </row>
    <row r="153">
      <c r="A153" s="67" t="n"/>
      <c r="B153" s="82" t="n"/>
      <c r="C153" s="82" t="n"/>
      <c r="D153" s="82" t="n"/>
      <c r="E153" s="82" t="n"/>
      <c r="F153" s="83" t="n"/>
      <c r="G153" s="83" t="n"/>
      <c r="H153" s="82" t="n"/>
    </row>
    <row r="154">
      <c r="A154" s="67" t="n"/>
      <c r="B154" s="82" t="n"/>
      <c r="C154" s="82" t="n"/>
      <c r="D154" s="82" t="n"/>
      <c r="E154" s="82" t="n"/>
      <c r="F154" s="83" t="n"/>
      <c r="G154" s="83" t="n"/>
      <c r="H154" s="82" t="n"/>
    </row>
    <row r="155">
      <c r="A155" s="67" t="n"/>
      <c r="B155" s="82" t="n"/>
      <c r="C155" s="82" t="n"/>
      <c r="D155" s="82" t="n"/>
      <c r="E155" s="82" t="n"/>
      <c r="F155" s="83" t="n"/>
      <c r="G155" s="83" t="n"/>
      <c r="H155" s="82" t="n"/>
    </row>
    <row r="156">
      <c r="A156" s="67" t="n"/>
      <c r="B156" s="82" t="n"/>
      <c r="C156" s="82" t="n"/>
      <c r="D156" s="82" t="n"/>
      <c r="E156" s="82" t="n"/>
      <c r="F156" s="83" t="n"/>
      <c r="G156" s="83" t="n"/>
      <c r="H156" s="82" t="n"/>
    </row>
    <row r="157">
      <c r="A157" s="67" t="n"/>
      <c r="B157" s="82" t="n"/>
      <c r="C157" s="82" t="n"/>
      <c r="D157" s="82" t="n"/>
      <c r="E157" s="82" t="n"/>
      <c r="F157" s="83" t="n"/>
      <c r="G157" s="83" t="n"/>
      <c r="H157" s="82" t="n"/>
    </row>
    <row r="158">
      <c r="A158" s="67" t="n"/>
      <c r="B158" s="82" t="n"/>
      <c r="C158" s="82" t="n"/>
      <c r="D158" s="82" t="n"/>
      <c r="E158" s="82" t="n"/>
      <c r="F158" s="83" t="n"/>
      <c r="G158" s="83" t="n"/>
      <c r="H158" s="82" t="n"/>
    </row>
    <row r="159">
      <c r="A159" s="67" t="n"/>
      <c r="B159" s="82" t="n"/>
      <c r="C159" s="82" t="n"/>
      <c r="D159" s="82" t="n"/>
      <c r="E159" s="82" t="n"/>
      <c r="F159" s="83" t="n"/>
      <c r="G159" s="83" t="n"/>
      <c r="H159" s="82" t="n"/>
    </row>
    <row r="160">
      <c r="A160" s="67" t="n"/>
      <c r="B160" s="82" t="n"/>
      <c r="C160" s="82" t="n"/>
      <c r="D160" s="82" t="n"/>
      <c r="E160" s="82" t="n"/>
      <c r="F160" s="83" t="n"/>
      <c r="G160" s="83" t="n"/>
      <c r="H160" s="82" t="n"/>
    </row>
    <row r="161">
      <c r="A161" s="67" t="n"/>
      <c r="B161" s="82" t="n"/>
      <c r="C161" s="82" t="n"/>
      <c r="D161" s="82" t="n"/>
      <c r="E161" s="82" t="n"/>
      <c r="F161" s="83" t="n"/>
      <c r="G161" s="83" t="n"/>
      <c r="H161" s="82" t="n"/>
    </row>
    <row r="162">
      <c r="A162" s="67" t="n"/>
      <c r="B162" s="82" t="n"/>
      <c r="C162" s="82" t="n"/>
      <c r="D162" s="82" t="n"/>
      <c r="E162" s="82" t="n"/>
      <c r="F162" s="83" t="n"/>
      <c r="G162" s="83" t="n"/>
      <c r="H162" s="82" t="n"/>
    </row>
    <row r="163">
      <c r="A163" s="67" t="n"/>
      <c r="B163" s="82" t="n"/>
      <c r="C163" s="82" t="n"/>
      <c r="D163" s="82" t="n"/>
      <c r="E163" s="82" t="n"/>
      <c r="F163" s="83" t="n"/>
      <c r="G163" s="83" t="n"/>
      <c r="H163" s="82" t="n"/>
    </row>
    <row r="164">
      <c r="A164" s="67" t="n"/>
      <c r="B164" s="82" t="n"/>
      <c r="C164" s="82" t="n"/>
      <c r="D164" s="82" t="n"/>
      <c r="E164" s="82" t="n"/>
      <c r="F164" s="83" t="n"/>
      <c r="G164" s="83" t="n"/>
      <c r="H164" s="82" t="n"/>
    </row>
    <row r="165">
      <c r="A165" s="67" t="n"/>
      <c r="B165" s="82" t="n"/>
      <c r="C165" s="82" t="n"/>
      <c r="D165" s="82" t="n"/>
      <c r="E165" s="82" t="n"/>
      <c r="F165" s="83" t="n"/>
      <c r="G165" s="83" t="n"/>
      <c r="H165" s="82" t="n"/>
    </row>
    <row r="166">
      <c r="A166" s="67" t="n"/>
      <c r="B166" s="82" t="n"/>
      <c r="C166" s="82" t="n"/>
      <c r="D166" s="82" t="n"/>
      <c r="E166" s="82" t="n"/>
      <c r="F166" s="83" t="n"/>
      <c r="G166" s="83" t="n"/>
      <c r="H166" s="82" t="n"/>
    </row>
    <row r="167">
      <c r="A167" s="67" t="n"/>
      <c r="B167" s="82" t="n"/>
      <c r="C167" s="82" t="n"/>
      <c r="D167" s="82" t="n"/>
      <c r="E167" s="82" t="n"/>
      <c r="F167" s="83" t="n"/>
      <c r="G167" s="83" t="n"/>
      <c r="H167" s="82" t="n"/>
    </row>
    <row r="168">
      <c r="A168" s="67" t="n"/>
      <c r="B168" s="82" t="n"/>
      <c r="C168" s="82" t="n"/>
      <c r="D168" s="82" t="n"/>
      <c r="E168" s="82" t="n"/>
      <c r="F168" s="83" t="n"/>
      <c r="G168" s="83" t="n"/>
      <c r="H168" s="82" t="n"/>
    </row>
    <row r="169">
      <c r="A169" s="67" t="n"/>
      <c r="B169" s="82" t="n"/>
      <c r="C169" s="82" t="n"/>
      <c r="D169" s="82" t="n"/>
      <c r="E169" s="82" t="n"/>
      <c r="F169" s="83" t="n"/>
      <c r="G169" s="83" t="n"/>
      <c r="H169" s="82" t="n"/>
    </row>
    <row r="170">
      <c r="A170" s="67" t="n"/>
      <c r="B170" s="82" t="n"/>
      <c r="C170" s="82" t="n"/>
      <c r="D170" s="82" t="n"/>
      <c r="E170" s="82" t="n"/>
      <c r="F170" s="83" t="n"/>
      <c r="G170" s="83" t="n"/>
      <c r="H170" s="82" t="n"/>
    </row>
    <row r="171">
      <c r="A171" s="67" t="n"/>
      <c r="B171" s="82" t="n"/>
      <c r="C171" s="82" t="n"/>
      <c r="D171" s="82" t="n"/>
      <c r="E171" s="82" t="n"/>
      <c r="F171" s="83" t="n"/>
      <c r="G171" s="83" t="n"/>
      <c r="H171" s="82" t="n"/>
    </row>
    <row r="172">
      <c r="A172" s="67" t="n"/>
      <c r="B172" s="82" t="n"/>
      <c r="C172" s="82" t="n"/>
      <c r="D172" s="82" t="n"/>
      <c r="E172" s="82" t="n"/>
      <c r="F172" s="83" t="n"/>
      <c r="G172" s="83" t="n"/>
      <c r="H172" s="82" t="n"/>
    </row>
    <row r="173">
      <c r="A173" s="67" t="n"/>
      <c r="B173" s="82" t="n"/>
      <c r="C173" s="82" t="n"/>
      <c r="D173" s="82" t="n"/>
      <c r="E173" s="82" t="n"/>
      <c r="F173" s="83" t="n"/>
      <c r="G173" s="83" t="n"/>
      <c r="H173" s="82" t="n"/>
    </row>
    <row r="174">
      <c r="A174" s="67" t="n"/>
      <c r="B174" s="82" t="n"/>
      <c r="C174" s="82" t="n"/>
      <c r="D174" s="82" t="n"/>
      <c r="E174" s="82" t="n"/>
      <c r="F174" s="83" t="n"/>
      <c r="G174" s="83" t="n"/>
      <c r="H174" s="82" t="n"/>
    </row>
    <row r="175">
      <c r="A175" s="67" t="n"/>
      <c r="B175" s="82" t="n"/>
      <c r="C175" s="82" t="n"/>
      <c r="D175" s="82" t="n"/>
      <c r="E175" s="82" t="n"/>
      <c r="F175" s="83" t="n"/>
      <c r="G175" s="83" t="n"/>
      <c r="H175" s="82" t="n"/>
    </row>
    <row r="176">
      <c r="A176" s="67" t="n"/>
      <c r="B176" s="82" t="n"/>
      <c r="C176" s="82" t="n"/>
      <c r="D176" s="82" t="n"/>
      <c r="E176" s="82" t="n"/>
      <c r="F176" s="83" t="n"/>
      <c r="G176" s="83" t="n"/>
      <c r="H176" s="82" t="n"/>
    </row>
    <row r="177">
      <c r="A177" s="67" t="n"/>
      <c r="B177" s="82" t="n"/>
      <c r="C177" s="82" t="n"/>
      <c r="D177" s="82" t="n"/>
      <c r="E177" s="82" t="n"/>
      <c r="F177" s="83" t="n"/>
      <c r="G177" s="83" t="n"/>
      <c r="H177" s="82" t="n"/>
    </row>
    <row r="178">
      <c r="A178" s="67" t="n"/>
      <c r="B178" s="82" t="n"/>
      <c r="C178" s="82" t="n"/>
      <c r="D178" s="82" t="n"/>
      <c r="E178" s="82" t="n"/>
      <c r="F178" s="83" t="n"/>
      <c r="G178" s="83" t="n"/>
      <c r="H178" s="82" t="n"/>
    </row>
    <row r="179">
      <c r="A179" s="67" t="n"/>
      <c r="B179" s="82" t="n"/>
      <c r="C179" s="82" t="n"/>
      <c r="D179" s="82" t="n"/>
      <c r="E179" s="82" t="n"/>
      <c r="F179" s="83" t="n"/>
      <c r="G179" s="83" t="n"/>
      <c r="H179" s="82" t="n"/>
    </row>
    <row r="180">
      <c r="A180" s="67" t="n"/>
      <c r="B180" s="82" t="n"/>
      <c r="C180" s="82" t="n"/>
      <c r="D180" s="82" t="n"/>
      <c r="E180" s="82" t="n"/>
      <c r="F180" s="83" t="n"/>
      <c r="G180" s="83" t="n"/>
      <c r="H180" s="82" t="n"/>
    </row>
    <row r="181">
      <c r="A181" s="67" t="n"/>
      <c r="B181" s="82" t="n"/>
      <c r="C181" s="82" t="n"/>
      <c r="D181" s="82" t="n"/>
      <c r="E181" s="82" t="n"/>
      <c r="F181" s="83" t="n"/>
      <c r="G181" s="83" t="n"/>
      <c r="H181" s="82" t="n"/>
    </row>
    <row r="182">
      <c r="A182" s="67" t="n"/>
      <c r="B182" s="82" t="n"/>
      <c r="C182" s="82" t="n"/>
      <c r="D182" s="82" t="n"/>
      <c r="E182" s="82" t="n"/>
      <c r="F182" s="83" t="n"/>
      <c r="G182" s="83" t="n"/>
      <c r="H182" s="82" t="n"/>
    </row>
    <row r="183">
      <c r="A183" s="67" t="n"/>
      <c r="B183" s="82" t="n"/>
      <c r="C183" s="82" t="n"/>
      <c r="D183" s="82" t="n"/>
      <c r="E183" s="82" t="n"/>
      <c r="F183" s="83" t="n"/>
      <c r="G183" s="83" t="n"/>
      <c r="H183" s="82" t="n"/>
    </row>
    <row r="184">
      <c r="A184" s="67" t="n"/>
      <c r="B184" s="82" t="n"/>
      <c r="C184" s="82" t="n"/>
      <c r="D184" s="82" t="n"/>
      <c r="E184" s="82" t="n"/>
      <c r="F184" s="83" t="n"/>
      <c r="G184" s="83" t="n"/>
      <c r="H184" s="82" t="n"/>
    </row>
    <row r="185">
      <c r="A185" s="67" t="n"/>
      <c r="B185" s="82" t="n"/>
      <c r="C185" s="82" t="n"/>
      <c r="D185" s="82" t="n"/>
      <c r="E185" s="82" t="n"/>
      <c r="F185" s="83" t="n"/>
      <c r="G185" s="83" t="n"/>
      <c r="H185" s="82" t="n"/>
    </row>
    <row r="186">
      <c r="A186" s="67" t="n"/>
      <c r="B186" s="82" t="n"/>
      <c r="C186" s="82" t="n"/>
      <c r="D186" s="82" t="n"/>
      <c r="E186" s="82" t="n"/>
      <c r="F186" s="83" t="n"/>
      <c r="G186" s="83" t="n"/>
      <c r="H186" s="82" t="n"/>
    </row>
    <row r="187">
      <c r="A187" s="67" t="n"/>
      <c r="B187" s="82" t="n"/>
      <c r="C187" s="82" t="n"/>
      <c r="D187" s="82" t="n"/>
      <c r="E187" s="82" t="n"/>
      <c r="F187" s="83" t="n"/>
      <c r="G187" s="83" t="n"/>
      <c r="H187" s="82" t="n"/>
    </row>
    <row r="188">
      <c r="A188" s="67" t="n"/>
      <c r="B188" s="82" t="n"/>
      <c r="C188" s="82" t="n"/>
      <c r="D188" s="82" t="n"/>
      <c r="E188" s="82" t="n"/>
      <c r="F188" s="83" t="n"/>
      <c r="G188" s="83" t="n"/>
      <c r="H188" s="82" t="n"/>
    </row>
    <row r="189">
      <c r="A189" s="67" t="n"/>
      <c r="B189" s="82" t="n"/>
      <c r="C189" s="82" t="n"/>
      <c r="D189" s="82" t="n"/>
      <c r="E189" s="82" t="n"/>
      <c r="F189" s="83" t="n"/>
      <c r="G189" s="83" t="n"/>
      <c r="H189" s="82" t="n"/>
    </row>
    <row r="190">
      <c r="A190" s="67" t="n"/>
      <c r="B190" s="82" t="n"/>
      <c r="C190" s="82" t="n"/>
      <c r="D190" s="82" t="n"/>
      <c r="E190" s="82" t="n"/>
      <c r="F190" s="83" t="n"/>
      <c r="G190" s="83" t="n"/>
      <c r="H190" s="82" t="n"/>
    </row>
    <row r="191">
      <c r="A191" s="67" t="n"/>
      <c r="B191" s="82" t="n"/>
      <c r="C191" s="82" t="n"/>
      <c r="D191" s="82" t="n"/>
      <c r="E191" s="82" t="n"/>
      <c r="F191" s="83" t="n"/>
      <c r="G191" s="83" t="n"/>
      <c r="H191" s="82" t="n"/>
    </row>
    <row r="192">
      <c r="A192" s="67" t="n"/>
      <c r="B192" s="82" t="n"/>
      <c r="C192" s="82" t="n"/>
      <c r="D192" s="82" t="n"/>
      <c r="E192" s="82" t="n"/>
      <c r="F192" s="83" t="n"/>
      <c r="G192" s="83" t="n"/>
      <c r="H192" s="82" t="n"/>
    </row>
    <row r="193">
      <c r="A193" s="67" t="n"/>
      <c r="B193" s="82" t="n"/>
      <c r="C193" s="82" t="n"/>
      <c r="D193" s="82" t="n"/>
      <c r="E193" s="82" t="n"/>
      <c r="F193" s="83" t="n"/>
      <c r="G193" s="83" t="n"/>
      <c r="H193" s="82" t="n"/>
    </row>
    <row r="194">
      <c r="A194" s="67" t="n"/>
      <c r="B194" s="82" t="n"/>
      <c r="C194" s="82" t="n"/>
      <c r="D194" s="82" t="n"/>
      <c r="E194" s="82" t="n"/>
      <c r="F194" s="83" t="n"/>
      <c r="G194" s="83" t="n"/>
      <c r="H194" s="82" t="n"/>
    </row>
    <row r="195">
      <c r="A195" s="67" t="n"/>
      <c r="B195" s="82" t="n"/>
      <c r="C195" s="82" t="n"/>
      <c r="D195" s="82" t="n"/>
      <c r="E195" s="82" t="n"/>
      <c r="F195" s="83" t="n"/>
      <c r="G195" s="83" t="n"/>
      <c r="H195" s="82" t="n"/>
    </row>
    <row r="196">
      <c r="A196" s="67" t="n"/>
      <c r="B196" s="82" t="n"/>
      <c r="C196" s="82" t="n"/>
      <c r="D196" s="82" t="n"/>
      <c r="E196" s="82" t="n"/>
      <c r="F196" s="83" t="n"/>
      <c r="G196" s="83" t="n"/>
      <c r="H196" s="82" t="n"/>
    </row>
    <row r="197">
      <c r="A197" s="67" t="n"/>
      <c r="B197" s="82" t="n"/>
      <c r="C197" s="82" t="n"/>
      <c r="D197" s="82" t="n"/>
      <c r="E197" s="82" t="n"/>
      <c r="F197" s="83" t="n"/>
      <c r="G197" s="83" t="n"/>
      <c r="H197" s="82" t="n"/>
    </row>
    <row r="198">
      <c r="A198" s="67" t="n"/>
      <c r="B198" s="82" t="n"/>
      <c r="C198" s="82" t="n"/>
      <c r="D198" s="82" t="n"/>
      <c r="E198" s="82" t="n"/>
      <c r="F198" s="83" t="n"/>
      <c r="G198" s="83" t="n"/>
      <c r="H198" s="82" t="n"/>
    </row>
    <row r="199">
      <c r="A199" s="67" t="n"/>
      <c r="B199" s="82" t="n"/>
      <c r="C199" s="82" t="n"/>
      <c r="D199" s="82" t="n"/>
      <c r="E199" s="82" t="n"/>
      <c r="F199" s="83" t="n"/>
      <c r="G199" s="83" t="n"/>
      <c r="H199" s="82" t="n"/>
    </row>
    <row r="200">
      <c r="A200" s="67" t="n"/>
      <c r="B200" s="82" t="n"/>
      <c r="C200" s="82" t="n"/>
      <c r="D200" s="82" t="n"/>
      <c r="E200" s="82" t="n"/>
      <c r="F200" s="83" t="n"/>
      <c r="G200" s="83" t="n"/>
      <c r="H200" s="82" t="n"/>
    </row>
    <row r="201">
      <c r="A201" s="67" t="n"/>
      <c r="B201" s="82" t="n"/>
      <c r="C201" s="82" t="n"/>
      <c r="D201" s="82" t="n"/>
      <c r="E201" s="82" t="n"/>
      <c r="F201" s="83" t="n"/>
      <c r="G201" s="83" t="n"/>
      <c r="H201" s="82" t="n"/>
    </row>
    <row r="202">
      <c r="A202" s="67" t="n"/>
      <c r="B202" s="82" t="n"/>
      <c r="C202" s="82" t="n"/>
      <c r="D202" s="82" t="n"/>
      <c r="E202" s="82" t="n"/>
      <c r="F202" s="83" t="n"/>
      <c r="G202" s="83" t="n"/>
      <c r="H202" s="82" t="n"/>
    </row>
    <row r="203">
      <c r="A203" s="67" t="n"/>
      <c r="B203" s="82" t="n"/>
      <c r="C203" s="82" t="n"/>
      <c r="D203" s="82" t="n"/>
      <c r="E203" s="82" t="n"/>
      <c r="F203" s="83" t="n"/>
      <c r="G203" s="83" t="n"/>
      <c r="H203" s="82" t="n"/>
    </row>
    <row r="204">
      <c r="A204" s="67" t="n"/>
      <c r="B204" s="82" t="n"/>
      <c r="C204" s="82" t="n"/>
      <c r="D204" s="82" t="n"/>
      <c r="E204" s="82" t="n"/>
      <c r="F204" s="83" t="n"/>
      <c r="G204" s="83" t="n"/>
      <c r="H204" s="82" t="n"/>
    </row>
    <row r="205">
      <c r="A205" s="67" t="n"/>
      <c r="B205" s="82" t="n"/>
      <c r="C205" s="82" t="n"/>
      <c r="D205" s="82" t="n"/>
      <c r="E205" s="82" t="n"/>
      <c r="F205" s="83" t="n"/>
      <c r="G205" s="83" t="n"/>
      <c r="H205" s="82" t="n"/>
    </row>
    <row r="206">
      <c r="A206" s="67" t="n"/>
      <c r="B206" s="82" t="n"/>
      <c r="C206" s="82" t="n"/>
      <c r="D206" s="82" t="n"/>
      <c r="E206" s="82" t="n"/>
      <c r="F206" s="83" t="n"/>
      <c r="G206" s="83" t="n"/>
      <c r="H206" s="82" t="n"/>
    </row>
    <row r="207">
      <c r="A207" s="67" t="n"/>
      <c r="B207" s="82" t="n"/>
      <c r="C207" s="82" t="n"/>
      <c r="D207" s="82" t="n"/>
      <c r="E207" s="82" t="n"/>
      <c r="F207" s="83" t="n"/>
      <c r="G207" s="83" t="n"/>
      <c r="H207" s="82" t="n"/>
    </row>
    <row r="208">
      <c r="A208" s="67" t="n"/>
      <c r="B208" s="82" t="n"/>
      <c r="C208" s="82" t="n"/>
      <c r="D208" s="82" t="n"/>
      <c r="E208" s="82" t="n"/>
      <c r="F208" s="83" t="n"/>
      <c r="G208" s="83" t="n"/>
      <c r="H208" s="82" t="n"/>
    </row>
    <row r="209">
      <c r="A209" s="67" t="n"/>
      <c r="B209" s="82" t="n"/>
      <c r="C209" s="82" t="n"/>
      <c r="D209" s="82" t="n"/>
      <c r="E209" s="82" t="n"/>
      <c r="F209" s="83" t="n"/>
      <c r="G209" s="83" t="n"/>
      <c r="H209" s="82" t="n"/>
    </row>
    <row r="210">
      <c r="A210" s="67" t="n"/>
      <c r="B210" s="82" t="n"/>
      <c r="C210" s="82" t="n"/>
      <c r="D210" s="82" t="n"/>
      <c r="E210" s="82" t="n"/>
      <c r="F210" s="83" t="n"/>
      <c r="G210" s="83" t="n"/>
      <c r="H210" s="82" t="n"/>
    </row>
    <row r="211">
      <c r="A211" s="67" t="n"/>
      <c r="B211" s="82" t="n"/>
      <c r="C211" s="82" t="n"/>
      <c r="D211" s="82" t="n"/>
      <c r="E211" s="82" t="n"/>
      <c r="F211" s="83" t="n"/>
      <c r="G211" s="83" t="n"/>
      <c r="H211" s="82" t="n"/>
    </row>
    <row r="212">
      <c r="A212" s="67" t="n"/>
      <c r="B212" s="82" t="n"/>
      <c r="C212" s="82" t="n"/>
      <c r="D212" s="82" t="n"/>
      <c r="E212" s="82" t="n"/>
      <c r="F212" s="83" t="n"/>
      <c r="G212" s="83" t="n"/>
      <c r="H212" s="82" t="n"/>
    </row>
    <row r="213">
      <c r="A213" s="67" t="n"/>
      <c r="B213" s="82" t="n"/>
      <c r="C213" s="82" t="n"/>
      <c r="D213" s="82" t="n"/>
      <c r="E213" s="82" t="n"/>
      <c r="F213" s="83" t="n"/>
      <c r="G213" s="83" t="n"/>
      <c r="H213" s="82" t="n"/>
    </row>
    <row r="214">
      <c r="A214" s="67" t="n"/>
      <c r="B214" s="82" t="n"/>
      <c r="C214" s="82" t="n"/>
      <c r="D214" s="82" t="n"/>
      <c r="E214" s="82" t="n"/>
      <c r="F214" s="83" t="n"/>
      <c r="G214" s="83" t="n"/>
      <c r="H214" s="82" t="n"/>
    </row>
    <row r="215">
      <c r="A215" s="67" t="n"/>
      <c r="B215" s="82" t="n"/>
      <c r="C215" s="82" t="n"/>
      <c r="D215" s="82" t="n"/>
      <c r="E215" s="82" t="n"/>
      <c r="F215" s="83" t="n"/>
      <c r="G215" s="83" t="n"/>
      <c r="H215" s="82" t="n"/>
    </row>
    <row r="216">
      <c r="A216" s="67" t="n"/>
      <c r="B216" s="82" t="n"/>
      <c r="C216" s="82" t="n"/>
      <c r="D216" s="82" t="n"/>
      <c r="E216" s="82" t="n"/>
      <c r="F216" s="83" t="n"/>
      <c r="G216" s="83" t="n"/>
      <c r="H216" s="82" t="n"/>
    </row>
    <row r="217">
      <c r="A217" s="67" t="n"/>
      <c r="B217" s="82" t="n"/>
      <c r="C217" s="82" t="n"/>
      <c r="D217" s="82" t="n"/>
      <c r="E217" s="82" t="n"/>
      <c r="F217" s="83" t="n"/>
      <c r="G217" s="83" t="n"/>
      <c r="H217" s="82" t="n"/>
    </row>
    <row r="218">
      <c r="A218" s="67" t="n"/>
      <c r="B218" s="82" t="n"/>
      <c r="C218" s="82" t="n"/>
      <c r="D218" s="82" t="n"/>
      <c r="E218" s="82" t="n"/>
      <c r="F218" s="83" t="n"/>
      <c r="G218" s="83" t="n"/>
      <c r="H218" s="82" t="n"/>
    </row>
    <row r="219">
      <c r="A219" s="67" t="n"/>
      <c r="B219" s="82" t="n"/>
      <c r="C219" s="82" t="n"/>
      <c r="D219" s="82" t="n"/>
      <c r="E219" s="82" t="n"/>
      <c r="F219" s="83" t="n"/>
      <c r="G219" s="83" t="n"/>
      <c r="H219" s="82" t="n"/>
    </row>
    <row r="220">
      <c r="A220" s="67" t="n"/>
      <c r="B220" s="82" t="n"/>
      <c r="C220" s="82" t="n"/>
      <c r="D220" s="82" t="n"/>
      <c r="E220" s="82" t="n"/>
      <c r="F220" s="83" t="n"/>
      <c r="G220" s="83" t="n"/>
      <c r="H220" s="82" t="n"/>
    </row>
    <row r="221">
      <c r="A221" s="67" t="n"/>
      <c r="B221" s="82" t="n"/>
      <c r="C221" s="82" t="n"/>
      <c r="D221" s="82" t="n"/>
      <c r="E221" s="82" t="n"/>
      <c r="F221" s="83" t="n"/>
      <c r="G221" s="83" t="n"/>
      <c r="H221" s="82" t="n"/>
    </row>
    <row r="222">
      <c r="A222" s="67" t="n"/>
      <c r="B222" s="82" t="n"/>
      <c r="C222" s="82" t="n"/>
      <c r="D222" s="82" t="n"/>
      <c r="E222" s="82" t="n"/>
      <c r="F222" s="83" t="n"/>
      <c r="G222" s="83" t="n"/>
      <c r="H222" s="82" t="n"/>
    </row>
    <row r="223">
      <c r="A223" s="67" t="n"/>
      <c r="B223" s="82" t="n"/>
      <c r="C223" s="82" t="n"/>
      <c r="D223" s="82" t="n"/>
      <c r="E223" s="82" t="n"/>
      <c r="F223" s="83" t="n"/>
      <c r="G223" s="83" t="n"/>
      <c r="H223" s="82" t="n"/>
    </row>
    <row r="224">
      <c r="A224" s="67" t="n"/>
      <c r="B224" s="82" t="n"/>
      <c r="C224" s="82" t="n"/>
      <c r="D224" s="82" t="n"/>
      <c r="E224" s="82" t="n"/>
      <c r="F224" s="83" t="n"/>
      <c r="G224" s="83" t="n"/>
      <c r="H224" s="82" t="n"/>
    </row>
    <row r="225">
      <c r="A225" s="67" t="n"/>
      <c r="B225" s="82" t="n"/>
      <c r="C225" s="82" t="n"/>
      <c r="D225" s="82" t="n"/>
      <c r="E225" s="82" t="n"/>
      <c r="F225" s="83" t="n"/>
      <c r="G225" s="83" t="n"/>
      <c r="H225" s="82" t="n"/>
    </row>
    <row r="226">
      <c r="A226" s="67" t="n"/>
      <c r="B226" s="82" t="n"/>
      <c r="C226" s="82" t="n"/>
      <c r="D226" s="82" t="n"/>
      <c r="E226" s="82" t="n"/>
      <c r="F226" s="83" t="n"/>
      <c r="G226" s="83" t="n"/>
      <c r="H226" s="82" t="n"/>
    </row>
    <row r="227">
      <c r="A227" s="67" t="n"/>
      <c r="B227" s="82" t="n"/>
      <c r="C227" s="82" t="n"/>
      <c r="D227" s="82" t="n"/>
      <c r="E227" s="82" t="n"/>
      <c r="F227" s="83" t="n"/>
      <c r="G227" s="83" t="n"/>
      <c r="H227" s="82" t="n"/>
    </row>
    <row r="228">
      <c r="A228" s="67" t="n"/>
      <c r="B228" s="82" t="n"/>
      <c r="C228" s="82" t="n"/>
      <c r="D228" s="82" t="n"/>
      <c r="E228" s="82" t="n"/>
      <c r="F228" s="83" t="n"/>
      <c r="G228" s="83" t="n"/>
      <c r="H228" s="82" t="n"/>
    </row>
    <row r="229">
      <c r="A229" s="67" t="n"/>
      <c r="B229" s="82" t="n"/>
      <c r="C229" s="82" t="n"/>
      <c r="D229" s="82" t="n"/>
      <c r="E229" s="82" t="n"/>
      <c r="F229" s="83" t="n"/>
      <c r="G229" s="83" t="n"/>
      <c r="H229" s="82" t="n"/>
    </row>
    <row r="230">
      <c r="A230" s="67" t="n"/>
      <c r="B230" s="82" t="n"/>
      <c r="C230" s="82" t="n"/>
      <c r="D230" s="82" t="n"/>
      <c r="E230" s="82" t="n"/>
      <c r="F230" s="83" t="n"/>
      <c r="G230" s="83" t="n"/>
      <c r="H230" s="82" t="n"/>
    </row>
    <row r="231">
      <c r="A231" s="67" t="n"/>
      <c r="B231" s="82" t="n"/>
      <c r="C231" s="82" t="n"/>
      <c r="D231" s="82" t="n"/>
      <c r="E231" s="82" t="n"/>
      <c r="F231" s="83" t="n"/>
      <c r="G231" s="83" t="n"/>
      <c r="H231" s="82" t="n"/>
    </row>
    <row r="232">
      <c r="A232" s="67" t="n"/>
      <c r="B232" s="82" t="n"/>
      <c r="C232" s="82" t="n"/>
      <c r="D232" s="82" t="n"/>
      <c r="E232" s="82" t="n"/>
      <c r="F232" s="83" t="n"/>
      <c r="G232" s="83" t="n"/>
      <c r="H232" s="82" t="n"/>
    </row>
    <row r="233">
      <c r="A233" s="67" t="n"/>
      <c r="B233" s="82" t="n"/>
      <c r="C233" s="82" t="n"/>
      <c r="D233" s="82" t="n"/>
      <c r="E233" s="82" t="n"/>
      <c r="F233" s="83" t="n"/>
      <c r="G233" s="83" t="n"/>
      <c r="H233" s="82" t="n"/>
    </row>
    <row r="234">
      <c r="A234" s="67" t="n"/>
      <c r="B234" s="82" t="n"/>
      <c r="C234" s="82" t="n"/>
      <c r="D234" s="82" t="n"/>
      <c r="E234" s="82" t="n"/>
      <c r="F234" s="83" t="n"/>
      <c r="G234" s="83" t="n"/>
      <c r="H234" s="82" t="n"/>
    </row>
    <row r="235">
      <c r="A235" s="67" t="n"/>
      <c r="B235" s="82" t="n"/>
      <c r="C235" s="82" t="n"/>
      <c r="D235" s="82" t="n"/>
      <c r="E235" s="82" t="n"/>
      <c r="F235" s="83" t="n"/>
      <c r="G235" s="83" t="n"/>
      <c r="H235" s="82" t="n"/>
    </row>
    <row r="236">
      <c r="A236" s="67" t="n"/>
      <c r="B236" s="82" t="n"/>
      <c r="C236" s="82" t="n"/>
      <c r="D236" s="82" t="n"/>
      <c r="E236" s="82" t="n"/>
      <c r="F236" s="83" t="n"/>
      <c r="G236" s="83" t="n"/>
      <c r="H236" s="82" t="n"/>
    </row>
    <row r="237">
      <c r="A237" s="67" t="n"/>
      <c r="B237" s="82" t="n"/>
      <c r="C237" s="82" t="n"/>
      <c r="D237" s="82" t="n"/>
      <c r="E237" s="82" t="n"/>
      <c r="F237" s="83" t="n"/>
      <c r="G237" s="83" t="n"/>
      <c r="H237" s="82" t="n"/>
    </row>
    <row r="238">
      <c r="A238" s="67" t="n"/>
      <c r="B238" s="82" t="n"/>
      <c r="C238" s="82" t="n"/>
      <c r="D238" s="82" t="n"/>
      <c r="E238" s="82" t="n"/>
      <c r="F238" s="83" t="n"/>
      <c r="G238" s="83" t="n"/>
      <c r="H238" s="82" t="n"/>
    </row>
    <row r="239">
      <c r="A239" s="67" t="n"/>
      <c r="B239" s="82" t="n"/>
      <c r="C239" s="82" t="n"/>
      <c r="D239" s="82" t="n"/>
      <c r="E239" s="82" t="n"/>
      <c r="F239" s="83" t="n"/>
      <c r="G239" s="83" t="n"/>
      <c r="H239" s="82" t="n"/>
    </row>
    <row r="240">
      <c r="A240" s="67" t="n"/>
      <c r="B240" s="82" t="n"/>
      <c r="C240" s="82" t="n"/>
      <c r="D240" s="82" t="n"/>
      <c r="E240" s="82" t="n"/>
      <c r="F240" s="83" t="n"/>
      <c r="G240" s="83" t="n"/>
      <c r="H240" s="82" t="n"/>
    </row>
    <row r="241">
      <c r="A241" s="67" t="n"/>
      <c r="B241" s="82" t="n"/>
      <c r="C241" s="82" t="n"/>
      <c r="D241" s="82" t="n"/>
      <c r="E241" s="82" t="n"/>
      <c r="F241" s="83" t="n"/>
      <c r="G241" s="83" t="n"/>
      <c r="H241" s="82" t="n"/>
    </row>
    <row r="242">
      <c r="A242" s="67" t="n"/>
      <c r="B242" s="82" t="n"/>
      <c r="C242" s="82" t="n"/>
      <c r="D242" s="82" t="n"/>
      <c r="E242" s="82" t="n"/>
      <c r="F242" s="83" t="n"/>
      <c r="G242" s="83" t="n"/>
      <c r="H242" s="82" t="n"/>
    </row>
    <row r="243">
      <c r="A243" s="67" t="n"/>
      <c r="B243" s="82" t="n"/>
      <c r="C243" s="82" t="n"/>
      <c r="D243" s="82" t="n"/>
      <c r="E243" s="82" t="n"/>
      <c r="F243" s="83" t="n"/>
      <c r="G243" s="83" t="n"/>
      <c r="H243" s="82" t="n"/>
    </row>
    <row r="244">
      <c r="A244" s="67" t="n"/>
      <c r="B244" s="82" t="n"/>
      <c r="C244" s="82" t="n"/>
      <c r="D244" s="82" t="n"/>
      <c r="E244" s="82" t="n"/>
      <c r="F244" s="83" t="n"/>
      <c r="G244" s="83" t="n"/>
      <c r="H244" s="82" t="n"/>
    </row>
    <row r="245">
      <c r="A245" s="67" t="n"/>
      <c r="B245" s="82" t="n"/>
      <c r="C245" s="82" t="n"/>
      <c r="D245" s="82" t="n"/>
      <c r="E245" s="82" t="n"/>
      <c r="F245" s="83" t="n"/>
      <c r="G245" s="83" t="n"/>
      <c r="H245" s="82" t="n"/>
    </row>
    <row r="246">
      <c r="A246" s="67" t="n"/>
      <c r="B246" s="82" t="n"/>
      <c r="C246" s="82" t="n"/>
      <c r="D246" s="82" t="n"/>
      <c r="E246" s="82" t="n"/>
      <c r="F246" s="83" t="n"/>
      <c r="G246" s="83" t="n"/>
      <c r="H246" s="82" t="n"/>
    </row>
    <row r="247">
      <c r="A247" s="67" t="n"/>
      <c r="B247" s="82" t="n"/>
      <c r="C247" s="82" t="n"/>
      <c r="D247" s="82" t="n"/>
      <c r="E247" s="82" t="n"/>
      <c r="F247" s="83" t="n"/>
      <c r="G247" s="83" t="n"/>
      <c r="H247" s="82" t="n"/>
    </row>
    <row r="248">
      <c r="A248" s="67" t="n"/>
      <c r="B248" s="82" t="n"/>
      <c r="C248" s="82" t="n"/>
      <c r="D248" s="82" t="n"/>
      <c r="E248" s="82" t="n"/>
      <c r="F248" s="83" t="n"/>
      <c r="G248" s="83" t="n"/>
      <c r="H248" s="82" t="n"/>
    </row>
    <row r="249">
      <c r="A249" s="67" t="n"/>
      <c r="B249" s="82" t="n"/>
      <c r="C249" s="82" t="n"/>
      <c r="D249" s="82" t="n"/>
      <c r="E249" s="82" t="n"/>
      <c r="F249" s="83" t="n"/>
      <c r="G249" s="83" t="n"/>
      <c r="H249" s="82" t="n"/>
    </row>
    <row r="250">
      <c r="A250" s="67" t="n"/>
      <c r="B250" s="82" t="n"/>
      <c r="C250" s="82" t="n"/>
      <c r="D250" s="82" t="n"/>
      <c r="E250" s="82" t="n"/>
      <c r="F250" s="83" t="n"/>
      <c r="G250" s="83" t="n"/>
      <c r="H250" s="82" t="n"/>
    </row>
    <row r="251">
      <c r="A251" s="67" t="n"/>
      <c r="B251" s="82" t="n"/>
      <c r="C251" s="82" t="n"/>
      <c r="D251" s="82" t="n"/>
      <c r="E251" s="82" t="n"/>
      <c r="F251" s="83" t="n"/>
      <c r="G251" s="83" t="n"/>
      <c r="H251" s="82" t="n"/>
    </row>
    <row r="252">
      <c r="A252" s="67" t="n"/>
      <c r="B252" s="82" t="n"/>
      <c r="C252" s="82" t="n"/>
      <c r="D252" s="82" t="n"/>
      <c r="E252" s="82" t="n"/>
      <c r="F252" s="83" t="n"/>
      <c r="G252" s="83" t="n"/>
      <c r="H252" s="82" t="n"/>
    </row>
    <row r="253">
      <c r="A253" s="67" t="n"/>
      <c r="B253" s="82" t="n"/>
      <c r="C253" s="82" t="n"/>
      <c r="D253" s="82" t="n"/>
      <c r="E253" s="82" t="n"/>
      <c r="F253" s="83" t="n"/>
      <c r="G253" s="83" t="n"/>
      <c r="H253" s="82" t="n"/>
    </row>
    <row r="254">
      <c r="A254" s="67" t="n"/>
      <c r="B254" s="82" t="n"/>
      <c r="C254" s="82" t="n"/>
      <c r="D254" s="82" t="n"/>
      <c r="E254" s="82" t="n"/>
      <c r="F254" s="83" t="n"/>
      <c r="G254" s="83" t="n"/>
      <c r="H254" s="82" t="n"/>
    </row>
    <row r="255">
      <c r="A255" s="67" t="n"/>
      <c r="B255" s="82" t="n"/>
      <c r="C255" s="82" t="n"/>
      <c r="D255" s="82" t="n"/>
      <c r="E255" s="82" t="n"/>
      <c r="F255" s="83" t="n"/>
      <c r="G255" s="83" t="n"/>
      <c r="H255" s="82" t="n"/>
    </row>
    <row r="256">
      <c r="A256" s="67" t="n"/>
      <c r="B256" s="82" t="n"/>
      <c r="C256" s="82" t="n"/>
      <c r="D256" s="82" t="n"/>
      <c r="E256" s="82" t="n"/>
      <c r="F256" s="83" t="n"/>
      <c r="G256" s="83" t="n"/>
      <c r="H256" s="82" t="n"/>
    </row>
    <row r="257">
      <c r="A257" s="67" t="n"/>
      <c r="B257" s="82" t="n"/>
      <c r="C257" s="82" t="n"/>
      <c r="D257" s="82" t="n"/>
      <c r="E257" s="82" t="n"/>
      <c r="F257" s="83" t="n"/>
      <c r="G257" s="83" t="n"/>
      <c r="H257" s="82" t="n"/>
    </row>
    <row r="258">
      <c r="A258" s="67" t="n"/>
      <c r="B258" s="82" t="n"/>
      <c r="C258" s="82" t="n"/>
      <c r="D258" s="82" t="n"/>
      <c r="E258" s="82" t="n"/>
      <c r="F258" s="83" t="n"/>
      <c r="G258" s="83" t="n"/>
      <c r="H258" s="82" t="n"/>
    </row>
    <row r="259">
      <c r="A259" s="67" t="n"/>
      <c r="B259" s="82" t="n"/>
      <c r="C259" s="82" t="n"/>
      <c r="D259" s="82" t="n"/>
      <c r="E259" s="82" t="n"/>
      <c r="F259" s="83" t="n"/>
      <c r="G259" s="83" t="n"/>
      <c r="H259" s="82" t="n"/>
    </row>
    <row r="260">
      <c r="A260" s="67" t="n"/>
      <c r="B260" s="82" t="n"/>
      <c r="C260" s="82" t="n"/>
      <c r="D260" s="82" t="n"/>
      <c r="E260" s="82" t="n"/>
      <c r="F260" s="83" t="n"/>
      <c r="G260" s="83" t="n"/>
      <c r="H260" s="82" t="n"/>
    </row>
    <row r="261">
      <c r="A261" s="67" t="n"/>
      <c r="B261" s="82" t="n"/>
      <c r="C261" s="82" t="n"/>
      <c r="D261" s="82" t="n"/>
      <c r="E261" s="82" t="n"/>
      <c r="F261" s="83" t="n"/>
      <c r="G261" s="83" t="n"/>
      <c r="H261" s="82" t="n"/>
    </row>
    <row r="262">
      <c r="A262" s="67" t="n"/>
      <c r="B262" s="82" t="n"/>
      <c r="C262" s="82" t="n"/>
      <c r="D262" s="82" t="n"/>
      <c r="E262" s="82" t="n"/>
      <c r="F262" s="83" t="n"/>
      <c r="G262" s="83" t="n"/>
      <c r="H262" s="82" t="n"/>
    </row>
    <row r="263">
      <c r="A263" s="67" t="n"/>
      <c r="B263" s="82" t="n"/>
      <c r="C263" s="82" t="n"/>
      <c r="D263" s="82" t="n"/>
      <c r="E263" s="82" t="n"/>
      <c r="F263" s="83" t="n"/>
      <c r="G263" s="83" t="n"/>
      <c r="H263" s="82" t="n"/>
    </row>
    <row r="264">
      <c r="A264" s="67" t="n"/>
      <c r="B264" s="82" t="n"/>
      <c r="C264" s="82" t="n"/>
      <c r="D264" s="82" t="n"/>
      <c r="E264" s="82" t="n"/>
      <c r="F264" s="83" t="n"/>
      <c r="G264" s="83" t="n"/>
      <c r="H264" s="82" t="n"/>
    </row>
    <row r="265">
      <c r="A265" s="67" t="n"/>
      <c r="B265" s="82" t="n"/>
      <c r="C265" s="82" t="n"/>
      <c r="D265" s="82" t="n"/>
      <c r="E265" s="82" t="n"/>
      <c r="F265" s="83" t="n"/>
      <c r="G265" s="83" t="n"/>
      <c r="H265" s="82" t="n"/>
    </row>
    <row r="266">
      <c r="A266" s="67" t="n"/>
      <c r="B266" s="82" t="n"/>
      <c r="C266" s="82" t="n"/>
      <c r="D266" s="82" t="n"/>
      <c r="E266" s="82" t="n"/>
      <c r="F266" s="83" t="n"/>
      <c r="G266" s="83" t="n"/>
      <c r="H266" s="82" t="n"/>
    </row>
    <row r="267">
      <c r="A267" s="67" t="n"/>
      <c r="B267" s="82" t="n"/>
      <c r="C267" s="82" t="n"/>
      <c r="D267" s="82" t="n"/>
      <c r="E267" s="82" t="n"/>
      <c r="F267" s="83" t="n"/>
      <c r="G267" s="83" t="n"/>
      <c r="H267" s="82" t="n"/>
    </row>
    <row r="268">
      <c r="A268" s="67" t="n"/>
      <c r="B268" s="82" t="n"/>
      <c r="C268" s="82" t="n"/>
      <c r="D268" s="82" t="n"/>
      <c r="E268" s="82" t="n"/>
      <c r="F268" s="83" t="n"/>
      <c r="G268" s="83" t="n"/>
      <c r="H268" s="82" t="n"/>
    </row>
    <row r="269">
      <c r="A269" s="67" t="n"/>
      <c r="B269" s="82" t="n"/>
      <c r="C269" s="82" t="n"/>
      <c r="D269" s="82" t="n"/>
      <c r="E269" s="82" t="n"/>
      <c r="F269" s="83" t="n"/>
      <c r="G269" s="83" t="n"/>
      <c r="H269" s="82" t="n"/>
    </row>
    <row r="270">
      <c r="A270" s="67" t="n"/>
      <c r="B270" s="82" t="n"/>
      <c r="C270" s="82" t="n"/>
      <c r="D270" s="82" t="n"/>
      <c r="E270" s="82" t="n"/>
      <c r="F270" s="83" t="n"/>
      <c r="G270" s="83" t="n"/>
      <c r="H270" s="82" t="n"/>
    </row>
    <row r="271">
      <c r="A271" s="67" t="n"/>
      <c r="B271" s="82" t="n"/>
      <c r="C271" s="82" t="n"/>
      <c r="D271" s="82" t="n"/>
      <c r="E271" s="82" t="n"/>
      <c r="F271" s="83" t="n"/>
      <c r="G271" s="83" t="n"/>
      <c r="H271" s="82" t="n"/>
    </row>
    <row r="272">
      <c r="A272" s="67" t="n"/>
      <c r="B272" s="82" t="n"/>
      <c r="C272" s="82" t="n"/>
      <c r="D272" s="82" t="n"/>
      <c r="E272" s="82" t="n"/>
      <c r="F272" s="83" t="n"/>
      <c r="G272" s="83" t="n"/>
      <c r="H272" s="82" t="n"/>
    </row>
    <row r="273">
      <c r="A273" s="67" t="n"/>
      <c r="B273" s="82" t="n"/>
      <c r="C273" s="82" t="n"/>
      <c r="D273" s="82" t="n"/>
      <c r="E273" s="82" t="n"/>
      <c r="F273" s="83" t="n"/>
      <c r="G273" s="83" t="n"/>
      <c r="H273" s="82" t="n"/>
    </row>
    <row r="274">
      <c r="A274" s="67" t="n"/>
      <c r="B274" s="82" t="n"/>
      <c r="C274" s="82" t="n"/>
      <c r="D274" s="82" t="n"/>
      <c r="E274" s="82" t="n"/>
      <c r="F274" s="83" t="n"/>
      <c r="G274" s="83" t="n"/>
      <c r="H274" s="82" t="n"/>
    </row>
    <row r="275">
      <c r="A275" s="67" t="n"/>
      <c r="B275" s="82" t="n"/>
      <c r="C275" s="82" t="n"/>
      <c r="D275" s="82" t="n"/>
      <c r="E275" s="82" t="n"/>
      <c r="F275" s="83" t="n"/>
      <c r="G275" s="83" t="n"/>
      <c r="H275" s="82" t="n"/>
    </row>
    <row r="276">
      <c r="A276" s="67" t="n"/>
      <c r="B276" s="82" t="n"/>
      <c r="C276" s="82" t="n"/>
      <c r="D276" s="82" t="n"/>
      <c r="E276" s="82" t="n"/>
      <c r="F276" s="83" t="n"/>
      <c r="G276" s="83" t="n"/>
      <c r="H276" s="82" t="n"/>
    </row>
    <row r="277">
      <c r="A277" s="67" t="n"/>
      <c r="B277" s="82" t="n"/>
      <c r="C277" s="82" t="n"/>
      <c r="D277" s="82" t="n"/>
      <c r="E277" s="82" t="n"/>
      <c r="F277" s="83" t="n"/>
      <c r="G277" s="83" t="n"/>
      <c r="H277" s="82" t="n"/>
    </row>
    <row r="278">
      <c r="A278" s="67" t="n"/>
      <c r="B278" s="82" t="n"/>
      <c r="C278" s="82" t="n"/>
      <c r="D278" s="82" t="n"/>
      <c r="E278" s="82" t="n"/>
      <c r="F278" s="83" t="n"/>
      <c r="G278" s="83" t="n"/>
      <c r="H278" s="82" t="n"/>
    </row>
    <row r="279">
      <c r="A279" s="67" t="n"/>
      <c r="B279" s="82" t="n"/>
      <c r="C279" s="82" t="n"/>
      <c r="D279" s="82" t="n"/>
      <c r="E279" s="82" t="n"/>
      <c r="F279" s="83" t="n"/>
      <c r="G279" s="83" t="n"/>
      <c r="H279" s="82" t="n"/>
    </row>
    <row r="280">
      <c r="A280" s="67" t="n"/>
      <c r="B280" s="82" t="n"/>
      <c r="C280" s="82" t="n"/>
      <c r="D280" s="82" t="n"/>
      <c r="E280" s="82" t="n"/>
      <c r="F280" s="83" t="n"/>
      <c r="G280" s="83" t="n"/>
      <c r="H280" s="82" t="n"/>
    </row>
    <row r="281">
      <c r="A281" s="67" t="n"/>
      <c r="B281" s="82" t="n"/>
      <c r="C281" s="82" t="n"/>
      <c r="D281" s="82" t="n"/>
      <c r="E281" s="82" t="n"/>
      <c r="F281" s="83" t="n"/>
      <c r="G281" s="83" t="n"/>
      <c r="H281" s="82" t="n"/>
    </row>
    <row r="282">
      <c r="A282" s="67" t="n"/>
      <c r="B282" s="82" t="n"/>
      <c r="C282" s="82" t="n"/>
      <c r="D282" s="82" t="n"/>
      <c r="E282" s="82" t="n"/>
      <c r="F282" s="83" t="n"/>
      <c r="G282" s="83" t="n"/>
      <c r="H282" s="82" t="n"/>
    </row>
    <row r="283">
      <c r="A283" s="67" t="n"/>
      <c r="B283" s="82" t="n"/>
      <c r="C283" s="82" t="n"/>
      <c r="D283" s="82" t="n"/>
      <c r="E283" s="82" t="n"/>
      <c r="F283" s="83" t="n"/>
      <c r="G283" s="83" t="n"/>
      <c r="H283" s="82" t="n"/>
    </row>
    <row r="284">
      <c r="A284" s="67" t="n"/>
      <c r="B284" s="82" t="n"/>
      <c r="C284" s="82" t="n"/>
      <c r="D284" s="82" t="n"/>
      <c r="E284" s="82" t="n"/>
      <c r="F284" s="83" t="n"/>
      <c r="G284" s="83" t="n"/>
      <c r="H284" s="82" t="n"/>
    </row>
    <row r="285">
      <c r="A285" s="67" t="n"/>
      <c r="B285" s="82" t="n"/>
      <c r="C285" s="82" t="n"/>
      <c r="D285" s="82" t="n"/>
      <c r="E285" s="82" t="n"/>
      <c r="F285" s="83" t="n"/>
      <c r="G285" s="83" t="n"/>
      <c r="H285" s="82" t="n"/>
    </row>
    <row r="286">
      <c r="A286" s="67" t="n"/>
      <c r="B286" s="82" t="n"/>
      <c r="C286" s="82" t="n"/>
      <c r="D286" s="82" t="n"/>
      <c r="E286" s="82" t="n"/>
      <c r="F286" s="83" t="n"/>
      <c r="G286" s="83" t="n"/>
      <c r="H286" s="82" t="n"/>
    </row>
    <row r="287">
      <c r="A287" s="67" t="n"/>
      <c r="B287" s="82" t="n"/>
      <c r="C287" s="82" t="n"/>
      <c r="D287" s="82" t="n"/>
      <c r="E287" s="82" t="n"/>
      <c r="F287" s="83" t="n"/>
      <c r="G287" s="83" t="n"/>
      <c r="H287" s="82" t="n"/>
    </row>
    <row r="288">
      <c r="A288" s="67" t="n"/>
      <c r="B288" s="82" t="n"/>
      <c r="C288" s="82" t="n"/>
      <c r="D288" s="82" t="n"/>
      <c r="E288" s="82" t="n"/>
      <c r="F288" s="83" t="n"/>
      <c r="G288" s="83" t="n"/>
      <c r="H288" s="82" t="n"/>
    </row>
    <row r="289">
      <c r="A289" s="67" t="n"/>
      <c r="B289" s="82" t="n"/>
      <c r="C289" s="82" t="n"/>
      <c r="D289" s="82" t="n"/>
      <c r="E289" s="82" t="n"/>
      <c r="F289" s="83" t="n"/>
      <c r="G289" s="83" t="n"/>
      <c r="H289" s="82" t="n"/>
    </row>
    <row r="290">
      <c r="A290" s="67" t="n"/>
      <c r="B290" s="82" t="n"/>
      <c r="C290" s="82" t="n"/>
      <c r="D290" s="82" t="n"/>
      <c r="E290" s="82" t="n"/>
      <c r="F290" s="83" t="n"/>
      <c r="G290" s="83" t="n"/>
      <c r="H290" s="82" t="n"/>
    </row>
    <row r="291">
      <c r="A291" s="67" t="n"/>
      <c r="B291" s="82" t="n"/>
      <c r="C291" s="82" t="n"/>
      <c r="D291" s="82" t="n"/>
      <c r="E291" s="82" t="n"/>
      <c r="F291" s="83" t="n"/>
      <c r="G291" s="83" t="n"/>
      <c r="H291" s="82" t="n"/>
    </row>
    <row r="292">
      <c r="A292" s="67" t="n"/>
      <c r="B292" s="82" t="n"/>
      <c r="C292" s="82" t="n"/>
      <c r="D292" s="82" t="n"/>
      <c r="E292" s="82" t="n"/>
      <c r="F292" s="83" t="n"/>
      <c r="G292" s="83" t="n"/>
      <c r="H292" s="82" t="n"/>
    </row>
    <row r="293">
      <c r="A293" s="67" t="n"/>
      <c r="B293" s="82" t="n"/>
      <c r="C293" s="82" t="n"/>
      <c r="D293" s="82" t="n"/>
      <c r="E293" s="82" t="n"/>
      <c r="F293" s="83" t="n"/>
      <c r="G293" s="83" t="n"/>
      <c r="H293" s="82" t="n"/>
    </row>
    <row r="294">
      <c r="A294" s="67" t="n"/>
      <c r="B294" s="82" t="n"/>
      <c r="C294" s="82" t="n"/>
      <c r="D294" s="82" t="n"/>
      <c r="E294" s="82" t="n"/>
      <c r="F294" s="83" t="n"/>
      <c r="G294" s="83" t="n"/>
      <c r="H294" s="82" t="n"/>
    </row>
    <row r="295">
      <c r="A295" s="67" t="n"/>
      <c r="B295" s="82" t="n"/>
      <c r="C295" s="82" t="n"/>
      <c r="D295" s="82" t="n"/>
      <c r="E295" s="82" t="n"/>
      <c r="F295" s="83" t="n"/>
      <c r="G295" s="83" t="n"/>
      <c r="H295" s="82" t="n"/>
    </row>
    <row r="296">
      <c r="A296" s="67" t="n"/>
      <c r="B296" s="82" t="n"/>
      <c r="C296" s="82" t="n"/>
      <c r="D296" s="82" t="n"/>
      <c r="E296" s="82" t="n"/>
      <c r="F296" s="83" t="n"/>
      <c r="G296" s="83" t="n"/>
      <c r="H296" s="82" t="n"/>
    </row>
    <row r="297">
      <c r="A297" s="67" t="n"/>
      <c r="B297" s="82" t="n"/>
      <c r="C297" s="82" t="n"/>
      <c r="D297" s="82" t="n"/>
      <c r="E297" s="82" t="n"/>
      <c r="F297" s="83" t="n"/>
      <c r="G297" s="83" t="n"/>
      <c r="H297" s="82" t="n"/>
    </row>
    <row r="298">
      <c r="A298" s="67" t="n"/>
      <c r="B298" s="82" t="n"/>
      <c r="C298" s="82" t="n"/>
      <c r="D298" s="82" t="n"/>
      <c r="E298" s="82" t="n"/>
      <c r="F298" s="83" t="n"/>
      <c r="G298" s="83" t="n"/>
      <c r="H298" s="82" t="n"/>
    </row>
    <row r="299">
      <c r="A299" s="67" t="n"/>
      <c r="B299" s="82" t="n"/>
      <c r="C299" s="82" t="n"/>
      <c r="D299" s="82" t="n"/>
      <c r="E299" s="82" t="n"/>
      <c r="F299" s="83" t="n"/>
      <c r="G299" s="83" t="n"/>
      <c r="H299" s="82" t="n"/>
    </row>
    <row r="300">
      <c r="A300" s="67" t="n"/>
      <c r="B300" s="82" t="n"/>
      <c r="C300" s="82" t="n"/>
      <c r="D300" s="82" t="n"/>
      <c r="E300" s="82" t="n"/>
      <c r="F300" s="83" t="n"/>
      <c r="G300" s="83" t="n"/>
      <c r="H300" s="82" t="n"/>
    </row>
    <row r="301">
      <c r="A301" s="67" t="n"/>
      <c r="B301" s="82" t="n"/>
      <c r="C301" s="82" t="n"/>
      <c r="D301" s="82" t="n"/>
      <c r="E301" s="82" t="n"/>
      <c r="F301" s="83" t="n"/>
      <c r="G301" s="83" t="n"/>
      <c r="H301" s="82" t="n"/>
    </row>
    <row r="302">
      <c r="A302" s="67" t="n"/>
      <c r="B302" s="82" t="n"/>
      <c r="C302" s="82" t="n"/>
      <c r="D302" s="82" t="n"/>
      <c r="E302" s="82" t="n"/>
      <c r="F302" s="83" t="n"/>
      <c r="G302" s="83" t="n"/>
      <c r="H302" s="82" t="n"/>
    </row>
    <row r="303">
      <c r="A303" s="67" t="n"/>
      <c r="B303" s="82" t="n"/>
      <c r="C303" s="82" t="n"/>
      <c r="D303" s="82" t="n"/>
      <c r="E303" s="82" t="n"/>
      <c r="F303" s="83" t="n"/>
      <c r="G303" s="83" t="n"/>
      <c r="H303" s="82" t="n"/>
    </row>
    <row r="304">
      <c r="A304" s="67" t="n"/>
      <c r="B304" s="82" t="n"/>
      <c r="C304" s="82" t="n"/>
      <c r="D304" s="82" t="n"/>
      <c r="E304" s="82" t="n"/>
      <c r="F304" s="83" t="n"/>
      <c r="G304" s="83" t="n"/>
      <c r="H304" s="82" t="n"/>
    </row>
    <row r="305">
      <c r="A305" s="67" t="n"/>
      <c r="B305" s="82" t="n"/>
      <c r="C305" s="82" t="n"/>
      <c r="D305" s="82" t="n"/>
      <c r="E305" s="82" t="n"/>
      <c r="F305" s="83" t="n"/>
      <c r="G305" s="83" t="n"/>
      <c r="H305" s="82" t="n"/>
    </row>
    <row r="306">
      <c r="A306" s="67" t="n"/>
      <c r="B306" s="82" t="n"/>
      <c r="C306" s="82" t="n"/>
      <c r="D306" s="82" t="n"/>
      <c r="E306" s="82" t="n"/>
      <c r="F306" s="83" t="n"/>
      <c r="G306" s="83" t="n"/>
      <c r="H306" s="82" t="n"/>
    </row>
    <row r="307">
      <c r="A307" s="67" t="n"/>
      <c r="B307" s="82" t="n"/>
      <c r="C307" s="82" t="n"/>
      <c r="D307" s="82" t="n"/>
      <c r="E307" s="82" t="n"/>
      <c r="F307" s="83" t="n"/>
      <c r="G307" s="83" t="n"/>
      <c r="H307" s="82" t="n"/>
    </row>
    <row r="308">
      <c r="A308" s="67" t="n"/>
      <c r="B308" s="82" t="n"/>
      <c r="C308" s="82" t="n"/>
      <c r="D308" s="82" t="n"/>
      <c r="E308" s="82" t="n"/>
      <c r="F308" s="83" t="n"/>
      <c r="G308" s="83" t="n"/>
      <c r="H308" s="82" t="n"/>
    </row>
    <row r="309">
      <c r="A309" s="67" t="n"/>
      <c r="B309" s="82" t="n"/>
      <c r="C309" s="82" t="n"/>
      <c r="D309" s="82" t="n"/>
      <c r="E309" s="82" t="n"/>
      <c r="F309" s="83" t="n"/>
      <c r="G309" s="83" t="n"/>
      <c r="H309" s="82" t="n"/>
    </row>
    <row r="310">
      <c r="A310" s="67" t="n"/>
      <c r="B310" s="82" t="n"/>
      <c r="C310" s="82" t="n"/>
      <c r="D310" s="82" t="n"/>
      <c r="E310" s="82" t="n"/>
      <c r="F310" s="83" t="n"/>
      <c r="G310" s="83" t="n"/>
      <c r="H310" s="82" t="n"/>
    </row>
    <row r="311">
      <c r="A311" s="67" t="n"/>
      <c r="B311" s="82" t="n"/>
      <c r="C311" s="82" t="n"/>
      <c r="D311" s="82" t="n"/>
      <c r="E311" s="82" t="n"/>
      <c r="F311" s="83" t="n"/>
      <c r="G311" s="83" t="n"/>
      <c r="H311" s="82" t="n"/>
    </row>
    <row r="312">
      <c r="A312" s="67" t="n"/>
      <c r="B312" s="82" t="n"/>
      <c r="C312" s="82" t="n"/>
      <c r="D312" s="82" t="n"/>
      <c r="E312" s="82" t="n"/>
      <c r="F312" s="83" t="n"/>
      <c r="G312" s="83" t="n"/>
      <c r="H312" s="82" t="n"/>
    </row>
    <row r="313">
      <c r="A313" s="67" t="n"/>
      <c r="B313" s="82" t="n"/>
      <c r="C313" s="82" t="n"/>
      <c r="D313" s="82" t="n"/>
      <c r="E313" s="82" t="n"/>
      <c r="F313" s="83" t="n"/>
      <c r="G313" s="83" t="n"/>
      <c r="H313" s="82" t="n"/>
    </row>
    <row r="314">
      <c r="A314" s="67" t="n"/>
      <c r="B314" s="82" t="n"/>
      <c r="C314" s="82" t="n"/>
      <c r="D314" s="82" t="n"/>
      <c r="E314" s="82" t="n"/>
      <c r="F314" s="83" t="n"/>
      <c r="G314" s="83" t="n"/>
      <c r="H314" s="82" t="n"/>
    </row>
    <row r="315">
      <c r="A315" s="67" t="n"/>
      <c r="B315" s="82" t="n"/>
      <c r="C315" s="82" t="n"/>
      <c r="D315" s="82" t="n"/>
      <c r="E315" s="82" t="n"/>
      <c r="F315" s="83" t="n"/>
      <c r="G315" s="83" t="n"/>
      <c r="H315" s="82" t="n"/>
    </row>
    <row r="316">
      <c r="A316" s="67" t="n"/>
      <c r="B316" s="82" t="n"/>
      <c r="C316" s="82" t="n"/>
      <c r="D316" s="82" t="n"/>
      <c r="E316" s="82" t="n"/>
      <c r="F316" s="83" t="n"/>
      <c r="G316" s="83" t="n"/>
      <c r="H316" s="82" t="n"/>
    </row>
    <row r="317">
      <c r="A317" s="67" t="n"/>
      <c r="B317" s="82" t="n"/>
      <c r="C317" s="82" t="n"/>
      <c r="D317" s="82" t="n"/>
      <c r="E317" s="82" t="n"/>
      <c r="F317" s="83" t="n"/>
      <c r="G317" s="83" t="n"/>
      <c r="H317" s="82" t="n"/>
    </row>
    <row r="318">
      <c r="A318" s="67" t="n"/>
      <c r="B318" s="82" t="n"/>
      <c r="C318" s="82" t="n"/>
      <c r="D318" s="82" t="n"/>
      <c r="E318" s="82" t="n"/>
      <c r="F318" s="83" t="n"/>
      <c r="G318" s="83" t="n"/>
      <c r="H318" s="82" t="n"/>
    </row>
    <row r="319">
      <c r="A319" s="67" t="n"/>
      <c r="B319" s="82" t="n"/>
      <c r="C319" s="82" t="n"/>
      <c r="D319" s="82" t="n"/>
      <c r="E319" s="82" t="n"/>
      <c r="F319" s="83" t="n"/>
      <c r="G319" s="83" t="n"/>
      <c r="H319" s="82" t="n"/>
    </row>
    <row r="320">
      <c r="A320" s="67" t="n"/>
      <c r="B320" s="82" t="n"/>
      <c r="C320" s="82" t="n"/>
      <c r="D320" s="82" t="n"/>
      <c r="E320" s="82" t="n"/>
      <c r="F320" s="83" t="n"/>
      <c r="G320" s="83" t="n"/>
      <c r="H320" s="82" t="n"/>
    </row>
    <row r="321">
      <c r="A321" s="67" t="n"/>
      <c r="B321" s="82" t="n"/>
      <c r="C321" s="82" t="n"/>
      <c r="D321" s="82" t="n"/>
      <c r="E321" s="82" t="n"/>
      <c r="F321" s="83" t="n"/>
      <c r="G321" s="83" t="n"/>
      <c r="H321" s="82" t="n"/>
    </row>
    <row r="322">
      <c r="A322" s="67" t="n"/>
      <c r="B322" s="82" t="n"/>
      <c r="C322" s="82" t="n"/>
      <c r="D322" s="82" t="n"/>
      <c r="E322" s="82" t="n"/>
      <c r="F322" s="83" t="n"/>
      <c r="G322" s="83" t="n"/>
      <c r="H322" s="82" t="n"/>
    </row>
    <row r="323">
      <c r="A323" s="67" t="n"/>
      <c r="B323" s="82" t="n"/>
      <c r="C323" s="82" t="n"/>
      <c r="D323" s="82" t="n"/>
      <c r="E323" s="82" t="n"/>
      <c r="F323" s="83" t="n"/>
      <c r="G323" s="83" t="n"/>
      <c r="H323" s="82" t="n"/>
    </row>
    <row r="324">
      <c r="A324" s="67" t="n"/>
      <c r="B324" s="82" t="n"/>
      <c r="C324" s="82" t="n"/>
      <c r="D324" s="82" t="n"/>
      <c r="E324" s="82" t="n"/>
      <c r="F324" s="83" t="n"/>
      <c r="G324" s="83" t="n"/>
      <c r="H324" s="82" t="n"/>
    </row>
    <row r="325">
      <c r="A325" s="67" t="n"/>
      <c r="B325" s="82" t="n"/>
      <c r="C325" s="82" t="n"/>
      <c r="D325" s="82" t="n"/>
      <c r="E325" s="82" t="n"/>
      <c r="F325" s="83" t="n"/>
      <c r="G325" s="83" t="n"/>
      <c r="H325" s="82" t="n"/>
    </row>
    <row r="326">
      <c r="A326" s="67" t="n"/>
      <c r="B326" s="82" t="n"/>
      <c r="C326" s="82" t="n"/>
      <c r="D326" s="82" t="n"/>
      <c r="E326" s="82" t="n"/>
      <c r="F326" s="83" t="n"/>
      <c r="G326" s="83" t="n"/>
      <c r="H326" s="82" t="n"/>
    </row>
    <row r="327">
      <c r="A327" s="67" t="n"/>
      <c r="B327" s="82" t="n"/>
      <c r="C327" s="82" t="n"/>
      <c r="D327" s="82" t="n"/>
      <c r="E327" s="82" t="n"/>
      <c r="F327" s="83" t="n"/>
      <c r="G327" s="83" t="n"/>
      <c r="H327" s="82" t="n"/>
    </row>
    <row r="328">
      <c r="A328" s="67" t="n"/>
      <c r="B328" s="82" t="n"/>
      <c r="C328" s="82" t="n"/>
      <c r="D328" s="82" t="n"/>
      <c r="E328" s="82" t="n"/>
      <c r="F328" s="83" t="n"/>
      <c r="G328" s="83" t="n"/>
      <c r="H328" s="82" t="n"/>
    </row>
    <row r="329">
      <c r="A329" s="67" t="n"/>
      <c r="B329" s="82" t="n"/>
      <c r="C329" s="82" t="n"/>
      <c r="D329" s="82" t="n"/>
      <c r="E329" s="82" t="n"/>
      <c r="F329" s="83" t="n"/>
      <c r="G329" s="83" t="n"/>
      <c r="H329" s="82" t="n"/>
    </row>
    <row r="330">
      <c r="A330" s="67" t="n"/>
      <c r="B330" s="82" t="n"/>
      <c r="C330" s="82" t="n"/>
      <c r="D330" s="82" t="n"/>
      <c r="E330" s="82" t="n"/>
      <c r="F330" s="83" t="n"/>
      <c r="G330" s="83" t="n"/>
      <c r="H330" s="82" t="n"/>
    </row>
    <row r="331">
      <c r="A331" s="67" t="n"/>
      <c r="B331" s="82" t="n"/>
      <c r="C331" s="82" t="n"/>
      <c r="D331" s="82" t="n"/>
      <c r="E331" s="82" t="n"/>
      <c r="F331" s="83" t="n"/>
      <c r="G331" s="83" t="n"/>
      <c r="H331" s="82" t="n"/>
    </row>
    <row r="332">
      <c r="A332" s="67" t="n"/>
      <c r="B332" s="82" t="n"/>
      <c r="C332" s="82" t="n"/>
      <c r="D332" s="82" t="n"/>
      <c r="E332" s="82" t="n"/>
      <c r="F332" s="83" t="n"/>
      <c r="G332" s="83" t="n"/>
      <c r="H332" s="82" t="n"/>
    </row>
    <row r="333">
      <c r="A333" s="67" t="n"/>
      <c r="B333" s="82" t="n"/>
      <c r="C333" s="82" t="n"/>
      <c r="D333" s="82" t="n"/>
      <c r="E333" s="82" t="n"/>
      <c r="F333" s="83" t="n"/>
      <c r="G333" s="83" t="n"/>
      <c r="H333" s="82" t="n"/>
    </row>
    <row r="334">
      <c r="A334" s="67" t="n"/>
      <c r="B334" s="82" t="n"/>
      <c r="C334" s="82" t="n"/>
      <c r="D334" s="82" t="n"/>
      <c r="E334" s="82" t="n"/>
      <c r="F334" s="83" t="n"/>
      <c r="G334" s="83" t="n"/>
      <c r="H334" s="82" t="n"/>
    </row>
    <row r="335">
      <c r="A335" s="67" t="n"/>
      <c r="B335" s="82" t="n"/>
      <c r="C335" s="82" t="n"/>
      <c r="D335" s="82" t="n"/>
      <c r="E335" s="82" t="n"/>
      <c r="F335" s="83" t="n"/>
      <c r="G335" s="83" t="n"/>
      <c r="H335" s="82" t="n"/>
    </row>
    <row r="336">
      <c r="A336" s="67" t="n"/>
      <c r="B336" s="82" t="n"/>
      <c r="C336" s="82" t="n"/>
      <c r="D336" s="82" t="n"/>
      <c r="E336" s="82" t="n"/>
      <c r="F336" s="83" t="n"/>
      <c r="G336" s="83" t="n"/>
      <c r="H336" s="82" t="n"/>
    </row>
    <row r="337">
      <c r="A337" s="67" t="n"/>
      <c r="B337" s="82" t="n"/>
      <c r="C337" s="82" t="n"/>
      <c r="D337" s="82" t="n"/>
      <c r="E337" s="82" t="n"/>
      <c r="F337" s="83" t="n"/>
      <c r="G337" s="83" t="n"/>
      <c r="H337" s="82" t="n"/>
    </row>
    <row r="338">
      <c r="A338" s="67" t="n"/>
      <c r="B338" s="82" t="n"/>
      <c r="C338" s="82" t="n"/>
      <c r="D338" s="82" t="n"/>
      <c r="E338" s="82" t="n"/>
      <c r="F338" s="83" t="n"/>
      <c r="G338" s="83" t="n"/>
      <c r="H338" s="82" t="n"/>
    </row>
    <row r="339">
      <c r="A339" s="67" t="n"/>
      <c r="B339" s="82" t="n"/>
      <c r="C339" s="82" t="n"/>
      <c r="D339" s="82" t="n"/>
      <c r="E339" s="82" t="n"/>
      <c r="F339" s="83" t="n"/>
      <c r="G339" s="83" t="n"/>
      <c r="H339" s="82" t="n"/>
    </row>
    <row r="340">
      <c r="A340" s="67" t="n"/>
      <c r="B340" s="82" t="n"/>
      <c r="C340" s="82" t="n"/>
      <c r="D340" s="82" t="n"/>
      <c r="E340" s="82" t="n"/>
      <c r="F340" s="83" t="n"/>
      <c r="G340" s="83" t="n"/>
      <c r="H340" s="82" t="n"/>
    </row>
    <row r="341">
      <c r="A341" s="67" t="n"/>
      <c r="B341" s="82" t="n"/>
      <c r="C341" s="82" t="n"/>
      <c r="D341" s="82" t="n"/>
      <c r="E341" s="82" t="n"/>
      <c r="F341" s="83" t="n"/>
      <c r="G341" s="83" t="n"/>
      <c r="H341" s="82" t="n"/>
    </row>
    <row r="342">
      <c r="A342" s="67" t="n"/>
      <c r="B342" s="82" t="n"/>
      <c r="C342" s="82" t="n"/>
      <c r="D342" s="82" t="n"/>
      <c r="E342" s="82" t="n"/>
      <c r="F342" s="83" t="n"/>
      <c r="G342" s="83" t="n"/>
      <c r="H342" s="82" t="n"/>
    </row>
    <row r="343">
      <c r="A343" s="67" t="n"/>
      <c r="B343" s="82" t="n"/>
      <c r="C343" s="82" t="n"/>
      <c r="D343" s="82" t="n"/>
      <c r="E343" s="82" t="n"/>
      <c r="F343" s="83" t="n"/>
      <c r="G343" s="83" t="n"/>
      <c r="H343" s="82" t="n"/>
    </row>
    <row r="344">
      <c r="A344" s="67" t="n"/>
      <c r="B344" s="82" t="n"/>
      <c r="C344" s="82" t="n"/>
      <c r="D344" s="82" t="n"/>
      <c r="E344" s="82" t="n"/>
      <c r="F344" s="83" t="n"/>
      <c r="G344" s="83" t="n"/>
      <c r="H344" s="82" t="n"/>
    </row>
    <row r="345">
      <c r="A345" s="67" t="n"/>
      <c r="B345" s="82" t="n"/>
      <c r="C345" s="82" t="n"/>
      <c r="D345" s="82" t="n"/>
      <c r="E345" s="82" t="n"/>
      <c r="F345" s="83" t="n"/>
      <c r="G345" s="83" t="n"/>
      <c r="H345" s="82" t="n"/>
    </row>
    <row r="346">
      <c r="A346" s="67" t="n"/>
      <c r="B346" s="82" t="n"/>
      <c r="C346" s="82" t="n"/>
      <c r="D346" s="82" t="n"/>
      <c r="E346" s="82" t="n"/>
      <c r="F346" s="83" t="n"/>
      <c r="G346" s="83" t="n"/>
      <c r="H346" s="82" t="n"/>
    </row>
    <row r="347">
      <c r="A347" s="67" t="n"/>
      <c r="B347" s="82" t="n"/>
      <c r="C347" s="82" t="n"/>
      <c r="D347" s="82" t="n"/>
      <c r="E347" s="82" t="n"/>
      <c r="F347" s="83" t="n"/>
      <c r="G347" s="83" t="n"/>
      <c r="H347" s="82" t="n"/>
    </row>
    <row r="348">
      <c r="A348" s="67" t="n"/>
      <c r="B348" s="82" t="n"/>
      <c r="C348" s="82" t="n"/>
      <c r="D348" s="82" t="n"/>
      <c r="E348" s="82" t="n"/>
      <c r="F348" s="83" t="n"/>
      <c r="G348" s="83" t="n"/>
      <c r="H348" s="82" t="n"/>
    </row>
    <row r="349">
      <c r="A349" s="67" t="n"/>
      <c r="B349" s="82" t="n"/>
      <c r="C349" s="82" t="n"/>
      <c r="D349" s="82" t="n"/>
      <c r="E349" s="82" t="n"/>
      <c r="F349" s="83" t="n"/>
      <c r="G349" s="83" t="n"/>
      <c r="H349" s="82" t="n"/>
    </row>
    <row r="350">
      <c r="A350" s="67" t="n"/>
      <c r="B350" s="82" t="n"/>
      <c r="C350" s="82" t="n"/>
      <c r="D350" s="82" t="n"/>
      <c r="E350" s="82" t="n"/>
      <c r="F350" s="83" t="n"/>
      <c r="G350" s="83" t="n"/>
      <c r="H350" s="82" t="n"/>
    </row>
    <row r="351">
      <c r="A351" s="67" t="n"/>
      <c r="B351" s="82" t="n"/>
      <c r="C351" s="82" t="n"/>
      <c r="D351" s="82" t="n"/>
      <c r="E351" s="82" t="n"/>
      <c r="F351" s="83" t="n"/>
      <c r="G351" s="83" t="n"/>
      <c r="H351" s="82" t="n"/>
    </row>
    <row r="352">
      <c r="A352" s="67" t="n"/>
      <c r="B352" s="82" t="n"/>
      <c r="C352" s="82" t="n"/>
      <c r="D352" s="82" t="n"/>
      <c r="E352" s="82" t="n"/>
      <c r="F352" s="83" t="n"/>
      <c r="G352" s="83" t="n"/>
      <c r="H352" s="82" t="n"/>
    </row>
    <row r="353">
      <c r="A353" s="67" t="n"/>
      <c r="B353" s="82" t="n"/>
      <c r="C353" s="82" t="n"/>
      <c r="D353" s="82" t="n"/>
      <c r="E353" s="82" t="n"/>
      <c r="F353" s="83" t="n"/>
      <c r="G353" s="83" t="n"/>
      <c r="H353" s="82" t="n"/>
    </row>
    <row r="354">
      <c r="A354" s="67" t="n"/>
      <c r="B354" s="82" t="n"/>
      <c r="C354" s="82" t="n"/>
      <c r="D354" s="82" t="n"/>
      <c r="E354" s="82" t="n"/>
      <c r="F354" s="83" t="n"/>
      <c r="G354" s="83" t="n"/>
      <c r="H354" s="82" t="n"/>
    </row>
    <row r="355">
      <c r="A355" s="67" t="n"/>
      <c r="B355" s="82" t="n"/>
      <c r="C355" s="82" t="n"/>
      <c r="D355" s="82" t="n"/>
      <c r="E355" s="82" t="n"/>
      <c r="F355" s="83" t="n"/>
      <c r="G355" s="83" t="n"/>
      <c r="H355" s="82" t="n"/>
    </row>
    <row r="356">
      <c r="A356" s="67" t="n"/>
      <c r="B356" s="82" t="n"/>
      <c r="C356" s="82" t="n"/>
      <c r="D356" s="82" t="n"/>
      <c r="E356" s="82" t="n"/>
      <c r="F356" s="83" t="n"/>
      <c r="G356" s="83" t="n"/>
      <c r="H356" s="82" t="n"/>
    </row>
    <row r="357">
      <c r="A357" s="67" t="n"/>
      <c r="B357" s="82" t="n"/>
      <c r="C357" s="82" t="n"/>
      <c r="D357" s="82" t="n"/>
      <c r="E357" s="82" t="n"/>
      <c r="F357" s="83" t="n"/>
      <c r="G357" s="83" t="n"/>
      <c r="H357" s="82" t="n"/>
    </row>
    <row r="358">
      <c r="A358" s="67" t="n"/>
      <c r="B358" s="82" t="n"/>
      <c r="C358" s="82" t="n"/>
      <c r="D358" s="82" t="n"/>
      <c r="E358" s="82" t="n"/>
      <c r="F358" s="83" t="n"/>
      <c r="G358" s="83" t="n"/>
      <c r="H358" s="82" t="n"/>
    </row>
    <row r="359">
      <c r="A359" s="67" t="n"/>
      <c r="B359" s="82" t="n"/>
      <c r="C359" s="82" t="n"/>
      <c r="D359" s="82" t="n"/>
      <c r="E359" s="82" t="n"/>
      <c r="F359" s="83" t="n"/>
      <c r="G359" s="83" t="n"/>
      <c r="H359" s="82" t="n"/>
    </row>
    <row r="360">
      <c r="A360" s="67" t="n"/>
      <c r="B360" s="82" t="n"/>
      <c r="C360" s="82" t="n"/>
      <c r="D360" s="82" t="n"/>
      <c r="E360" s="82" t="n"/>
      <c r="F360" s="83" t="n"/>
      <c r="G360" s="83" t="n"/>
      <c r="H360" s="82" t="n"/>
    </row>
    <row r="361">
      <c r="A361" s="67" t="n"/>
      <c r="B361" s="82" t="n"/>
      <c r="C361" s="82" t="n"/>
      <c r="D361" s="82" t="n"/>
      <c r="E361" s="82" t="n"/>
      <c r="F361" s="83" t="n"/>
      <c r="G361" s="83" t="n"/>
      <c r="H361" s="82" t="n"/>
    </row>
    <row r="362">
      <c r="A362" s="67" t="n"/>
      <c r="B362" s="82" t="n"/>
      <c r="C362" s="82" t="n"/>
      <c r="D362" s="82" t="n"/>
      <c r="E362" s="82" t="n"/>
      <c r="F362" s="83" t="n"/>
      <c r="G362" s="83" t="n"/>
      <c r="H362" s="82" t="n"/>
    </row>
    <row r="363">
      <c r="A363" s="67" t="n"/>
      <c r="B363" s="82" t="n"/>
      <c r="C363" s="82" t="n"/>
      <c r="D363" s="82" t="n"/>
      <c r="E363" s="82" t="n"/>
      <c r="F363" s="83" t="n"/>
      <c r="G363" s="83" t="n"/>
      <c r="H363" s="82" t="n"/>
    </row>
    <row r="364">
      <c r="A364" s="67" t="n"/>
      <c r="B364" s="82" t="n"/>
      <c r="C364" s="82" t="n"/>
      <c r="D364" s="82" t="n"/>
      <c r="E364" s="82" t="n"/>
      <c r="F364" s="83" t="n"/>
      <c r="G364" s="83" t="n"/>
      <c r="H364" s="82" t="n"/>
    </row>
    <row r="365">
      <c r="A365" s="67" t="n"/>
      <c r="B365" s="82" t="n"/>
      <c r="C365" s="82" t="n"/>
      <c r="D365" s="82" t="n"/>
      <c r="E365" s="82" t="n"/>
      <c r="F365" s="83" t="n"/>
      <c r="G365" s="83" t="n"/>
      <c r="H365" s="82" t="n"/>
    </row>
    <row r="366">
      <c r="A366" s="67" t="n"/>
      <c r="B366" s="82" t="n"/>
      <c r="C366" s="82" t="n"/>
      <c r="D366" s="82" t="n"/>
      <c r="E366" s="82" t="n"/>
      <c r="F366" s="83" t="n"/>
      <c r="G366" s="83" t="n"/>
      <c r="H366" s="82" t="n"/>
    </row>
    <row r="367">
      <c r="A367" s="67" t="n"/>
      <c r="B367" s="82" t="n"/>
      <c r="C367" s="82" t="n"/>
      <c r="D367" s="82" t="n"/>
      <c r="E367" s="82" t="n"/>
      <c r="F367" s="83" t="n"/>
      <c r="G367" s="83" t="n"/>
      <c r="H367" s="82" t="n"/>
    </row>
    <row r="368">
      <c r="A368" s="67" t="n"/>
      <c r="B368" s="82" t="n"/>
      <c r="C368" s="82" t="n"/>
      <c r="D368" s="82" t="n"/>
      <c r="E368" s="82" t="n"/>
      <c r="F368" s="83" t="n"/>
      <c r="G368" s="83" t="n"/>
      <c r="H368" s="82" t="n"/>
    </row>
    <row r="369">
      <c r="A369" s="67" t="n"/>
      <c r="B369" s="82" t="n"/>
      <c r="C369" s="82" t="n"/>
      <c r="D369" s="82" t="n"/>
      <c r="E369" s="82" t="n"/>
      <c r="F369" s="83" t="n"/>
      <c r="G369" s="83" t="n"/>
      <c r="H369" s="82" t="n"/>
    </row>
    <row r="370">
      <c r="A370" s="67" t="n"/>
      <c r="B370" s="82" t="n"/>
      <c r="C370" s="82" t="n"/>
      <c r="D370" s="82" t="n"/>
      <c r="E370" s="82" t="n"/>
      <c r="F370" s="83" t="n"/>
      <c r="G370" s="83" t="n"/>
      <c r="H370" s="82" t="n"/>
    </row>
    <row r="371">
      <c r="A371" s="67" t="n"/>
      <c r="B371" s="82" t="n"/>
      <c r="C371" s="82" t="n"/>
      <c r="D371" s="82" t="n"/>
      <c r="E371" s="82" t="n"/>
      <c r="F371" s="83" t="n"/>
      <c r="G371" s="83" t="n"/>
      <c r="H371" s="82" t="n"/>
    </row>
    <row r="372">
      <c r="A372" s="67" t="n"/>
      <c r="B372" s="82" t="n"/>
      <c r="C372" s="82" t="n"/>
      <c r="D372" s="82" t="n"/>
      <c r="E372" s="82" t="n"/>
      <c r="F372" s="83" t="n"/>
      <c r="G372" s="83" t="n"/>
      <c r="H372" s="82" t="n"/>
    </row>
    <row r="373">
      <c r="A373" s="67" t="n"/>
      <c r="B373" s="82" t="n"/>
      <c r="C373" s="82" t="n"/>
      <c r="D373" s="82" t="n"/>
      <c r="E373" s="82" t="n"/>
      <c r="F373" s="83" t="n"/>
      <c r="G373" s="83" t="n"/>
      <c r="H373" s="82" t="n"/>
    </row>
    <row r="374">
      <c r="A374" s="67" t="n"/>
      <c r="B374" s="82" t="n"/>
      <c r="C374" s="82" t="n"/>
      <c r="D374" s="82" t="n"/>
      <c r="E374" s="82" t="n"/>
      <c r="F374" s="83" t="n"/>
      <c r="G374" s="83" t="n"/>
      <c r="H374" s="82" t="n"/>
    </row>
    <row r="375">
      <c r="A375" s="67" t="n"/>
      <c r="B375" s="82" t="n"/>
      <c r="C375" s="82" t="n"/>
      <c r="D375" s="82" t="n"/>
      <c r="E375" s="82" t="n"/>
      <c r="F375" s="83" t="n"/>
      <c r="G375" s="83" t="n"/>
      <c r="H375" s="82" t="n"/>
    </row>
    <row r="376">
      <c r="A376" s="67" t="n"/>
      <c r="B376" s="82" t="n"/>
      <c r="C376" s="82" t="n"/>
      <c r="D376" s="82" t="n"/>
      <c r="E376" s="82" t="n"/>
      <c r="F376" s="83" t="n"/>
      <c r="G376" s="83" t="n"/>
      <c r="H376" s="82" t="n"/>
    </row>
    <row r="377">
      <c r="A377" s="67" t="n"/>
      <c r="B377" s="82" t="n"/>
      <c r="C377" s="82" t="n"/>
      <c r="D377" s="82" t="n"/>
      <c r="E377" s="82" t="n"/>
      <c r="F377" s="83" t="n"/>
      <c r="G377" s="83" t="n"/>
      <c r="H377" s="82" t="n"/>
    </row>
    <row r="378">
      <c r="A378" s="67" t="n"/>
      <c r="B378" s="82" t="n"/>
      <c r="C378" s="82" t="n"/>
      <c r="D378" s="82" t="n"/>
      <c r="E378" s="82" t="n"/>
      <c r="F378" s="83" t="n"/>
      <c r="G378" s="83" t="n"/>
      <c r="H378" s="82" t="n"/>
    </row>
    <row r="379">
      <c r="A379" s="67" t="n"/>
      <c r="B379" s="82" t="n"/>
      <c r="C379" s="82" t="n"/>
      <c r="D379" s="82" t="n"/>
      <c r="E379" s="82" t="n"/>
      <c r="F379" s="83" t="n"/>
      <c r="G379" s="83" t="n"/>
      <c r="H379" s="82" t="n"/>
    </row>
    <row r="380">
      <c r="A380" s="67" t="n"/>
      <c r="B380" s="82" t="n"/>
      <c r="C380" s="82" t="n"/>
      <c r="D380" s="82" t="n"/>
      <c r="E380" s="82" t="n"/>
      <c r="F380" s="83" t="n"/>
      <c r="G380" s="83" t="n"/>
      <c r="H380" s="82" t="n"/>
    </row>
    <row r="381">
      <c r="A381" s="67" t="n"/>
      <c r="B381" s="82" t="n"/>
      <c r="C381" s="82" t="n"/>
      <c r="D381" s="82" t="n"/>
      <c r="E381" s="82" t="n"/>
      <c r="F381" s="83" t="n"/>
      <c r="G381" s="83" t="n"/>
      <c r="H381" s="82" t="n"/>
    </row>
    <row r="382">
      <c r="A382" s="67" t="n"/>
      <c r="B382" s="82" t="n"/>
      <c r="C382" s="82" t="n"/>
      <c r="D382" s="82" t="n"/>
      <c r="E382" s="82" t="n"/>
      <c r="F382" s="83" t="n"/>
      <c r="G382" s="83" t="n"/>
      <c r="H382" s="82" t="n"/>
    </row>
    <row r="383">
      <c r="A383" s="67" t="n"/>
      <c r="B383" s="82" t="n"/>
      <c r="C383" s="82" t="n"/>
      <c r="D383" s="82" t="n"/>
      <c r="E383" s="82" t="n"/>
      <c r="F383" s="83" t="n"/>
      <c r="G383" s="83" t="n"/>
      <c r="H383" s="82" t="n"/>
    </row>
    <row r="384">
      <c r="A384" s="67" t="n"/>
      <c r="B384" s="82" t="n"/>
      <c r="C384" s="82" t="n"/>
      <c r="D384" s="82" t="n"/>
      <c r="E384" s="82" t="n"/>
      <c r="F384" s="83" t="n"/>
      <c r="G384" s="83" t="n"/>
      <c r="H384" s="82" t="n"/>
    </row>
    <row r="385">
      <c r="A385" s="67" t="n"/>
      <c r="B385" s="82" t="n"/>
      <c r="C385" s="82" t="n"/>
      <c r="D385" s="82" t="n"/>
      <c r="E385" s="82" t="n"/>
      <c r="F385" s="83" t="n"/>
      <c r="G385" s="83" t="n"/>
      <c r="H385" s="82" t="n"/>
    </row>
    <row r="386">
      <c r="A386" s="67" t="n"/>
      <c r="B386" s="82" t="n"/>
      <c r="C386" s="82" t="n"/>
      <c r="D386" s="82" t="n"/>
      <c r="E386" s="82" t="n"/>
      <c r="F386" s="83" t="n"/>
      <c r="G386" s="83" t="n"/>
      <c r="H386" s="82" t="n"/>
    </row>
    <row r="387">
      <c r="A387" s="67" t="n"/>
      <c r="B387" s="82" t="n"/>
      <c r="C387" s="82" t="n"/>
      <c r="D387" s="82" t="n"/>
      <c r="E387" s="82" t="n"/>
      <c r="F387" s="83" t="n"/>
      <c r="G387" s="83" t="n"/>
      <c r="H387" s="82" t="n"/>
    </row>
    <row r="388">
      <c r="A388" s="67" t="n"/>
      <c r="B388" s="82" t="n"/>
      <c r="C388" s="82" t="n"/>
      <c r="D388" s="82" t="n"/>
      <c r="E388" s="82" t="n"/>
      <c r="F388" s="83" t="n"/>
      <c r="G388" s="83" t="n"/>
      <c r="H388" s="82" t="n"/>
    </row>
    <row r="389">
      <c r="A389" s="67" t="n"/>
      <c r="B389" s="82" t="n"/>
      <c r="C389" s="82" t="n"/>
      <c r="D389" s="82" t="n"/>
      <c r="E389" s="82" t="n"/>
      <c r="F389" s="83" t="n"/>
      <c r="G389" s="83" t="n"/>
      <c r="H389" s="82" t="n"/>
    </row>
    <row r="390">
      <c r="A390" s="67" t="n"/>
      <c r="B390" s="82" t="n"/>
      <c r="C390" s="82" t="n"/>
      <c r="D390" s="82" t="n"/>
      <c r="E390" s="82" t="n"/>
      <c r="F390" s="83" t="n"/>
      <c r="G390" s="83" t="n"/>
      <c r="H390" s="82" t="n"/>
    </row>
    <row r="391">
      <c r="A391" s="67" t="n"/>
      <c r="B391" s="82" t="n"/>
      <c r="C391" s="82" t="n"/>
      <c r="D391" s="82" t="n"/>
      <c r="E391" s="82" t="n"/>
      <c r="F391" s="83" t="n"/>
      <c r="G391" s="83" t="n"/>
      <c r="H391" s="82" t="n"/>
    </row>
    <row r="392">
      <c r="A392" s="67" t="n"/>
      <c r="B392" s="82" t="n"/>
      <c r="C392" s="82" t="n"/>
      <c r="D392" s="82" t="n"/>
      <c r="E392" s="82" t="n"/>
      <c r="F392" s="83" t="n"/>
      <c r="G392" s="83" t="n"/>
      <c r="H392" s="82" t="n"/>
    </row>
    <row r="393">
      <c r="A393" s="67" t="n"/>
      <c r="B393" s="82" t="n"/>
      <c r="C393" s="82" t="n"/>
      <c r="D393" s="82" t="n"/>
      <c r="E393" s="82" t="n"/>
      <c r="F393" s="83" t="n"/>
      <c r="G393" s="83" t="n"/>
      <c r="H393" s="82" t="n"/>
    </row>
    <row r="394">
      <c r="A394" s="67" t="n"/>
      <c r="B394" s="82" t="n"/>
      <c r="C394" s="82" t="n"/>
      <c r="D394" s="82" t="n"/>
      <c r="E394" s="82" t="n"/>
      <c r="F394" s="83" t="n"/>
      <c r="G394" s="83" t="n"/>
      <c r="H394" s="82" t="n"/>
    </row>
    <row r="395">
      <c r="A395" s="67" t="n"/>
      <c r="B395" s="82" t="n"/>
      <c r="C395" s="82" t="n"/>
      <c r="D395" s="82" t="n"/>
      <c r="E395" s="82" t="n"/>
      <c r="F395" s="83" t="n"/>
      <c r="G395" s="83" t="n"/>
      <c r="H395" s="82" t="n"/>
    </row>
    <row r="396">
      <c r="A396" s="67" t="n"/>
      <c r="B396" s="82" t="n"/>
      <c r="C396" s="82" t="n"/>
      <c r="D396" s="82" t="n"/>
      <c r="E396" s="82" t="n"/>
      <c r="F396" s="83" t="n"/>
      <c r="G396" s="83" t="n"/>
      <c r="H396" s="82" t="n"/>
    </row>
    <row r="397">
      <c r="A397" s="67" t="n"/>
      <c r="B397" s="82" t="n"/>
      <c r="C397" s="82" t="n"/>
      <c r="D397" s="82" t="n"/>
      <c r="E397" s="82" t="n"/>
      <c r="F397" s="83" t="n"/>
      <c r="G397" s="83" t="n"/>
      <c r="H397" s="82" t="n"/>
    </row>
    <row r="398">
      <c r="A398" s="67" t="n"/>
      <c r="B398" s="82" t="n"/>
      <c r="C398" s="82" t="n"/>
      <c r="D398" s="82" t="n"/>
      <c r="E398" s="82" t="n"/>
      <c r="F398" s="83" t="n"/>
      <c r="G398" s="83" t="n"/>
      <c r="H398" s="82" t="n"/>
    </row>
    <row r="399">
      <c r="A399" s="67" t="n"/>
      <c r="B399" s="82" t="n"/>
      <c r="C399" s="82" t="n"/>
      <c r="D399" s="82" t="n"/>
      <c r="E399" s="82" t="n"/>
      <c r="F399" s="83" t="n"/>
      <c r="G399" s="83" t="n"/>
      <c r="H399" s="82" t="n"/>
    </row>
    <row r="400">
      <c r="A400" s="67" t="n"/>
      <c r="B400" s="82" t="n"/>
      <c r="C400" s="82" t="n"/>
      <c r="D400" s="82" t="n"/>
      <c r="E400" s="82" t="n"/>
      <c r="F400" s="83" t="n"/>
      <c r="G400" s="83" t="n"/>
      <c r="H400" s="82" t="n"/>
    </row>
    <row r="401">
      <c r="A401" s="67" t="n"/>
      <c r="B401" s="82" t="n"/>
      <c r="C401" s="82" t="n"/>
      <c r="D401" s="82" t="n"/>
      <c r="E401" s="82" t="n"/>
      <c r="F401" s="83" t="n"/>
      <c r="G401" s="83" t="n"/>
      <c r="H401" s="82" t="n"/>
    </row>
    <row r="402">
      <c r="A402" s="67" t="n"/>
      <c r="B402" s="82" t="n"/>
      <c r="C402" s="82" t="n"/>
      <c r="D402" s="82" t="n"/>
      <c r="E402" s="82" t="n"/>
      <c r="F402" s="83" t="n"/>
      <c r="G402" s="83" t="n"/>
      <c r="H402" s="82" t="n"/>
    </row>
    <row r="403">
      <c r="A403" s="67" t="n"/>
      <c r="B403" s="82" t="n"/>
      <c r="C403" s="82" t="n"/>
      <c r="D403" s="82" t="n"/>
      <c r="E403" s="82" t="n"/>
      <c r="F403" s="83" t="n"/>
      <c r="G403" s="83" t="n"/>
      <c r="H403" s="82" t="n"/>
    </row>
    <row r="404">
      <c r="A404" s="67" t="n"/>
      <c r="B404" s="82" t="n"/>
      <c r="C404" s="82" t="n"/>
      <c r="D404" s="82" t="n"/>
      <c r="E404" s="82" t="n"/>
      <c r="F404" s="83" t="n"/>
      <c r="G404" s="83" t="n"/>
      <c r="H404" s="82" t="n"/>
    </row>
    <row r="405">
      <c r="A405" s="67" t="n"/>
      <c r="B405" s="82" t="n"/>
      <c r="C405" s="82" t="n"/>
      <c r="D405" s="82" t="n"/>
      <c r="E405" s="82" t="n"/>
      <c r="F405" s="83" t="n"/>
      <c r="G405" s="83" t="n"/>
      <c r="H405" s="82" t="n"/>
    </row>
    <row r="406">
      <c r="A406" s="67" t="n"/>
      <c r="B406" s="82" t="n"/>
      <c r="C406" s="82" t="n"/>
      <c r="D406" s="82" t="n"/>
      <c r="E406" s="82" t="n"/>
      <c r="F406" s="83" t="n"/>
      <c r="G406" s="83" t="n"/>
      <c r="H406" s="82" t="n"/>
    </row>
    <row r="407">
      <c r="A407" s="67" t="n"/>
      <c r="B407" s="82" t="n"/>
      <c r="C407" s="82" t="n"/>
      <c r="D407" s="82" t="n"/>
      <c r="E407" s="82" t="n"/>
      <c r="F407" s="83" t="n"/>
      <c r="G407" s="83" t="n"/>
      <c r="H407" s="82" t="n"/>
    </row>
    <row r="408">
      <c r="A408" s="67" t="n"/>
      <c r="B408" s="82" t="n"/>
      <c r="C408" s="82" t="n"/>
      <c r="D408" s="82" t="n"/>
      <c r="E408" s="82" t="n"/>
      <c r="F408" s="83" t="n"/>
      <c r="G408" s="83" t="n"/>
      <c r="H408" s="82" t="n"/>
    </row>
    <row r="409">
      <c r="A409" s="67" t="n"/>
      <c r="B409" s="82" t="n"/>
      <c r="C409" s="82" t="n"/>
      <c r="D409" s="82" t="n"/>
      <c r="E409" s="82" t="n"/>
      <c r="F409" s="83" t="n"/>
      <c r="G409" s="83" t="n"/>
      <c r="H409" s="82" t="n"/>
    </row>
    <row r="410">
      <c r="A410" s="67" t="n"/>
      <c r="B410" s="82" t="n"/>
      <c r="C410" s="82" t="n"/>
      <c r="D410" s="82" t="n"/>
      <c r="E410" s="82" t="n"/>
      <c r="F410" s="83" t="n"/>
      <c r="G410" s="83" t="n"/>
      <c r="H410" s="82" t="n"/>
    </row>
    <row r="411">
      <c r="A411" s="67" t="n"/>
      <c r="B411" s="82" t="n"/>
      <c r="C411" s="82" t="n"/>
      <c r="D411" s="82" t="n"/>
      <c r="E411" s="82" t="n"/>
      <c r="F411" s="83" t="n"/>
      <c r="G411" s="83" t="n"/>
      <c r="H411" s="82" t="n"/>
    </row>
    <row r="412">
      <c r="A412" s="67" t="n"/>
      <c r="B412" s="82" t="n"/>
      <c r="C412" s="82" t="n"/>
      <c r="D412" s="82" t="n"/>
      <c r="E412" s="82" t="n"/>
      <c r="F412" s="83" t="n"/>
      <c r="G412" s="83" t="n"/>
      <c r="H412" s="82" t="n"/>
    </row>
    <row r="413">
      <c r="A413" s="67" t="n"/>
      <c r="B413" s="82" t="n"/>
      <c r="C413" s="82" t="n"/>
      <c r="D413" s="82" t="n"/>
      <c r="E413" s="82" t="n"/>
      <c r="F413" s="83" t="n"/>
      <c r="G413" s="83" t="n"/>
      <c r="H413" s="82" t="n"/>
    </row>
    <row r="414">
      <c r="A414" s="67" t="n"/>
      <c r="B414" s="82" t="n"/>
      <c r="C414" s="82" t="n"/>
      <c r="D414" s="82" t="n"/>
      <c r="E414" s="82" t="n"/>
      <c r="F414" s="83" t="n"/>
      <c r="G414" s="83" t="n"/>
      <c r="H414" s="82" t="n"/>
    </row>
    <row r="415">
      <c r="A415" s="67" t="n"/>
      <c r="B415" s="82" t="n"/>
      <c r="C415" s="82" t="n"/>
      <c r="D415" s="82" t="n"/>
      <c r="E415" s="82" t="n"/>
      <c r="F415" s="83" t="n"/>
      <c r="G415" s="83" t="n"/>
      <c r="H415" s="82" t="n"/>
    </row>
    <row r="416">
      <c r="A416" s="67" t="n"/>
      <c r="B416" s="82" t="n"/>
      <c r="C416" s="82" t="n"/>
      <c r="D416" s="82" t="n"/>
      <c r="E416" s="82" t="n"/>
      <c r="F416" s="83" t="n"/>
      <c r="G416" s="83" t="n"/>
      <c r="H416" s="82" t="n"/>
    </row>
    <row r="417">
      <c r="A417" s="67" t="n"/>
      <c r="B417" s="82" t="n"/>
      <c r="C417" s="82" t="n"/>
      <c r="D417" s="82" t="n"/>
      <c r="E417" s="82" t="n"/>
      <c r="F417" s="83" t="n"/>
      <c r="G417" s="83" t="n"/>
      <c r="H417" s="82" t="n"/>
    </row>
    <row r="418">
      <c r="A418" s="67" t="n"/>
      <c r="B418" s="82" t="n"/>
      <c r="C418" s="82" t="n"/>
      <c r="D418" s="82" t="n"/>
      <c r="E418" s="82" t="n"/>
      <c r="F418" s="83" t="n"/>
      <c r="G418" s="83" t="n"/>
      <c r="H418" s="82" t="n"/>
    </row>
    <row r="419">
      <c r="A419" s="67" t="n"/>
      <c r="B419" s="82" t="n"/>
      <c r="C419" s="82" t="n"/>
      <c r="D419" s="82" t="n"/>
      <c r="E419" s="82" t="n"/>
      <c r="F419" s="83" t="n"/>
      <c r="G419" s="83" t="n"/>
      <c r="H419" s="82" t="n"/>
    </row>
    <row r="420">
      <c r="A420" s="67" t="n"/>
      <c r="B420" s="82" t="n"/>
      <c r="C420" s="82" t="n"/>
      <c r="D420" s="82" t="n"/>
      <c r="E420" s="82" t="n"/>
      <c r="F420" s="83" t="n"/>
      <c r="G420" s="83" t="n"/>
      <c r="H420" s="82" t="n"/>
    </row>
    <row r="421">
      <c r="A421" s="67" t="n"/>
      <c r="B421" s="82" t="n"/>
      <c r="C421" s="82" t="n"/>
      <c r="D421" s="82" t="n"/>
      <c r="E421" s="82" t="n"/>
      <c r="F421" s="83" t="n"/>
      <c r="G421" s="83" t="n"/>
      <c r="H421" s="82" t="n"/>
    </row>
    <row r="422">
      <c r="A422" s="67" t="n"/>
      <c r="B422" s="82" t="n"/>
      <c r="C422" s="82" t="n"/>
      <c r="D422" s="82" t="n"/>
      <c r="E422" s="82" t="n"/>
      <c r="F422" s="83" t="n"/>
      <c r="G422" s="83" t="n"/>
      <c r="H422" s="82" t="n"/>
    </row>
    <row r="423">
      <c r="A423" s="67" t="n"/>
      <c r="B423" s="82" t="n"/>
      <c r="C423" s="82" t="n"/>
      <c r="D423" s="82" t="n"/>
      <c r="E423" s="82" t="n"/>
      <c r="F423" s="83" t="n"/>
      <c r="G423" s="83" t="n"/>
      <c r="H423" s="82" t="n"/>
    </row>
    <row r="424">
      <c r="A424" s="67" t="n"/>
      <c r="B424" s="82" t="n"/>
      <c r="C424" s="82" t="n"/>
      <c r="D424" s="82" t="n"/>
      <c r="E424" s="82" t="n"/>
      <c r="F424" s="83" t="n"/>
      <c r="G424" s="83" t="n"/>
      <c r="H424" s="82" t="n"/>
    </row>
    <row r="425">
      <c r="A425" s="67" t="n"/>
      <c r="B425" s="82" t="n"/>
      <c r="C425" s="82" t="n"/>
      <c r="D425" s="82" t="n"/>
      <c r="E425" s="82" t="n"/>
      <c r="F425" s="83" t="n"/>
      <c r="G425" s="83" t="n"/>
      <c r="H425" s="82" t="n"/>
    </row>
    <row r="426">
      <c r="A426" s="67" t="n"/>
      <c r="B426" s="82" t="n"/>
      <c r="C426" s="82" t="n"/>
      <c r="D426" s="82" t="n"/>
      <c r="E426" s="82" t="n"/>
      <c r="F426" s="83" t="n"/>
      <c r="G426" s="83" t="n"/>
      <c r="H426" s="82" t="n"/>
    </row>
    <row r="427">
      <c r="A427" s="67" t="n"/>
      <c r="B427" s="82" t="n"/>
      <c r="C427" s="82" t="n"/>
      <c r="D427" s="82" t="n"/>
      <c r="E427" s="82" t="n"/>
      <c r="F427" s="83" t="n"/>
      <c r="G427" s="83" t="n"/>
      <c r="H427" s="82" t="n"/>
    </row>
    <row r="428">
      <c r="A428" s="67" t="n"/>
      <c r="B428" s="82" t="n"/>
      <c r="C428" s="82" t="n"/>
      <c r="D428" s="82" t="n"/>
      <c r="E428" s="82" t="n"/>
      <c r="F428" s="83" t="n"/>
      <c r="G428" s="83" t="n"/>
      <c r="H428" s="82" t="n"/>
    </row>
    <row r="429">
      <c r="A429" s="67" t="n"/>
      <c r="B429" s="82" t="n"/>
      <c r="C429" s="82" t="n"/>
      <c r="D429" s="82" t="n"/>
      <c r="E429" s="82" t="n"/>
      <c r="F429" s="83" t="n"/>
      <c r="G429" s="83" t="n"/>
      <c r="H429" s="82" t="n"/>
    </row>
    <row r="430">
      <c r="A430" s="67" t="n"/>
      <c r="B430" s="82" t="n"/>
      <c r="C430" s="82" t="n"/>
      <c r="D430" s="82" t="n"/>
      <c r="E430" s="82" t="n"/>
      <c r="F430" s="83" t="n"/>
      <c r="G430" s="83" t="n"/>
      <c r="H430" s="82" t="n"/>
    </row>
    <row r="431">
      <c r="A431" s="67" t="n"/>
      <c r="B431" s="82" t="n"/>
      <c r="C431" s="82" t="n"/>
      <c r="D431" s="82" t="n"/>
      <c r="E431" s="82" t="n"/>
      <c r="F431" s="83" t="n"/>
      <c r="G431" s="83" t="n"/>
      <c r="H431" s="82" t="n"/>
    </row>
    <row r="432">
      <c r="A432" s="67" t="n"/>
      <c r="B432" s="82" t="n"/>
      <c r="C432" s="82" t="n"/>
      <c r="D432" s="82" t="n"/>
      <c r="E432" s="82" t="n"/>
      <c r="F432" s="83" t="n"/>
      <c r="G432" s="83" t="n"/>
      <c r="H432" s="82" t="n"/>
    </row>
    <row r="433">
      <c r="A433" s="67" t="n"/>
      <c r="B433" s="82" t="n"/>
      <c r="C433" s="82" t="n"/>
      <c r="D433" s="82" t="n"/>
      <c r="E433" s="82" t="n"/>
      <c r="F433" s="83" t="n"/>
      <c r="G433" s="83" t="n"/>
      <c r="H433" s="82" t="n"/>
    </row>
    <row r="434">
      <c r="A434" s="67" t="n"/>
      <c r="B434" s="82" t="n"/>
      <c r="C434" s="82" t="n"/>
      <c r="D434" s="82" t="n"/>
      <c r="E434" s="82" t="n"/>
      <c r="F434" s="83" t="n"/>
      <c r="G434" s="83" t="n"/>
      <c r="H434" s="82" t="n"/>
    </row>
    <row r="435">
      <c r="A435" s="67" t="n"/>
      <c r="B435" s="82" t="n"/>
      <c r="C435" s="82" t="n"/>
      <c r="D435" s="82" t="n"/>
      <c r="E435" s="82" t="n"/>
      <c r="F435" s="83" t="n"/>
      <c r="G435" s="83" t="n"/>
      <c r="H435" s="82" t="n"/>
    </row>
    <row r="436">
      <c r="A436" s="67" t="n"/>
      <c r="B436" s="82" t="n"/>
      <c r="C436" s="82" t="n"/>
      <c r="D436" s="82" t="n"/>
      <c r="E436" s="82" t="n"/>
      <c r="F436" s="83" t="n"/>
      <c r="G436" s="83" t="n"/>
      <c r="H436" s="82" t="n"/>
    </row>
    <row r="437">
      <c r="A437" s="67" t="n"/>
      <c r="B437" s="82" t="n"/>
      <c r="C437" s="82" t="n"/>
      <c r="D437" s="82" t="n"/>
      <c r="E437" s="82" t="n"/>
      <c r="F437" s="83" t="n"/>
      <c r="G437" s="83" t="n"/>
      <c r="H437" s="82" t="n"/>
    </row>
    <row r="438">
      <c r="A438" s="67" t="n"/>
      <c r="B438" s="82" t="n"/>
      <c r="C438" s="82" t="n"/>
      <c r="D438" s="82" t="n"/>
      <c r="E438" s="82" t="n"/>
      <c r="F438" s="83" t="n"/>
      <c r="G438" s="83" t="n"/>
      <c r="H438" s="82" t="n"/>
    </row>
    <row r="439">
      <c r="A439" s="67" t="n"/>
      <c r="B439" s="82" t="n"/>
      <c r="C439" s="82" t="n"/>
      <c r="D439" s="82" t="n"/>
      <c r="E439" s="82" t="n"/>
      <c r="F439" s="83" t="n"/>
      <c r="G439" s="83" t="n"/>
      <c r="H439" s="82" t="n"/>
    </row>
    <row r="440">
      <c r="A440" s="67" t="n"/>
      <c r="B440" s="82" t="n"/>
      <c r="C440" s="82" t="n"/>
      <c r="D440" s="82" t="n"/>
      <c r="E440" s="82" t="n"/>
      <c r="F440" s="83" t="n"/>
      <c r="G440" s="83" t="n"/>
      <c r="H440" s="82" t="n"/>
    </row>
    <row r="441">
      <c r="A441" s="67" t="n"/>
      <c r="B441" s="82" t="n"/>
      <c r="C441" s="82" t="n"/>
      <c r="D441" s="82" t="n"/>
      <c r="E441" s="82" t="n"/>
      <c r="F441" s="83" t="n"/>
      <c r="G441" s="83" t="n"/>
      <c r="H441" s="82" t="n"/>
    </row>
    <row r="442">
      <c r="A442" s="67" t="n"/>
      <c r="B442" s="82" t="n"/>
      <c r="C442" s="82" t="n"/>
      <c r="D442" s="82" t="n"/>
      <c r="E442" s="82" t="n"/>
      <c r="F442" s="83" t="n"/>
      <c r="G442" s="83" t="n"/>
      <c r="H442" s="82" t="n"/>
    </row>
    <row r="443">
      <c r="A443" s="67" t="n"/>
      <c r="B443" s="82" t="n"/>
      <c r="C443" s="82" t="n"/>
      <c r="D443" s="82" t="n"/>
      <c r="E443" s="82" t="n"/>
      <c r="F443" s="83" t="n"/>
      <c r="G443" s="83" t="n"/>
      <c r="H443" s="82" t="n"/>
    </row>
    <row r="444">
      <c r="A444" s="67" t="n"/>
      <c r="B444" s="82" t="n"/>
      <c r="C444" s="82" t="n"/>
      <c r="D444" s="82" t="n"/>
      <c r="E444" s="82" t="n"/>
      <c r="F444" s="83" t="n"/>
      <c r="G444" s="83" t="n"/>
      <c r="H444" s="82" t="n"/>
    </row>
    <row r="445">
      <c r="A445" s="67" t="n"/>
      <c r="B445" s="82" t="n"/>
      <c r="C445" s="82" t="n"/>
      <c r="D445" s="82" t="n"/>
      <c r="E445" s="82" t="n"/>
      <c r="F445" s="83" t="n"/>
      <c r="G445" s="83" t="n"/>
      <c r="H445" s="82" t="n"/>
    </row>
    <row r="446">
      <c r="A446" s="67" t="n"/>
      <c r="B446" s="82" t="n"/>
      <c r="C446" s="82" t="n"/>
      <c r="D446" s="82" t="n"/>
      <c r="E446" s="82" t="n"/>
      <c r="F446" s="83" t="n"/>
      <c r="G446" s="83" t="n"/>
      <c r="H446" s="82" t="n"/>
    </row>
    <row r="447">
      <c r="A447" s="67" t="n"/>
      <c r="B447" s="82" t="n"/>
      <c r="C447" s="82" t="n"/>
      <c r="D447" s="82" t="n"/>
      <c r="E447" s="82" t="n"/>
      <c r="F447" s="83" t="n"/>
      <c r="G447" s="83" t="n"/>
      <c r="H447" s="82" t="n"/>
    </row>
    <row r="448">
      <c r="A448" s="67" t="n"/>
      <c r="B448" s="82" t="n"/>
      <c r="C448" s="82" t="n"/>
      <c r="D448" s="82" t="n"/>
      <c r="E448" s="82" t="n"/>
      <c r="F448" s="83" t="n"/>
      <c r="G448" s="83" t="n"/>
      <c r="H448" s="82" t="n"/>
    </row>
    <row r="449">
      <c r="A449" s="67" t="n"/>
      <c r="B449" s="82" t="n"/>
      <c r="C449" s="82" t="n"/>
      <c r="D449" s="82" t="n"/>
      <c r="E449" s="82" t="n"/>
      <c r="F449" s="83" t="n"/>
      <c r="G449" s="83" t="n"/>
      <c r="H449" s="82" t="n"/>
    </row>
    <row r="450">
      <c r="A450" s="67" t="n"/>
      <c r="B450" s="82" t="n"/>
      <c r="C450" s="82" t="n"/>
      <c r="D450" s="82" t="n"/>
      <c r="E450" s="82" t="n"/>
      <c r="F450" s="83" t="n"/>
      <c r="G450" s="83" t="n"/>
      <c r="H450" s="82" t="n"/>
    </row>
    <row r="451">
      <c r="A451" s="67" t="n"/>
      <c r="B451" s="82" t="n"/>
      <c r="C451" s="82" t="n"/>
      <c r="D451" s="82" t="n"/>
      <c r="E451" s="82" t="n"/>
      <c r="F451" s="83" t="n"/>
      <c r="G451" s="83" t="n"/>
      <c r="H451" s="82" t="n"/>
    </row>
    <row r="452">
      <c r="A452" s="67" t="n"/>
      <c r="B452" s="82" t="n"/>
      <c r="C452" s="82" t="n"/>
      <c r="D452" s="82" t="n"/>
      <c r="E452" s="82" t="n"/>
      <c r="F452" s="83" t="n"/>
      <c r="G452" s="83" t="n"/>
      <c r="H452" s="82" t="n"/>
    </row>
    <row r="453">
      <c r="A453" s="67" t="n"/>
      <c r="B453" s="82" t="n"/>
      <c r="C453" s="82" t="n"/>
      <c r="D453" s="82" t="n"/>
      <c r="E453" s="82" t="n"/>
      <c r="F453" s="83" t="n"/>
      <c r="G453" s="83" t="n"/>
      <c r="H453" s="82" t="n"/>
    </row>
    <row r="454">
      <c r="A454" s="67" t="n"/>
      <c r="B454" s="82" t="n"/>
      <c r="C454" s="82" t="n"/>
      <c r="D454" s="82" t="n"/>
      <c r="E454" s="82" t="n"/>
      <c r="F454" s="83" t="n"/>
      <c r="G454" s="83" t="n"/>
      <c r="H454" s="82" t="n"/>
    </row>
    <row r="455">
      <c r="A455" s="67" t="n"/>
      <c r="B455" s="82" t="n"/>
      <c r="C455" s="82" t="n"/>
      <c r="D455" s="82" t="n"/>
      <c r="E455" s="82" t="n"/>
      <c r="F455" s="83" t="n"/>
      <c r="G455" s="83" t="n"/>
      <c r="H455" s="82" t="n"/>
    </row>
    <row r="456">
      <c r="A456" s="67" t="n"/>
      <c r="B456" s="82" t="n"/>
      <c r="C456" s="82" t="n"/>
      <c r="D456" s="82" t="n"/>
      <c r="E456" s="82" t="n"/>
      <c r="F456" s="83" t="n"/>
      <c r="G456" s="83" t="n"/>
      <c r="H456" s="82" t="n"/>
    </row>
    <row r="457">
      <c r="A457" s="67" t="n"/>
      <c r="B457" s="82" t="n"/>
      <c r="C457" s="82" t="n"/>
      <c r="D457" s="82" t="n"/>
      <c r="E457" s="82" t="n"/>
      <c r="F457" s="83" t="n"/>
      <c r="G457" s="83" t="n"/>
      <c r="H457" s="82" t="n"/>
    </row>
    <row r="458">
      <c r="A458" s="67" t="n"/>
      <c r="B458" s="82" t="n"/>
      <c r="C458" s="82" t="n"/>
      <c r="D458" s="82" t="n"/>
      <c r="E458" s="82" t="n"/>
      <c r="F458" s="83" t="n"/>
      <c r="G458" s="83" t="n"/>
      <c r="H458" s="82" t="n"/>
    </row>
    <row r="459">
      <c r="A459" s="67" t="n"/>
      <c r="B459" s="82" t="n"/>
      <c r="C459" s="82" t="n"/>
      <c r="D459" s="82" t="n"/>
      <c r="E459" s="82" t="n"/>
      <c r="F459" s="83" t="n"/>
      <c r="G459" s="83" t="n"/>
      <c r="H459" s="82" t="n"/>
    </row>
    <row r="460">
      <c r="A460" s="67" t="n"/>
      <c r="B460" s="82" t="n"/>
      <c r="C460" s="82" t="n"/>
      <c r="D460" s="82" t="n"/>
      <c r="E460" s="82" t="n"/>
      <c r="F460" s="83" t="n"/>
      <c r="G460" s="83" t="n"/>
      <c r="H460" s="82" t="n"/>
    </row>
    <row r="461">
      <c r="A461" s="67" t="n"/>
      <c r="B461" s="82" t="n"/>
      <c r="C461" s="82" t="n"/>
      <c r="D461" s="82" t="n"/>
      <c r="E461" s="82" t="n"/>
      <c r="F461" s="83" t="n"/>
      <c r="G461" s="83" t="n"/>
      <c r="H461" s="82" t="n"/>
    </row>
    <row r="462">
      <c r="A462" s="67" t="n"/>
      <c r="B462" s="82" t="n"/>
      <c r="C462" s="82" t="n"/>
      <c r="D462" s="82" t="n"/>
      <c r="E462" s="82" t="n"/>
      <c r="F462" s="83" t="n"/>
      <c r="G462" s="83" t="n"/>
      <c r="H462" s="82" t="n"/>
    </row>
    <row r="463">
      <c r="A463" s="67" t="n"/>
      <c r="B463" s="82" t="n"/>
      <c r="C463" s="82" t="n"/>
      <c r="D463" s="82" t="n"/>
      <c r="E463" s="82" t="n"/>
      <c r="F463" s="83" t="n"/>
      <c r="G463" s="83" t="n"/>
      <c r="H463" s="82" t="n"/>
    </row>
    <row r="464">
      <c r="A464" s="67" t="n"/>
      <c r="B464" s="82" t="n"/>
      <c r="C464" s="82" t="n"/>
      <c r="D464" s="82" t="n"/>
      <c r="E464" s="82" t="n"/>
      <c r="F464" s="83" t="n"/>
      <c r="G464" s="83" t="n"/>
      <c r="H464" s="82" t="n"/>
    </row>
    <row r="465">
      <c r="A465" s="67" t="n"/>
      <c r="B465" s="82" t="n"/>
      <c r="C465" s="82" t="n"/>
      <c r="D465" s="82" t="n"/>
      <c r="E465" s="82" t="n"/>
      <c r="F465" s="83" t="n"/>
      <c r="G465" s="83" t="n"/>
      <c r="H465" s="82" t="n"/>
    </row>
    <row r="466">
      <c r="A466" s="67" t="n"/>
      <c r="B466" s="82" t="n"/>
      <c r="C466" s="82" t="n"/>
      <c r="D466" s="82" t="n"/>
      <c r="E466" s="82" t="n"/>
      <c r="F466" s="83" t="n"/>
      <c r="G466" s="83" t="n"/>
      <c r="H466" s="82" t="n"/>
    </row>
    <row r="467">
      <c r="A467" s="67" t="n"/>
      <c r="B467" s="82" t="n"/>
      <c r="C467" s="82" t="n"/>
      <c r="D467" s="82" t="n"/>
      <c r="E467" s="82" t="n"/>
      <c r="F467" s="83" t="n"/>
      <c r="G467" s="83" t="n"/>
      <c r="H467" s="82" t="n"/>
    </row>
    <row r="468">
      <c r="A468" s="67" t="n"/>
      <c r="B468" s="82" t="n"/>
      <c r="C468" s="82" t="n"/>
      <c r="D468" s="82" t="n"/>
      <c r="E468" s="82" t="n"/>
      <c r="F468" s="83" t="n"/>
      <c r="G468" s="83" t="n"/>
      <c r="H468" s="82" t="n"/>
    </row>
    <row r="469">
      <c r="A469" s="67" t="n"/>
      <c r="B469" s="82" t="n"/>
      <c r="C469" s="82" t="n"/>
      <c r="D469" s="82" t="n"/>
      <c r="E469" s="82" t="n"/>
      <c r="F469" s="83" t="n"/>
      <c r="G469" s="83" t="n"/>
      <c r="H469" s="82" t="n"/>
    </row>
    <row r="470">
      <c r="A470" s="67" t="n"/>
      <c r="B470" s="82" t="n"/>
      <c r="C470" s="82" t="n"/>
      <c r="D470" s="82" t="n"/>
      <c r="E470" s="82" t="n"/>
      <c r="F470" s="83" t="n"/>
      <c r="G470" s="83" t="n"/>
      <c r="H470" s="82" t="n"/>
    </row>
    <row r="471">
      <c r="A471" s="67" t="n"/>
      <c r="B471" s="82" t="n"/>
      <c r="C471" s="82" t="n"/>
      <c r="D471" s="82" t="n"/>
      <c r="E471" s="82" t="n"/>
      <c r="F471" s="83" t="n"/>
      <c r="G471" s="83" t="n"/>
      <c r="H471" s="82" t="n"/>
    </row>
    <row r="472">
      <c r="A472" s="67" t="n"/>
      <c r="B472" s="82" t="n"/>
      <c r="C472" s="82" t="n"/>
      <c r="D472" s="82" t="n"/>
      <c r="E472" s="82" t="n"/>
      <c r="F472" s="83" t="n"/>
      <c r="G472" s="83" t="n"/>
      <c r="H472" s="82" t="n"/>
    </row>
    <row r="473">
      <c r="A473" s="67" t="n"/>
      <c r="B473" s="82" t="n"/>
      <c r="C473" s="82" t="n"/>
      <c r="D473" s="82" t="n"/>
      <c r="E473" s="82" t="n"/>
      <c r="F473" s="83" t="n"/>
      <c r="G473" s="83" t="n"/>
      <c r="H473" s="82" t="n"/>
    </row>
    <row r="474">
      <c r="A474" s="67" t="n"/>
      <c r="B474" s="82" t="n"/>
      <c r="C474" s="82" t="n"/>
      <c r="D474" s="82" t="n"/>
      <c r="E474" s="82" t="n"/>
      <c r="F474" s="83" t="n"/>
      <c r="G474" s="83" t="n"/>
      <c r="H474" s="82" t="n"/>
    </row>
    <row r="475">
      <c r="A475" s="67" t="n"/>
      <c r="B475" s="82" t="n"/>
      <c r="C475" s="82" t="n"/>
      <c r="D475" s="82" t="n"/>
      <c r="E475" s="82" t="n"/>
      <c r="F475" s="83" t="n"/>
      <c r="G475" s="83" t="n"/>
      <c r="H475" s="82" t="n"/>
    </row>
    <row r="476">
      <c r="A476" s="67" t="n"/>
      <c r="B476" s="82" t="n"/>
      <c r="C476" s="82" t="n"/>
      <c r="D476" s="82" t="n"/>
      <c r="E476" s="82" t="n"/>
      <c r="F476" s="83" t="n"/>
      <c r="G476" s="83" t="n"/>
      <c r="H476" s="82" t="n"/>
    </row>
    <row r="477">
      <c r="A477" s="67" t="n"/>
      <c r="B477" s="82" t="n"/>
      <c r="C477" s="82" t="n"/>
      <c r="D477" s="82" t="n"/>
      <c r="E477" s="82" t="n"/>
      <c r="F477" s="83" t="n"/>
      <c r="G477" s="83" t="n"/>
      <c r="H477" s="82" t="n"/>
    </row>
    <row r="478">
      <c r="A478" s="67" t="n"/>
      <c r="B478" s="82" t="n"/>
      <c r="C478" s="82" t="n"/>
      <c r="D478" s="82" t="n"/>
      <c r="E478" s="82" t="n"/>
      <c r="F478" s="83" t="n"/>
      <c r="G478" s="83" t="n"/>
      <c r="H478" s="82" t="n"/>
    </row>
    <row r="479">
      <c r="A479" s="67" t="n"/>
      <c r="B479" s="82" t="n"/>
      <c r="C479" s="82" t="n"/>
      <c r="D479" s="82" t="n"/>
      <c r="E479" s="82" t="n"/>
      <c r="F479" s="83" t="n"/>
      <c r="G479" s="83" t="n"/>
      <c r="H479" s="82" t="n"/>
    </row>
    <row r="480">
      <c r="A480" s="67" t="n"/>
      <c r="B480" s="82" t="n"/>
      <c r="C480" s="82" t="n"/>
      <c r="D480" s="82" t="n"/>
      <c r="E480" s="82" t="n"/>
      <c r="F480" s="83" t="n"/>
      <c r="G480" s="83" t="n"/>
      <c r="H480" s="82" t="n"/>
    </row>
    <row r="481">
      <c r="A481" s="67" t="n"/>
      <c r="B481" s="82" t="n"/>
      <c r="C481" s="82" t="n"/>
      <c r="D481" s="82" t="n"/>
      <c r="E481" s="82" t="n"/>
      <c r="F481" s="83" t="n"/>
      <c r="G481" s="83" t="n"/>
      <c r="H481" s="82" t="n"/>
    </row>
    <row r="482">
      <c r="A482" s="67" t="n"/>
      <c r="B482" s="82" t="n"/>
      <c r="C482" s="82" t="n"/>
      <c r="D482" s="82" t="n"/>
      <c r="E482" s="82" t="n"/>
      <c r="F482" s="83" t="n"/>
      <c r="G482" s="83" t="n"/>
      <c r="H482" s="82" t="n"/>
    </row>
    <row r="483">
      <c r="A483" s="67" t="n"/>
      <c r="B483" s="82" t="n"/>
      <c r="C483" s="82" t="n"/>
      <c r="D483" s="82" t="n"/>
      <c r="E483" s="82" t="n"/>
      <c r="F483" s="83" t="n"/>
      <c r="G483" s="83" t="n"/>
      <c r="H483" s="82" t="n"/>
    </row>
    <row r="484">
      <c r="A484" s="67" t="n"/>
      <c r="B484" s="82" t="n"/>
      <c r="C484" s="82" t="n"/>
      <c r="D484" s="82" t="n"/>
      <c r="E484" s="82" t="n"/>
      <c r="F484" s="83" t="n"/>
      <c r="G484" s="83" t="n"/>
      <c r="H484" s="82" t="n"/>
    </row>
    <row r="485">
      <c r="A485" s="67" t="n"/>
      <c r="B485" s="82" t="n"/>
      <c r="C485" s="82" t="n"/>
      <c r="D485" s="82" t="n"/>
      <c r="E485" s="82" t="n"/>
      <c r="F485" s="83" t="n"/>
      <c r="G485" s="83" t="n"/>
      <c r="H485" s="82" t="n"/>
    </row>
    <row r="486">
      <c r="A486" s="67" t="n"/>
      <c r="B486" s="82" t="n"/>
      <c r="C486" s="82" t="n"/>
      <c r="D486" s="82" t="n"/>
      <c r="E486" s="82" t="n"/>
      <c r="F486" s="83" t="n"/>
      <c r="G486" s="83" t="n"/>
      <c r="H486" s="82" t="n"/>
    </row>
    <row r="487">
      <c r="A487" s="67" t="n"/>
      <c r="B487" s="82" t="n"/>
      <c r="C487" s="82" t="n"/>
      <c r="D487" s="82" t="n"/>
      <c r="E487" s="82" t="n"/>
      <c r="F487" s="83" t="n"/>
      <c r="G487" s="83" t="n"/>
      <c r="H487" s="82" t="n"/>
    </row>
    <row r="488">
      <c r="A488" s="67" t="n"/>
      <c r="B488" s="82" t="n"/>
      <c r="C488" s="82" t="n"/>
      <c r="D488" s="82" t="n"/>
      <c r="E488" s="82" t="n"/>
      <c r="F488" s="83" t="n"/>
      <c r="G488" s="83" t="n"/>
      <c r="H488" s="82" t="n"/>
    </row>
    <row r="489">
      <c r="A489" s="67" t="n"/>
      <c r="B489" s="82" t="n"/>
      <c r="C489" s="82" t="n"/>
      <c r="D489" s="82" t="n"/>
      <c r="E489" s="82" t="n"/>
      <c r="F489" s="83" t="n"/>
      <c r="G489" s="83" t="n"/>
      <c r="H489" s="82" t="n"/>
    </row>
    <row r="490">
      <c r="A490" s="67" t="n"/>
      <c r="B490" s="82" t="n"/>
      <c r="C490" s="82" t="n"/>
      <c r="D490" s="82" t="n"/>
      <c r="E490" s="82" t="n"/>
      <c r="F490" s="83" t="n"/>
      <c r="G490" s="83" t="n"/>
      <c r="H490" s="82" t="n"/>
    </row>
    <row r="491">
      <c r="A491" s="67" t="n"/>
      <c r="B491" s="82" t="n"/>
      <c r="C491" s="82" t="n"/>
      <c r="D491" s="82" t="n"/>
      <c r="E491" s="82" t="n"/>
      <c r="F491" s="83" t="n"/>
      <c r="G491" s="83" t="n"/>
      <c r="H491" s="82" t="n"/>
    </row>
    <row r="492">
      <c r="A492" s="67" t="n"/>
      <c r="B492" s="82" t="n"/>
      <c r="C492" s="82" t="n"/>
      <c r="D492" s="82" t="n"/>
      <c r="E492" s="82" t="n"/>
      <c r="F492" s="83" t="n"/>
      <c r="G492" s="83" t="n"/>
      <c r="H492" s="82" t="n"/>
    </row>
    <row r="493">
      <c r="A493" s="67" t="n"/>
      <c r="B493" s="82" t="n"/>
      <c r="C493" s="82" t="n"/>
      <c r="D493" s="82" t="n"/>
      <c r="E493" s="82" t="n"/>
      <c r="F493" s="83" t="n"/>
      <c r="G493" s="83" t="n"/>
      <c r="H493" s="82" t="n"/>
    </row>
    <row r="494">
      <c r="A494" s="67" t="n"/>
      <c r="B494" s="82" t="n"/>
      <c r="C494" s="82" t="n"/>
      <c r="D494" s="82" t="n"/>
      <c r="E494" s="82" t="n"/>
      <c r="F494" s="83" t="n"/>
      <c r="G494" s="83" t="n"/>
      <c r="H494" s="82" t="n"/>
    </row>
    <row r="495">
      <c r="A495" s="67" t="n"/>
      <c r="B495" s="82" t="n"/>
      <c r="C495" s="82" t="n"/>
      <c r="D495" s="82" t="n"/>
      <c r="E495" s="82" t="n"/>
      <c r="F495" s="83" t="n"/>
      <c r="G495" s="83" t="n"/>
      <c r="H495" s="82" t="n"/>
    </row>
    <row r="496">
      <c r="A496" s="67" t="n"/>
      <c r="B496" s="82" t="n"/>
      <c r="C496" s="82" t="n"/>
      <c r="D496" s="82" t="n"/>
      <c r="E496" s="82" t="n"/>
      <c r="F496" s="83" t="n"/>
      <c r="G496" s="83" t="n"/>
      <c r="H496" s="82" t="n"/>
    </row>
    <row r="497">
      <c r="A497" s="67" t="n"/>
      <c r="B497" s="82" t="n"/>
      <c r="C497" s="82" t="n"/>
      <c r="D497" s="82" t="n"/>
      <c r="E497" s="82" t="n"/>
      <c r="F497" s="83" t="n"/>
      <c r="G497" s="83" t="n"/>
      <c r="H497" s="82" t="n"/>
    </row>
    <row r="498">
      <c r="A498" s="67" t="n"/>
      <c r="B498" s="82" t="n"/>
      <c r="C498" s="82" t="n"/>
      <c r="D498" s="82" t="n"/>
      <c r="E498" s="82" t="n"/>
      <c r="F498" s="83" t="n"/>
      <c r="G498" s="83" t="n"/>
      <c r="H498" s="82" t="n"/>
    </row>
    <row r="499">
      <c r="A499" s="67" t="n"/>
      <c r="B499" s="82" t="n"/>
      <c r="C499" s="82" t="n"/>
      <c r="D499" s="82" t="n"/>
      <c r="E499" s="82" t="n"/>
      <c r="F499" s="83" t="n"/>
      <c r="G499" s="83" t="n"/>
      <c r="H499" s="82" t="n"/>
    </row>
    <row r="500">
      <c r="A500" s="67" t="n"/>
      <c r="B500" s="82" t="n"/>
      <c r="C500" s="82" t="n"/>
      <c r="D500" s="82" t="n"/>
      <c r="E500" s="82" t="n"/>
      <c r="F500" s="83" t="n"/>
      <c r="G500" s="83" t="n"/>
      <c r="H500" s="82" t="n"/>
    </row>
    <row r="501">
      <c r="A501" s="67" t="n"/>
      <c r="B501" s="82" t="n"/>
      <c r="C501" s="82" t="n"/>
      <c r="D501" s="82" t="n"/>
      <c r="E501" s="82" t="n"/>
      <c r="F501" s="83" t="n"/>
      <c r="G501" s="83" t="n"/>
      <c r="H501" s="82" t="n"/>
    </row>
    <row r="502">
      <c r="A502" s="67" t="n"/>
      <c r="B502" s="82" t="n"/>
      <c r="C502" s="82" t="n"/>
      <c r="D502" s="82" t="n"/>
      <c r="E502" s="82" t="n"/>
      <c r="F502" s="83" t="n"/>
      <c r="G502" s="83" t="n"/>
      <c r="H502" s="82" t="n"/>
    </row>
    <row r="503">
      <c r="A503" s="67" t="n"/>
      <c r="B503" s="82" t="n"/>
      <c r="C503" s="82" t="n"/>
      <c r="D503" s="82" t="n"/>
      <c r="E503" s="82" t="n"/>
      <c r="F503" s="83" t="n"/>
      <c r="G503" s="83" t="n"/>
      <c r="H503" s="82" t="n"/>
    </row>
    <row r="504">
      <c r="A504" s="67" t="n"/>
      <c r="B504" s="82" t="n"/>
      <c r="C504" s="82" t="n"/>
      <c r="D504" s="82" t="n"/>
      <c r="E504" s="82" t="n"/>
      <c r="F504" s="83" t="n"/>
      <c r="G504" s="83" t="n"/>
      <c r="H504" s="82" t="n"/>
    </row>
    <row r="505">
      <c r="A505" s="67" t="n"/>
      <c r="B505" s="82" t="n"/>
      <c r="C505" s="82" t="n"/>
      <c r="D505" s="82" t="n"/>
      <c r="E505" s="82" t="n"/>
      <c r="F505" s="83" t="n"/>
      <c r="G505" s="83" t="n"/>
      <c r="H505" s="82" t="n"/>
    </row>
    <row r="506">
      <c r="A506" s="67" t="n"/>
      <c r="B506" s="82" t="n"/>
      <c r="C506" s="82" t="n"/>
      <c r="D506" s="82" t="n"/>
      <c r="E506" s="82" t="n"/>
      <c r="F506" s="83" t="n"/>
      <c r="G506" s="83" t="n"/>
      <c r="H506" s="82" t="n"/>
    </row>
    <row r="507">
      <c r="A507" s="67" t="n"/>
      <c r="B507" s="82" t="n"/>
      <c r="C507" s="82" t="n"/>
      <c r="D507" s="82" t="n"/>
      <c r="E507" s="82" t="n"/>
      <c r="F507" s="83" t="n"/>
      <c r="G507" s="83" t="n"/>
      <c r="H507" s="82" t="n"/>
    </row>
    <row r="508">
      <c r="A508" s="67" t="n"/>
      <c r="B508" s="82" t="n"/>
      <c r="C508" s="82" t="n"/>
      <c r="D508" s="82" t="n"/>
      <c r="E508" s="82" t="n"/>
      <c r="F508" s="83" t="n"/>
      <c r="G508" s="83" t="n"/>
      <c r="H508" s="82" t="n"/>
    </row>
    <row r="509">
      <c r="A509" s="67" t="n"/>
      <c r="B509" s="82" t="n"/>
      <c r="C509" s="82" t="n"/>
      <c r="D509" s="82" t="n"/>
      <c r="E509" s="82" t="n"/>
      <c r="F509" s="83" t="n"/>
      <c r="G509" s="83" t="n"/>
      <c r="H509" s="82" t="n"/>
    </row>
    <row r="510">
      <c r="A510" s="67" t="n"/>
      <c r="B510" s="82" t="n"/>
      <c r="C510" s="82" t="n"/>
      <c r="D510" s="82" t="n"/>
      <c r="E510" s="82" t="n"/>
      <c r="F510" s="83" t="n"/>
      <c r="G510" s="83" t="n"/>
      <c r="H510" s="82" t="n"/>
    </row>
    <row r="511">
      <c r="A511" s="67" t="n"/>
      <c r="B511" s="82" t="n"/>
      <c r="C511" s="82" t="n"/>
      <c r="D511" s="82" t="n"/>
      <c r="E511" s="82" t="n"/>
      <c r="F511" s="83" t="n"/>
      <c r="G511" s="83" t="n"/>
      <c r="H511" s="82" t="n"/>
    </row>
    <row r="512">
      <c r="A512" s="67" t="n"/>
      <c r="B512" s="82" t="n"/>
      <c r="C512" s="82" t="n"/>
      <c r="D512" s="82" t="n"/>
      <c r="E512" s="82" t="n"/>
      <c r="F512" s="83" t="n"/>
      <c r="G512" s="83" t="n"/>
      <c r="H512" s="82" t="n"/>
    </row>
    <row r="513">
      <c r="A513" s="67" t="n"/>
      <c r="B513" s="82" t="n"/>
      <c r="C513" s="82" t="n"/>
      <c r="D513" s="82" t="n"/>
      <c r="E513" s="82" t="n"/>
      <c r="F513" s="83" t="n"/>
      <c r="G513" s="83" t="n"/>
      <c r="H513" s="82" t="n"/>
    </row>
    <row r="514">
      <c r="A514" s="67" t="n"/>
      <c r="B514" s="82" t="n"/>
      <c r="C514" s="82" t="n"/>
      <c r="D514" s="82" t="n"/>
      <c r="E514" s="82" t="n"/>
      <c r="F514" s="83" t="n"/>
      <c r="G514" s="83" t="n"/>
      <c r="H514" s="82" t="n"/>
    </row>
    <row r="515">
      <c r="A515" s="67" t="n"/>
      <c r="B515" s="82" t="n"/>
      <c r="C515" s="82" t="n"/>
      <c r="D515" s="82" t="n"/>
      <c r="E515" s="82" t="n"/>
      <c r="F515" s="83" t="n"/>
      <c r="G515" s="83" t="n"/>
      <c r="H515" s="82" t="n"/>
    </row>
    <row r="516">
      <c r="A516" s="67" t="n"/>
      <c r="B516" s="82" t="n"/>
      <c r="C516" s="82" t="n"/>
      <c r="D516" s="82" t="n"/>
      <c r="E516" s="82" t="n"/>
      <c r="F516" s="83" t="n"/>
      <c r="G516" s="83" t="n"/>
      <c r="H516" s="82" t="n"/>
    </row>
    <row r="517">
      <c r="A517" s="67" t="n"/>
      <c r="B517" s="82" t="n"/>
      <c r="C517" s="82" t="n"/>
      <c r="D517" s="82" t="n"/>
      <c r="E517" s="82" t="n"/>
      <c r="F517" s="83" t="n"/>
      <c r="G517" s="83" t="n"/>
      <c r="H517" s="82" t="n"/>
    </row>
    <row r="518">
      <c r="A518" s="67" t="n"/>
      <c r="B518" s="82" t="n"/>
      <c r="C518" s="82" t="n"/>
      <c r="D518" s="82" t="n"/>
      <c r="E518" s="82" t="n"/>
      <c r="F518" s="83" t="n"/>
      <c r="G518" s="83" t="n"/>
      <c r="H518" s="82" t="n"/>
    </row>
    <row r="519">
      <c r="A519" s="67" t="n"/>
      <c r="B519" s="82" t="n"/>
      <c r="C519" s="82" t="n"/>
      <c r="D519" s="82" t="n"/>
      <c r="E519" s="82" t="n"/>
      <c r="F519" s="83" t="n"/>
      <c r="G519" s="83" t="n"/>
      <c r="H519" s="82" t="n"/>
    </row>
    <row r="520">
      <c r="A520" s="67" t="n"/>
      <c r="B520" s="82" t="n"/>
      <c r="C520" s="82" t="n"/>
      <c r="D520" s="82" t="n"/>
      <c r="E520" s="82" t="n"/>
      <c r="F520" s="83" t="n"/>
      <c r="G520" s="83" t="n"/>
      <c r="H520" s="82" t="n"/>
    </row>
    <row r="521">
      <c r="A521" s="67" t="n"/>
      <c r="B521" s="82" t="n"/>
      <c r="C521" s="82" t="n"/>
      <c r="D521" s="82" t="n"/>
      <c r="E521" s="82" t="n"/>
      <c r="F521" s="83" t="n"/>
      <c r="G521" s="83" t="n"/>
      <c r="H521" s="82" t="n"/>
    </row>
    <row r="522">
      <c r="A522" s="67" t="n"/>
      <c r="B522" s="82" t="n"/>
      <c r="C522" s="82" t="n"/>
      <c r="D522" s="82" t="n"/>
      <c r="E522" s="82" t="n"/>
      <c r="F522" s="83" t="n"/>
      <c r="G522" s="83" t="n"/>
      <c r="H522" s="82" t="n"/>
    </row>
    <row r="523">
      <c r="A523" s="67" t="n"/>
      <c r="B523" s="82" t="n"/>
      <c r="C523" s="82" t="n"/>
      <c r="D523" s="82" t="n"/>
      <c r="E523" s="82" t="n"/>
      <c r="F523" s="83" t="n"/>
      <c r="G523" s="83" t="n"/>
      <c r="H523" s="82" t="n"/>
    </row>
    <row r="524">
      <c r="A524" s="67" t="n"/>
      <c r="B524" s="82" t="n"/>
      <c r="C524" s="82" t="n"/>
      <c r="D524" s="82" t="n"/>
      <c r="E524" s="82" t="n"/>
      <c r="F524" s="83" t="n"/>
      <c r="G524" s="83" t="n"/>
      <c r="H524" s="82" t="n"/>
    </row>
    <row r="525">
      <c r="A525" s="67" t="n"/>
      <c r="B525" s="82" t="n"/>
      <c r="C525" s="82" t="n"/>
      <c r="D525" s="82" t="n"/>
      <c r="E525" s="82" t="n"/>
      <c r="F525" s="83" t="n"/>
      <c r="G525" s="83" t="n"/>
      <c r="H525" s="82" t="n"/>
    </row>
    <row r="526">
      <c r="A526" s="67" t="n"/>
      <c r="B526" s="82" t="n"/>
      <c r="C526" s="82" t="n"/>
      <c r="D526" s="82" t="n"/>
      <c r="E526" s="82" t="n"/>
      <c r="F526" s="83" t="n"/>
      <c r="G526" s="83" t="n"/>
      <c r="H526" s="82" t="n"/>
    </row>
    <row r="527">
      <c r="A527" s="67" t="n"/>
      <c r="B527" s="82" t="n"/>
      <c r="C527" s="82" t="n"/>
      <c r="D527" s="82" t="n"/>
      <c r="E527" s="82" t="n"/>
      <c r="F527" s="83" t="n"/>
      <c r="G527" s="83" t="n"/>
      <c r="H527" s="82" t="n"/>
    </row>
    <row r="528">
      <c r="A528" s="67" t="n"/>
      <c r="B528" s="82" t="n"/>
      <c r="C528" s="82" t="n"/>
      <c r="D528" s="82" t="n"/>
      <c r="E528" s="82" t="n"/>
      <c r="F528" s="83" t="n"/>
      <c r="G528" s="83" t="n"/>
      <c r="H528" s="82" t="n"/>
    </row>
    <row r="529">
      <c r="A529" s="67" t="n"/>
      <c r="B529" s="82" t="n"/>
      <c r="C529" s="82" t="n"/>
      <c r="D529" s="82" t="n"/>
      <c r="E529" s="82" t="n"/>
      <c r="F529" s="83" t="n"/>
      <c r="G529" s="83" t="n"/>
      <c r="H529" s="82" t="n"/>
    </row>
    <row r="530">
      <c r="A530" s="67" t="n"/>
      <c r="B530" s="82" t="n"/>
      <c r="C530" s="82" t="n"/>
      <c r="D530" s="82" t="n"/>
      <c r="E530" s="82" t="n"/>
      <c r="F530" s="83" t="n"/>
      <c r="G530" s="83" t="n"/>
      <c r="H530" s="82" t="n"/>
    </row>
    <row r="531">
      <c r="A531" s="67" t="n"/>
      <c r="B531" s="82" t="n"/>
      <c r="C531" s="82" t="n"/>
      <c r="D531" s="82" t="n"/>
      <c r="E531" s="82" t="n"/>
      <c r="F531" s="83" t="n"/>
      <c r="G531" s="83" t="n"/>
      <c r="H531" s="82" t="n"/>
    </row>
    <row r="532">
      <c r="A532" s="67" t="n"/>
      <c r="B532" s="82" t="n"/>
      <c r="C532" s="82" t="n"/>
      <c r="D532" s="82" t="n"/>
      <c r="E532" s="82" t="n"/>
      <c r="F532" s="83" t="n"/>
      <c r="G532" s="83" t="n"/>
      <c r="H532" s="82" t="n"/>
    </row>
    <row r="533">
      <c r="A533" s="67" t="n"/>
      <c r="B533" s="82" t="n"/>
      <c r="C533" s="82" t="n"/>
      <c r="D533" s="82" t="n"/>
      <c r="E533" s="82" t="n"/>
      <c r="F533" s="83" t="n"/>
      <c r="G533" s="83" t="n"/>
      <c r="H533" s="82" t="n"/>
    </row>
    <row r="534">
      <c r="A534" s="67" t="n"/>
      <c r="B534" s="82" t="n"/>
      <c r="C534" s="82" t="n"/>
      <c r="D534" s="82" t="n"/>
      <c r="E534" s="82" t="n"/>
      <c r="F534" s="83" t="n"/>
      <c r="G534" s="83" t="n"/>
      <c r="H534" s="82" t="n"/>
    </row>
    <row r="535">
      <c r="A535" s="67" t="n"/>
      <c r="B535" s="82" t="n"/>
      <c r="C535" s="82" t="n"/>
      <c r="D535" s="82" t="n"/>
      <c r="E535" s="82" t="n"/>
      <c r="F535" s="83" t="n"/>
      <c r="G535" s="83" t="n"/>
      <c r="H535" s="82" t="n"/>
    </row>
    <row r="536">
      <c r="A536" s="67" t="n"/>
      <c r="B536" s="82" t="n"/>
      <c r="C536" s="82" t="n"/>
      <c r="D536" s="82" t="n"/>
      <c r="E536" s="82" t="n"/>
      <c r="F536" s="83" t="n"/>
      <c r="G536" s="83" t="n"/>
      <c r="H536" s="82" t="n"/>
    </row>
    <row r="537">
      <c r="A537" s="67" t="n"/>
      <c r="B537" s="82" t="n"/>
      <c r="C537" s="82" t="n"/>
      <c r="D537" s="82" t="n"/>
      <c r="E537" s="82" t="n"/>
      <c r="F537" s="83" t="n"/>
      <c r="G537" s="83" t="n"/>
      <c r="H537" s="82" t="n"/>
    </row>
    <row r="538">
      <c r="A538" s="67" t="n"/>
      <c r="B538" s="82" t="n"/>
      <c r="C538" s="82" t="n"/>
      <c r="D538" s="82" t="n"/>
      <c r="E538" s="82" t="n"/>
      <c r="F538" s="83" t="n"/>
      <c r="G538" s="83" t="n"/>
      <c r="H538" s="82" t="n"/>
    </row>
    <row r="539">
      <c r="A539" s="67" t="n"/>
      <c r="B539" s="82" t="n"/>
      <c r="C539" s="82" t="n"/>
      <c r="D539" s="82" t="n"/>
      <c r="E539" s="82" t="n"/>
      <c r="F539" s="83" t="n"/>
      <c r="G539" s="83" t="n"/>
      <c r="H539" s="82" t="n"/>
    </row>
    <row r="540">
      <c r="A540" s="67" t="n"/>
      <c r="B540" s="82" t="n"/>
      <c r="C540" s="82" t="n"/>
      <c r="D540" s="82" t="n"/>
      <c r="E540" s="82" t="n"/>
      <c r="F540" s="83" t="n"/>
      <c r="G540" s="83" t="n"/>
      <c r="H540" s="82" t="n"/>
    </row>
    <row r="541">
      <c r="A541" s="67" t="n"/>
      <c r="B541" s="82" t="n"/>
      <c r="C541" s="82" t="n"/>
      <c r="D541" s="82" t="n"/>
      <c r="E541" s="82" t="n"/>
      <c r="F541" s="83" t="n"/>
      <c r="G541" s="83" t="n"/>
      <c r="H541" s="82" t="n"/>
    </row>
    <row r="542">
      <c r="A542" s="67" t="n"/>
      <c r="B542" s="82" t="n"/>
      <c r="C542" s="82" t="n"/>
      <c r="D542" s="82" t="n"/>
      <c r="E542" s="82" t="n"/>
      <c r="F542" s="83" t="n"/>
      <c r="G542" s="83" t="n"/>
      <c r="H542" s="82" t="n"/>
    </row>
    <row r="543">
      <c r="A543" s="67" t="n"/>
      <c r="B543" s="82" t="n"/>
      <c r="C543" s="82" t="n"/>
      <c r="D543" s="82" t="n"/>
      <c r="E543" s="82" t="n"/>
      <c r="F543" s="83" t="n"/>
      <c r="G543" s="83" t="n"/>
      <c r="H543" s="82" t="n"/>
    </row>
    <row r="544">
      <c r="A544" s="67" t="n"/>
      <c r="B544" s="82" t="n"/>
      <c r="C544" s="82" t="n"/>
      <c r="D544" s="82" t="n"/>
      <c r="E544" s="82" t="n"/>
      <c r="F544" s="83" t="n"/>
      <c r="G544" s="83" t="n"/>
      <c r="H544" s="82" t="n"/>
    </row>
    <row r="545">
      <c r="A545" s="67" t="n"/>
      <c r="B545" s="82" t="n"/>
      <c r="C545" s="82" t="n"/>
      <c r="D545" s="82" t="n"/>
      <c r="E545" s="82" t="n"/>
      <c r="F545" s="83" t="n"/>
      <c r="G545" s="83" t="n"/>
      <c r="H545" s="82" t="n"/>
    </row>
    <row r="546">
      <c r="A546" s="67" t="n"/>
      <c r="B546" s="82" t="n"/>
      <c r="C546" s="82" t="n"/>
      <c r="D546" s="82" t="n"/>
      <c r="E546" s="82" t="n"/>
      <c r="F546" s="83" t="n"/>
      <c r="G546" s="83" t="n"/>
      <c r="H546" s="82" t="n"/>
    </row>
    <row r="547">
      <c r="A547" s="67" t="n"/>
      <c r="B547" s="82" t="n"/>
      <c r="C547" s="82" t="n"/>
      <c r="D547" s="82" t="n"/>
      <c r="E547" s="82" t="n"/>
      <c r="F547" s="83" t="n"/>
      <c r="G547" s="83" t="n"/>
      <c r="H547" s="82" t="n"/>
    </row>
    <row r="548">
      <c r="A548" s="67" t="n"/>
      <c r="B548" s="82" t="n"/>
      <c r="C548" s="82" t="n"/>
      <c r="D548" s="82" t="n"/>
      <c r="E548" s="82" t="n"/>
      <c r="F548" s="83" t="n"/>
      <c r="G548" s="83" t="n"/>
      <c r="H548" s="82" t="n"/>
    </row>
    <row r="549">
      <c r="A549" s="67" t="n"/>
      <c r="B549" s="82" t="n"/>
      <c r="C549" s="82" t="n"/>
      <c r="D549" s="82" t="n"/>
      <c r="E549" s="82" t="n"/>
      <c r="F549" s="83" t="n"/>
      <c r="G549" s="83" t="n"/>
      <c r="H549" s="82" t="n"/>
    </row>
    <row r="550">
      <c r="A550" s="67" t="n"/>
      <c r="B550" s="82" t="n"/>
      <c r="C550" s="82" t="n"/>
      <c r="D550" s="82" t="n"/>
      <c r="E550" s="82" t="n"/>
      <c r="F550" s="83" t="n"/>
      <c r="G550" s="83" t="n"/>
      <c r="H550" s="82" t="n"/>
    </row>
    <row r="551">
      <c r="A551" s="67" t="n"/>
      <c r="B551" s="82" t="n"/>
      <c r="C551" s="82" t="n"/>
      <c r="D551" s="82" t="n"/>
      <c r="E551" s="82" t="n"/>
      <c r="F551" s="83" t="n"/>
      <c r="G551" s="83" t="n"/>
      <c r="H551" s="82" t="n"/>
    </row>
    <row r="552">
      <c r="A552" s="67" t="n"/>
      <c r="B552" s="82" t="n"/>
      <c r="C552" s="82" t="n"/>
      <c r="D552" s="82" t="n"/>
      <c r="E552" s="82" t="n"/>
      <c r="F552" s="83" t="n"/>
      <c r="G552" s="83" t="n"/>
      <c r="H552" s="82" t="n"/>
    </row>
    <row r="553">
      <c r="A553" s="67" t="n"/>
      <c r="B553" s="82" t="n"/>
      <c r="C553" s="82" t="n"/>
      <c r="D553" s="82" t="n"/>
      <c r="E553" s="82" t="n"/>
      <c r="F553" s="83" t="n"/>
      <c r="G553" s="83" t="n"/>
      <c r="H553" s="82" t="n"/>
    </row>
    <row r="554">
      <c r="A554" s="67" t="n"/>
      <c r="B554" s="82" t="n"/>
      <c r="C554" s="82" t="n"/>
      <c r="D554" s="82" t="n"/>
      <c r="E554" s="82" t="n"/>
      <c r="F554" s="83" t="n"/>
      <c r="G554" s="83" t="n"/>
      <c r="H554" s="82" t="n"/>
    </row>
    <row r="555">
      <c r="A555" s="67" t="n"/>
      <c r="B555" s="82" t="n"/>
      <c r="C555" s="82" t="n"/>
      <c r="D555" s="82" t="n"/>
      <c r="E555" s="82" t="n"/>
      <c r="F555" s="83" t="n"/>
      <c r="G555" s="83" t="n"/>
      <c r="H555" s="82" t="n"/>
    </row>
    <row r="556">
      <c r="A556" s="67" t="n"/>
      <c r="B556" s="82" t="n"/>
      <c r="C556" s="82" t="n"/>
      <c r="D556" s="82" t="n"/>
      <c r="E556" s="82" t="n"/>
      <c r="F556" s="83" t="n"/>
      <c r="G556" s="83" t="n"/>
      <c r="H556" s="82" t="n"/>
    </row>
    <row r="557">
      <c r="A557" s="67" t="n"/>
      <c r="B557" s="82" t="n"/>
      <c r="C557" s="82" t="n"/>
      <c r="D557" s="82" t="n"/>
      <c r="E557" s="82" t="n"/>
      <c r="F557" s="83" t="n"/>
      <c r="G557" s="83" t="n"/>
      <c r="H557" s="82" t="n"/>
    </row>
    <row r="558">
      <c r="A558" s="67" t="n"/>
      <c r="B558" s="82" t="n"/>
      <c r="C558" s="82" t="n"/>
      <c r="D558" s="82" t="n"/>
      <c r="E558" s="82" t="n"/>
      <c r="F558" s="83" t="n"/>
      <c r="G558" s="83" t="n"/>
      <c r="H558" s="82" t="n"/>
    </row>
    <row r="559">
      <c r="A559" s="67" t="n"/>
      <c r="B559" s="82" t="n"/>
      <c r="C559" s="82" t="n"/>
      <c r="D559" s="82" t="n"/>
      <c r="E559" s="82" t="n"/>
      <c r="F559" s="83" t="n"/>
      <c r="G559" s="83" t="n"/>
      <c r="H559" s="82" t="n"/>
    </row>
    <row r="560">
      <c r="A560" s="67" t="n"/>
      <c r="B560" s="82" t="n"/>
      <c r="C560" s="82" t="n"/>
      <c r="D560" s="82" t="n"/>
      <c r="E560" s="82" t="n"/>
      <c r="F560" s="83" t="n"/>
      <c r="G560" s="83" t="n"/>
      <c r="H560" s="82" t="n"/>
    </row>
    <row r="561">
      <c r="A561" s="67" t="n"/>
      <c r="B561" s="82" t="n"/>
      <c r="C561" s="82" t="n"/>
      <c r="D561" s="82" t="n"/>
      <c r="E561" s="82" t="n"/>
      <c r="F561" s="83" t="n"/>
      <c r="G561" s="83" t="n"/>
      <c r="H561" s="82" t="n"/>
    </row>
    <row r="562">
      <c r="A562" s="67" t="n"/>
      <c r="B562" s="82" t="n"/>
      <c r="C562" s="82" t="n"/>
      <c r="D562" s="82" t="n"/>
      <c r="E562" s="82" t="n"/>
      <c r="F562" s="83" t="n"/>
      <c r="G562" s="83" t="n"/>
      <c r="H562" s="82" t="n"/>
    </row>
    <row r="563">
      <c r="A563" s="67" t="n"/>
      <c r="B563" s="82" t="n"/>
      <c r="C563" s="82" t="n"/>
      <c r="D563" s="82" t="n"/>
      <c r="E563" s="82" t="n"/>
      <c r="F563" s="83" t="n"/>
      <c r="G563" s="83" t="n"/>
      <c r="H563" s="82" t="n"/>
    </row>
    <row r="564">
      <c r="A564" s="67" t="n"/>
      <c r="B564" s="82" t="n"/>
      <c r="C564" s="82" t="n"/>
      <c r="D564" s="82" t="n"/>
      <c r="E564" s="82" t="n"/>
      <c r="F564" s="83" t="n"/>
      <c r="G564" s="83" t="n"/>
      <c r="H564" s="82" t="n"/>
    </row>
    <row r="565">
      <c r="A565" s="67" t="n"/>
      <c r="B565" s="82" t="n"/>
      <c r="C565" s="82" t="n"/>
      <c r="D565" s="82" t="n"/>
      <c r="E565" s="82" t="n"/>
      <c r="F565" s="83" t="n"/>
      <c r="G565" s="83" t="n"/>
      <c r="H565" s="82" t="n"/>
    </row>
    <row r="566">
      <c r="A566" s="67" t="n"/>
      <c r="B566" s="82" t="n"/>
      <c r="C566" s="82" t="n"/>
      <c r="D566" s="82" t="n"/>
      <c r="E566" s="82" t="n"/>
      <c r="F566" s="83" t="n"/>
      <c r="G566" s="83" t="n"/>
      <c r="H566" s="82" t="n"/>
    </row>
    <row r="567">
      <c r="A567" s="67" t="n"/>
      <c r="B567" s="82" t="n"/>
      <c r="C567" s="82" t="n"/>
      <c r="D567" s="82" t="n"/>
      <c r="E567" s="82" t="n"/>
      <c r="F567" s="83" t="n"/>
      <c r="G567" s="83" t="n"/>
      <c r="H567" s="82" t="n"/>
    </row>
    <row r="568">
      <c r="A568" s="67" t="n"/>
      <c r="B568" s="82" t="n"/>
      <c r="C568" s="82" t="n"/>
      <c r="D568" s="82" t="n"/>
      <c r="E568" s="82" t="n"/>
      <c r="F568" s="83" t="n"/>
      <c r="G568" s="83" t="n"/>
      <c r="H568" s="82" t="n"/>
    </row>
    <row r="569">
      <c r="A569" s="67" t="n"/>
      <c r="B569" s="82" t="n"/>
      <c r="C569" s="82" t="n"/>
      <c r="D569" s="82" t="n"/>
      <c r="E569" s="82" t="n"/>
      <c r="F569" s="83" t="n"/>
      <c r="G569" s="83" t="n"/>
      <c r="H569" s="82" t="n"/>
    </row>
    <row r="570">
      <c r="A570" s="67" t="n"/>
      <c r="B570" s="82" t="n"/>
      <c r="C570" s="82" t="n"/>
      <c r="D570" s="82" t="n"/>
      <c r="E570" s="82" t="n"/>
      <c r="F570" s="83" t="n"/>
      <c r="G570" s="83" t="n"/>
      <c r="H570" s="82" t="n"/>
    </row>
    <row r="571">
      <c r="A571" s="67" t="n"/>
      <c r="B571" s="82" t="n"/>
      <c r="C571" s="82" t="n"/>
      <c r="D571" s="82" t="n"/>
      <c r="E571" s="82" t="n"/>
      <c r="F571" s="83" t="n"/>
      <c r="G571" s="83" t="n"/>
      <c r="H571" s="82" t="n"/>
    </row>
    <row r="572">
      <c r="A572" s="67" t="n"/>
      <c r="B572" s="82" t="n"/>
      <c r="C572" s="82" t="n"/>
      <c r="D572" s="82" t="n"/>
      <c r="E572" s="82" t="n"/>
      <c r="F572" s="83" t="n"/>
      <c r="G572" s="83" t="n"/>
      <c r="H572" s="82" t="n"/>
    </row>
    <row r="573">
      <c r="A573" s="67" t="n"/>
      <c r="B573" s="82" t="n"/>
      <c r="C573" s="82" t="n"/>
      <c r="D573" s="82" t="n"/>
      <c r="E573" s="82" t="n"/>
      <c r="F573" s="83" t="n"/>
      <c r="G573" s="83" t="n"/>
      <c r="H573" s="82" t="n"/>
    </row>
    <row r="574">
      <c r="A574" s="67" t="n"/>
      <c r="B574" s="82" t="n"/>
      <c r="C574" s="82" t="n"/>
      <c r="D574" s="82" t="n"/>
      <c r="E574" s="82" t="n"/>
      <c r="F574" s="83" t="n"/>
      <c r="G574" s="83" t="n"/>
      <c r="H574" s="82" t="n"/>
    </row>
    <row r="575">
      <c r="A575" s="67" t="n"/>
      <c r="B575" s="82" t="n"/>
      <c r="C575" s="82" t="n"/>
      <c r="D575" s="82" t="n"/>
      <c r="E575" s="82" t="n"/>
      <c r="F575" s="83" t="n"/>
      <c r="G575" s="83" t="n"/>
      <c r="H575" s="82" t="n"/>
    </row>
    <row r="576">
      <c r="A576" s="67" t="n"/>
      <c r="B576" s="82" t="n"/>
      <c r="C576" s="82" t="n"/>
      <c r="D576" s="82" t="n"/>
      <c r="E576" s="82" t="n"/>
      <c r="F576" s="83" t="n"/>
      <c r="G576" s="83" t="n"/>
      <c r="H576" s="82" t="n"/>
    </row>
    <row r="577">
      <c r="A577" s="67" t="n"/>
      <c r="B577" s="82" t="n"/>
      <c r="C577" s="82" t="n"/>
      <c r="D577" s="82" t="n"/>
      <c r="E577" s="82" t="n"/>
      <c r="F577" s="83" t="n"/>
      <c r="G577" s="83" t="n"/>
      <c r="H577" s="82" t="n"/>
    </row>
    <row r="578">
      <c r="A578" s="67" t="n"/>
      <c r="B578" s="82" t="n"/>
      <c r="C578" s="82" t="n"/>
      <c r="D578" s="82" t="n"/>
      <c r="E578" s="82" t="n"/>
      <c r="F578" s="83" t="n"/>
      <c r="G578" s="83" t="n"/>
      <c r="H578" s="82" t="n"/>
    </row>
    <row r="579">
      <c r="A579" s="67" t="n"/>
      <c r="B579" s="82" t="n"/>
      <c r="C579" s="82" t="n"/>
      <c r="D579" s="82" t="n"/>
      <c r="E579" s="82" t="n"/>
      <c r="F579" s="83" t="n"/>
      <c r="G579" s="83" t="n"/>
      <c r="H579" s="82" t="n"/>
    </row>
    <row r="580">
      <c r="A580" s="67" t="n"/>
      <c r="B580" s="82" t="n"/>
      <c r="C580" s="82" t="n"/>
      <c r="D580" s="82" t="n"/>
      <c r="E580" s="82" t="n"/>
      <c r="F580" s="83" t="n"/>
      <c r="G580" s="83" t="n"/>
      <c r="H580" s="82" t="n"/>
    </row>
    <row r="581">
      <c r="A581" s="67" t="n"/>
      <c r="B581" s="82" t="n"/>
      <c r="C581" s="82" t="n"/>
      <c r="D581" s="82" t="n"/>
      <c r="E581" s="82" t="n"/>
      <c r="F581" s="83" t="n"/>
      <c r="G581" s="83" t="n"/>
      <c r="H581" s="82" t="n"/>
    </row>
    <row r="582">
      <c r="A582" s="67" t="n"/>
      <c r="B582" s="82" t="n"/>
      <c r="C582" s="82" t="n"/>
      <c r="D582" s="82" t="n"/>
      <c r="E582" s="82" t="n"/>
      <c r="F582" s="83" t="n"/>
      <c r="G582" s="83" t="n"/>
      <c r="H582" s="82" t="n"/>
    </row>
    <row r="583">
      <c r="A583" s="67" t="n"/>
      <c r="B583" s="82" t="n"/>
      <c r="C583" s="82" t="n"/>
      <c r="D583" s="82" t="n"/>
      <c r="E583" s="82" t="n"/>
      <c r="F583" s="83" t="n"/>
      <c r="G583" s="83" t="n"/>
      <c r="H583" s="82" t="n"/>
    </row>
    <row r="584">
      <c r="A584" s="67" t="n"/>
      <c r="B584" s="82" t="n"/>
      <c r="C584" s="82" t="n"/>
      <c r="D584" s="82" t="n"/>
      <c r="E584" s="82" t="n"/>
      <c r="F584" s="83" t="n"/>
      <c r="G584" s="83" t="n"/>
      <c r="H584" s="82" t="n"/>
    </row>
    <row r="585">
      <c r="A585" s="67" t="n"/>
      <c r="B585" s="82" t="n"/>
      <c r="C585" s="82" t="n"/>
      <c r="D585" s="82" t="n"/>
      <c r="E585" s="82" t="n"/>
      <c r="F585" s="83" t="n"/>
      <c r="G585" s="83" t="n"/>
      <c r="H585" s="82" t="n"/>
    </row>
    <row r="586">
      <c r="A586" s="67" t="n"/>
      <c r="B586" s="82" t="n"/>
      <c r="C586" s="82" t="n"/>
      <c r="D586" s="82" t="n"/>
      <c r="E586" s="82" t="n"/>
      <c r="F586" s="83" t="n"/>
      <c r="G586" s="83" t="n"/>
      <c r="H586" s="82" t="n"/>
    </row>
    <row r="587">
      <c r="A587" s="67" t="n"/>
      <c r="B587" s="82" t="n"/>
      <c r="C587" s="82" t="n"/>
      <c r="D587" s="82" t="n"/>
      <c r="E587" s="82" t="n"/>
      <c r="F587" s="83" t="n"/>
      <c r="G587" s="83" t="n"/>
      <c r="H587" s="82" t="n"/>
    </row>
    <row r="588">
      <c r="A588" s="67" t="n"/>
      <c r="B588" s="82" t="n"/>
      <c r="C588" s="82" t="n"/>
      <c r="D588" s="82" t="n"/>
      <c r="E588" s="82" t="n"/>
      <c r="F588" s="83" t="n"/>
      <c r="G588" s="83" t="n"/>
      <c r="H588" s="82" t="n"/>
    </row>
    <row r="589">
      <c r="A589" s="67" t="n"/>
      <c r="B589" s="82" t="n"/>
      <c r="C589" s="82" t="n"/>
      <c r="D589" s="82" t="n"/>
      <c r="E589" s="82" t="n"/>
      <c r="F589" s="83" t="n"/>
      <c r="G589" s="83" t="n"/>
      <c r="H589" s="82" t="n"/>
    </row>
    <row r="590">
      <c r="A590" s="67" t="n"/>
      <c r="B590" s="82" t="n"/>
      <c r="C590" s="82" t="n"/>
      <c r="D590" s="82" t="n"/>
      <c r="E590" s="82" t="n"/>
      <c r="F590" s="83" t="n"/>
      <c r="G590" s="83" t="n"/>
      <c r="H590" s="82" t="n"/>
    </row>
    <row r="591">
      <c r="A591" s="67" t="n"/>
      <c r="B591" s="82" t="n"/>
      <c r="C591" s="82" t="n"/>
      <c r="D591" s="82" t="n"/>
      <c r="E591" s="82" t="n"/>
      <c r="F591" s="83" t="n"/>
      <c r="G591" s="83" t="n"/>
      <c r="H591" s="82" t="n"/>
    </row>
    <row r="592">
      <c r="A592" s="67" t="n"/>
      <c r="B592" s="82" t="n"/>
      <c r="C592" s="82" t="n"/>
      <c r="D592" s="82" t="n"/>
      <c r="E592" s="82" t="n"/>
      <c r="F592" s="83" t="n"/>
      <c r="G592" s="83" t="n"/>
      <c r="H592" s="82" t="n"/>
    </row>
    <row r="593">
      <c r="A593" s="67" t="n"/>
      <c r="B593" s="82" t="n"/>
      <c r="C593" s="82" t="n"/>
      <c r="D593" s="82" t="n"/>
      <c r="E593" s="82" t="n"/>
      <c r="F593" s="83" t="n"/>
      <c r="G593" s="83" t="n"/>
      <c r="H593" s="82" t="n"/>
    </row>
    <row r="594">
      <c r="A594" s="67" t="n"/>
      <c r="B594" s="82" t="n"/>
      <c r="C594" s="82" t="n"/>
      <c r="D594" s="82" t="n"/>
      <c r="E594" s="82" t="n"/>
      <c r="F594" s="83" t="n"/>
      <c r="G594" s="83" t="n"/>
      <c r="H594" s="82" t="n"/>
    </row>
    <row r="595">
      <c r="A595" s="67" t="n"/>
      <c r="B595" s="82" t="n"/>
      <c r="C595" s="82" t="n"/>
      <c r="D595" s="82" t="n"/>
      <c r="E595" s="82" t="n"/>
      <c r="F595" s="83" t="n"/>
      <c r="G595" s="83" t="n"/>
      <c r="H595" s="82" t="n"/>
    </row>
    <row r="596">
      <c r="A596" s="67" t="n"/>
      <c r="B596" s="82" t="n"/>
      <c r="C596" s="82" t="n"/>
      <c r="D596" s="82" t="n"/>
      <c r="E596" s="82" t="n"/>
      <c r="F596" s="83" t="n"/>
      <c r="G596" s="83" t="n"/>
      <c r="H596" s="82" t="n"/>
    </row>
    <row r="597">
      <c r="A597" s="67" t="n"/>
      <c r="B597" s="82" t="n"/>
      <c r="C597" s="82" t="n"/>
      <c r="D597" s="82" t="n"/>
      <c r="E597" s="82" t="n"/>
      <c r="F597" s="83" t="n"/>
      <c r="G597" s="83" t="n"/>
      <c r="H597" s="82" t="n"/>
    </row>
    <row r="598">
      <c r="A598" s="67" t="n"/>
      <c r="B598" s="82" t="n"/>
      <c r="C598" s="82" t="n"/>
      <c r="D598" s="82" t="n"/>
      <c r="E598" s="82" t="n"/>
      <c r="F598" s="83" t="n"/>
      <c r="G598" s="83" t="n"/>
      <c r="H598" s="82" t="n"/>
    </row>
    <row r="599">
      <c r="A599" s="67" t="n"/>
      <c r="B599" s="82" t="n"/>
      <c r="C599" s="82" t="n"/>
      <c r="D599" s="82" t="n"/>
      <c r="E599" s="82" t="n"/>
      <c r="F599" s="83" t="n"/>
      <c r="G599" s="83" t="n"/>
      <c r="H599" s="82" t="n"/>
    </row>
    <row r="600">
      <c r="A600" s="67" t="n"/>
      <c r="B600" s="82" t="n"/>
      <c r="C600" s="82" t="n"/>
      <c r="D600" s="82" t="n"/>
      <c r="E600" s="82" t="n"/>
      <c r="F600" s="83" t="n"/>
      <c r="G600" s="83" t="n"/>
      <c r="H600" s="82" t="n"/>
    </row>
    <row r="601">
      <c r="A601" s="67" t="n"/>
      <c r="B601" s="82" t="n"/>
      <c r="C601" s="82" t="n"/>
      <c r="D601" s="82" t="n"/>
      <c r="E601" s="82" t="n"/>
      <c r="F601" s="83" t="n"/>
      <c r="G601" s="83" t="n"/>
      <c r="H601" s="82" t="n"/>
    </row>
    <row r="602">
      <c r="A602" s="67" t="n"/>
      <c r="B602" s="82" t="n"/>
      <c r="C602" s="82" t="n"/>
      <c r="D602" s="82" t="n"/>
      <c r="E602" s="82" t="n"/>
      <c r="F602" s="83" t="n"/>
      <c r="G602" s="83" t="n"/>
      <c r="H602" s="82" t="n"/>
    </row>
    <row r="603">
      <c r="A603" s="67" t="n"/>
      <c r="B603" s="82" t="n"/>
      <c r="C603" s="82" t="n"/>
      <c r="D603" s="82" t="n"/>
      <c r="E603" s="82" t="n"/>
      <c r="F603" s="83" t="n"/>
      <c r="G603" s="83" t="n"/>
      <c r="H603" s="82" t="n"/>
    </row>
    <row r="604">
      <c r="A604" s="67" t="n"/>
      <c r="B604" s="82" t="n"/>
      <c r="C604" s="82" t="n"/>
      <c r="D604" s="82" t="n"/>
      <c r="E604" s="82" t="n"/>
      <c r="F604" s="83" t="n"/>
      <c r="G604" s="83" t="n"/>
      <c r="H604" s="82" t="n"/>
    </row>
    <row r="605">
      <c r="A605" s="67" t="n"/>
      <c r="B605" s="82" t="n"/>
      <c r="C605" s="82" t="n"/>
      <c r="D605" s="82" t="n"/>
      <c r="E605" s="82" t="n"/>
      <c r="F605" s="83" t="n"/>
      <c r="G605" s="83" t="n"/>
      <c r="H605" s="82" t="n"/>
    </row>
    <row r="606">
      <c r="A606" s="67" t="n"/>
      <c r="B606" s="82" t="n"/>
      <c r="C606" s="82" t="n"/>
      <c r="D606" s="82" t="n"/>
      <c r="E606" s="82" t="n"/>
      <c r="F606" s="83" t="n"/>
      <c r="G606" s="83" t="n"/>
      <c r="H606" s="82" t="n"/>
    </row>
    <row r="607">
      <c r="A607" s="67" t="n"/>
      <c r="B607" s="82" t="n"/>
      <c r="C607" s="82" t="n"/>
      <c r="D607" s="82" t="n"/>
      <c r="E607" s="82" t="n"/>
      <c r="F607" s="83" t="n"/>
      <c r="G607" s="83" t="n"/>
      <c r="H607" s="82" t="n"/>
    </row>
    <row r="608">
      <c r="A608" s="67" t="n"/>
      <c r="B608" s="82" t="n"/>
      <c r="C608" s="82" t="n"/>
      <c r="D608" s="82" t="n"/>
      <c r="E608" s="82" t="n"/>
      <c r="F608" s="83" t="n"/>
      <c r="G608" s="83" t="n"/>
      <c r="H608" s="82" t="n"/>
    </row>
    <row r="609">
      <c r="A609" s="67" t="n"/>
      <c r="B609" s="82" t="n"/>
      <c r="C609" s="82" t="n"/>
      <c r="D609" s="82" t="n"/>
      <c r="E609" s="82" t="n"/>
      <c r="F609" s="83" t="n"/>
      <c r="G609" s="83" t="n"/>
      <c r="H609" s="82" t="n"/>
    </row>
    <row r="610">
      <c r="A610" s="67" t="n"/>
      <c r="B610" s="82" t="n"/>
      <c r="C610" s="82" t="n"/>
      <c r="D610" s="82" t="n"/>
      <c r="E610" s="82" t="n"/>
      <c r="F610" s="83" t="n"/>
      <c r="G610" s="83" t="n"/>
      <c r="H610" s="82" t="n"/>
    </row>
    <row r="611">
      <c r="A611" s="67" t="n"/>
      <c r="B611" s="82" t="n"/>
      <c r="C611" s="82" t="n"/>
      <c r="D611" s="82" t="n"/>
      <c r="E611" s="82" t="n"/>
      <c r="F611" s="83" t="n"/>
      <c r="G611" s="83" t="n"/>
      <c r="H611" s="82" t="n"/>
    </row>
    <row r="612">
      <c r="A612" s="67" t="n"/>
      <c r="B612" s="82" t="n"/>
      <c r="C612" s="82" t="n"/>
      <c r="D612" s="82" t="n"/>
      <c r="E612" s="82" t="n"/>
      <c r="F612" s="83" t="n"/>
      <c r="G612" s="83" t="n"/>
      <c r="H612" s="82" t="n"/>
    </row>
    <row r="613">
      <c r="A613" s="67" t="n"/>
      <c r="B613" s="82" t="n"/>
      <c r="C613" s="82" t="n"/>
      <c r="D613" s="82" t="n"/>
      <c r="E613" s="82" t="n"/>
      <c r="F613" s="83" t="n"/>
      <c r="G613" s="83" t="n"/>
      <c r="H613" s="82" t="n"/>
    </row>
    <row r="614">
      <c r="A614" s="67" t="n"/>
      <c r="B614" s="82" t="n"/>
      <c r="C614" s="82" t="n"/>
      <c r="D614" s="82" t="n"/>
      <c r="E614" s="82" t="n"/>
      <c r="F614" s="83" t="n"/>
      <c r="G614" s="83" t="n"/>
      <c r="H614" s="82" t="n"/>
    </row>
    <row r="615">
      <c r="A615" s="67" t="n"/>
      <c r="B615" s="82" t="n"/>
      <c r="C615" s="82" t="n"/>
      <c r="D615" s="82" t="n"/>
      <c r="E615" s="82" t="n"/>
      <c r="F615" s="83" t="n"/>
      <c r="G615" s="83" t="n"/>
      <c r="H615" s="82" t="n"/>
    </row>
    <row r="616">
      <c r="A616" s="67" t="n"/>
      <c r="B616" s="82" t="n"/>
      <c r="C616" s="82" t="n"/>
      <c r="D616" s="82" t="n"/>
      <c r="E616" s="82" t="n"/>
      <c r="F616" s="83" t="n"/>
      <c r="G616" s="83" t="n"/>
      <c r="H616" s="82" t="n"/>
    </row>
    <row r="617">
      <c r="A617" s="67" t="n"/>
      <c r="B617" s="82" t="n"/>
      <c r="C617" s="82" t="n"/>
      <c r="D617" s="82" t="n"/>
      <c r="E617" s="82" t="n"/>
      <c r="F617" s="83" t="n"/>
      <c r="G617" s="83" t="n"/>
      <c r="H617" s="82" t="n"/>
    </row>
    <row r="618">
      <c r="A618" s="67" t="n"/>
      <c r="B618" s="82" t="n"/>
      <c r="C618" s="82" t="n"/>
      <c r="D618" s="82" t="n"/>
      <c r="E618" s="82" t="n"/>
      <c r="F618" s="83" t="n"/>
      <c r="G618" s="83" t="n"/>
      <c r="H618" s="82" t="n"/>
    </row>
    <row r="619">
      <c r="A619" s="67" t="n"/>
      <c r="B619" s="82" t="n"/>
      <c r="C619" s="82" t="n"/>
      <c r="D619" s="82" t="n"/>
      <c r="E619" s="82" t="n"/>
      <c r="F619" s="83" t="n"/>
      <c r="G619" s="83" t="n"/>
      <c r="H619" s="82" t="n"/>
    </row>
    <row r="620">
      <c r="A620" s="67" t="n"/>
      <c r="B620" s="82" t="n"/>
      <c r="C620" s="82" t="n"/>
      <c r="D620" s="82" t="n"/>
      <c r="E620" s="82" t="n"/>
      <c r="F620" s="83" t="n"/>
      <c r="G620" s="83" t="n"/>
      <c r="H620" s="82" t="n"/>
    </row>
    <row r="621">
      <c r="A621" s="67" t="n"/>
      <c r="B621" s="82" t="n"/>
      <c r="C621" s="82" t="n"/>
      <c r="D621" s="82" t="n"/>
      <c r="E621" s="82" t="n"/>
      <c r="F621" s="83" t="n"/>
      <c r="G621" s="83" t="n"/>
      <c r="H621" s="82" t="n"/>
    </row>
    <row r="622">
      <c r="A622" s="67" t="n"/>
      <c r="B622" s="82" t="n"/>
      <c r="C622" s="82" t="n"/>
      <c r="D622" s="82" t="n"/>
      <c r="E622" s="82" t="n"/>
      <c r="F622" s="83" t="n"/>
      <c r="G622" s="83" t="n"/>
      <c r="H622" s="82" t="n"/>
    </row>
    <row r="623">
      <c r="A623" s="67" t="n"/>
      <c r="B623" s="82" t="n"/>
      <c r="C623" s="82" t="n"/>
      <c r="D623" s="82" t="n"/>
      <c r="E623" s="82" t="n"/>
      <c r="F623" s="83" t="n"/>
      <c r="G623" s="83" t="n"/>
      <c r="H623" s="82" t="n"/>
    </row>
    <row r="624">
      <c r="A624" s="67" t="n"/>
      <c r="B624" s="82" t="n"/>
      <c r="C624" s="82" t="n"/>
      <c r="D624" s="82" t="n"/>
      <c r="E624" s="82" t="n"/>
      <c r="F624" s="83" t="n"/>
      <c r="G624" s="83" t="n"/>
      <c r="H624" s="82" t="n"/>
    </row>
    <row r="625">
      <c r="A625" s="67" t="n"/>
      <c r="B625" s="82" t="n"/>
      <c r="C625" s="82" t="n"/>
      <c r="D625" s="82" t="n"/>
      <c r="E625" s="82" t="n"/>
      <c r="F625" s="83" t="n"/>
      <c r="G625" s="83" t="n"/>
      <c r="H625" s="82" t="n"/>
    </row>
    <row r="626">
      <c r="A626" s="67" t="n"/>
      <c r="B626" s="82" t="n"/>
      <c r="C626" s="82" t="n"/>
      <c r="D626" s="82" t="n"/>
      <c r="E626" s="82" t="n"/>
      <c r="F626" s="83" t="n"/>
      <c r="G626" s="83" t="n"/>
      <c r="H626" s="82" t="n"/>
    </row>
    <row r="627">
      <c r="A627" s="67" t="n"/>
      <c r="B627" s="82" t="n"/>
      <c r="C627" s="82" t="n"/>
      <c r="D627" s="82" t="n"/>
      <c r="E627" s="82" t="n"/>
      <c r="F627" s="83" t="n"/>
      <c r="G627" s="83" t="n"/>
      <c r="H627" s="82" t="n"/>
    </row>
    <row r="628">
      <c r="A628" s="67" t="n"/>
      <c r="B628" s="82" t="n"/>
      <c r="C628" s="82" t="n"/>
      <c r="D628" s="82" t="n"/>
      <c r="E628" s="82" t="n"/>
      <c r="F628" s="83" t="n"/>
      <c r="G628" s="83" t="n"/>
      <c r="H628" s="82" t="n"/>
    </row>
    <row r="629">
      <c r="A629" s="67" t="n"/>
      <c r="B629" s="82" t="n"/>
      <c r="C629" s="82" t="n"/>
      <c r="D629" s="82" t="n"/>
      <c r="E629" s="82" t="n"/>
      <c r="F629" s="83" t="n"/>
      <c r="G629" s="83" t="n"/>
      <c r="H629" s="82" t="n"/>
    </row>
    <row r="630">
      <c r="A630" s="67" t="n"/>
      <c r="B630" s="82" t="n"/>
      <c r="C630" s="82" t="n"/>
      <c r="D630" s="82" t="n"/>
      <c r="E630" s="82" t="n"/>
      <c r="F630" s="83" t="n"/>
      <c r="G630" s="83" t="n"/>
      <c r="H630" s="82" t="n"/>
    </row>
    <row r="631">
      <c r="A631" s="67" t="n"/>
      <c r="B631" s="82" t="n"/>
      <c r="C631" s="82" t="n"/>
      <c r="D631" s="82" t="n"/>
      <c r="E631" s="82" t="n"/>
      <c r="F631" s="83" t="n"/>
      <c r="G631" s="83" t="n"/>
      <c r="H631" s="82" t="n"/>
    </row>
    <row r="632">
      <c r="A632" s="67" t="n"/>
      <c r="B632" s="82" t="n"/>
      <c r="C632" s="82" t="n"/>
      <c r="D632" s="82" t="n"/>
      <c r="E632" s="82" t="n"/>
      <c r="F632" s="83" t="n"/>
      <c r="G632" s="83" t="n"/>
      <c r="H632" s="82" t="n"/>
    </row>
    <row r="633">
      <c r="A633" s="67" t="n"/>
      <c r="B633" s="82" t="n"/>
      <c r="C633" s="82" t="n"/>
      <c r="D633" s="82" t="n"/>
      <c r="E633" s="82" t="n"/>
      <c r="F633" s="83" t="n"/>
      <c r="G633" s="83" t="n"/>
      <c r="H633" s="82" t="n"/>
    </row>
    <row r="634">
      <c r="A634" s="67" t="n"/>
      <c r="B634" s="82" t="n"/>
      <c r="C634" s="82" t="n"/>
      <c r="D634" s="82" t="n"/>
      <c r="E634" s="82" t="n"/>
      <c r="F634" s="83" t="n"/>
      <c r="G634" s="83" t="n"/>
      <c r="H634" s="82" t="n"/>
    </row>
    <row r="635">
      <c r="A635" s="67" t="n"/>
      <c r="B635" s="82" t="n"/>
      <c r="C635" s="82" t="n"/>
      <c r="D635" s="82" t="n"/>
      <c r="E635" s="82" t="n"/>
      <c r="F635" s="83" t="n"/>
      <c r="G635" s="83" t="n"/>
      <c r="H635" s="82" t="n"/>
    </row>
    <row r="636">
      <c r="A636" s="67" t="n"/>
      <c r="B636" s="82" t="n"/>
      <c r="C636" s="82" t="n"/>
      <c r="D636" s="82" t="n"/>
      <c r="E636" s="82" t="n"/>
      <c r="F636" s="83" t="n"/>
      <c r="G636" s="83" t="n"/>
      <c r="H636" s="82" t="n"/>
    </row>
    <row r="637">
      <c r="A637" s="67" t="n"/>
      <c r="B637" s="82" t="n"/>
      <c r="C637" s="82" t="n"/>
      <c r="D637" s="82" t="n"/>
      <c r="E637" s="82" t="n"/>
      <c r="F637" s="83" t="n"/>
      <c r="G637" s="83" t="n"/>
      <c r="H637" s="82" t="n"/>
    </row>
    <row r="638">
      <c r="A638" s="67" t="n"/>
      <c r="B638" s="82" t="n"/>
      <c r="C638" s="82" t="n"/>
      <c r="D638" s="82" t="n"/>
      <c r="E638" s="82" t="n"/>
      <c r="F638" s="83" t="n"/>
      <c r="G638" s="83" t="n"/>
      <c r="H638" s="82" t="n"/>
    </row>
    <row r="639">
      <c r="A639" s="67" t="n"/>
      <c r="B639" s="82" t="n"/>
      <c r="C639" s="82" t="n"/>
      <c r="D639" s="82" t="n"/>
      <c r="E639" s="82" t="n"/>
      <c r="F639" s="83" t="n"/>
      <c r="G639" s="83" t="n"/>
      <c r="H639" s="82" t="n"/>
    </row>
    <row r="640">
      <c r="A640" s="67" t="n"/>
      <c r="B640" s="82" t="n"/>
      <c r="C640" s="82" t="n"/>
      <c r="D640" s="82" t="n"/>
      <c r="E640" s="82" t="n"/>
      <c r="F640" s="83" t="n"/>
      <c r="G640" s="83" t="n"/>
      <c r="H640" s="82" t="n"/>
    </row>
    <row r="641">
      <c r="A641" s="67" t="n"/>
      <c r="B641" s="82" t="n"/>
      <c r="C641" s="82" t="n"/>
      <c r="D641" s="82" t="n"/>
      <c r="E641" s="82" t="n"/>
      <c r="F641" s="83" t="n"/>
      <c r="G641" s="83" t="n"/>
      <c r="H641" s="82" t="n"/>
    </row>
    <row r="642">
      <c r="A642" s="67" t="n"/>
      <c r="B642" s="82" t="n"/>
      <c r="C642" s="82" t="n"/>
      <c r="D642" s="82" t="n"/>
      <c r="E642" s="82" t="n"/>
      <c r="F642" s="83" t="n"/>
      <c r="G642" s="83" t="n"/>
      <c r="H642" s="82" t="n"/>
    </row>
    <row r="643">
      <c r="A643" s="67" t="n"/>
      <c r="B643" s="82" t="n"/>
      <c r="C643" s="82" t="n"/>
      <c r="D643" s="82" t="n"/>
      <c r="E643" s="82" t="n"/>
      <c r="F643" s="83" t="n"/>
      <c r="G643" s="83" t="n"/>
      <c r="H643" s="82" t="n"/>
    </row>
    <row r="644">
      <c r="A644" s="67" t="n"/>
      <c r="B644" s="82" t="n"/>
      <c r="C644" s="82" t="n"/>
      <c r="D644" s="82" t="n"/>
      <c r="E644" s="82" t="n"/>
      <c r="F644" s="83" t="n"/>
      <c r="G644" s="83" t="n"/>
      <c r="H644" s="82" t="n"/>
    </row>
    <row r="645">
      <c r="A645" s="67" t="n"/>
      <c r="B645" s="82" t="n"/>
      <c r="C645" s="82" t="n"/>
      <c r="D645" s="82" t="n"/>
      <c r="E645" s="82" t="n"/>
      <c r="F645" s="83" t="n"/>
      <c r="G645" s="83" t="n"/>
      <c r="H645" s="82" t="n"/>
    </row>
    <row r="646">
      <c r="A646" s="67" t="n"/>
      <c r="B646" s="82" t="n"/>
      <c r="C646" s="82" t="n"/>
      <c r="D646" s="82" t="n"/>
      <c r="E646" s="82" t="n"/>
      <c r="F646" s="83" t="n"/>
      <c r="G646" s="83" t="n"/>
      <c r="H646" s="82" t="n"/>
    </row>
    <row r="647">
      <c r="A647" s="67" t="n"/>
      <c r="B647" s="82" t="n"/>
      <c r="C647" s="82" t="n"/>
      <c r="D647" s="82" t="n"/>
      <c r="E647" s="82" t="n"/>
      <c r="F647" s="83" t="n"/>
      <c r="G647" s="83" t="n"/>
      <c r="H647" s="82" t="n"/>
    </row>
    <row r="648">
      <c r="A648" s="67" t="n"/>
      <c r="B648" s="82" t="n"/>
      <c r="C648" s="82" t="n"/>
      <c r="D648" s="82" t="n"/>
      <c r="E648" s="82" t="n"/>
      <c r="F648" s="83" t="n"/>
      <c r="G648" s="83" t="n"/>
      <c r="H648" s="82" t="n"/>
    </row>
    <row r="649">
      <c r="A649" s="67" t="n"/>
      <c r="B649" s="82" t="n"/>
      <c r="C649" s="82" t="n"/>
      <c r="D649" s="82" t="n"/>
      <c r="E649" s="82" t="n"/>
      <c r="F649" s="83" t="n"/>
      <c r="G649" s="83" t="n"/>
      <c r="H649" s="82" t="n"/>
    </row>
    <row r="650">
      <c r="A650" s="67" t="n"/>
      <c r="B650" s="82" t="n"/>
      <c r="C650" s="82" t="n"/>
      <c r="D650" s="82" t="n"/>
      <c r="E650" s="82" t="n"/>
      <c r="F650" s="83" t="n"/>
      <c r="G650" s="83" t="n"/>
      <c r="H650" s="82" t="n"/>
    </row>
    <row r="651">
      <c r="A651" s="67" t="n"/>
      <c r="B651" s="82" t="n"/>
      <c r="C651" s="82" t="n"/>
      <c r="D651" s="82" t="n"/>
      <c r="E651" s="82" t="n"/>
      <c r="F651" s="83" t="n"/>
      <c r="G651" s="83" t="n"/>
      <c r="H651" s="82" t="n"/>
    </row>
    <row r="652">
      <c r="A652" s="67" t="n"/>
      <c r="B652" s="82" t="n"/>
      <c r="C652" s="82" t="n"/>
      <c r="D652" s="82" t="n"/>
      <c r="E652" s="82" t="n"/>
      <c r="F652" s="83" t="n"/>
      <c r="G652" s="83" t="n"/>
      <c r="H652" s="82" t="n"/>
    </row>
    <row r="653">
      <c r="A653" s="67" t="n"/>
      <c r="B653" s="82" t="n"/>
      <c r="C653" s="82" t="n"/>
      <c r="D653" s="82" t="n"/>
      <c r="E653" s="82" t="n"/>
      <c r="F653" s="83" t="n"/>
      <c r="G653" s="83" t="n"/>
      <c r="H653" s="82" t="n"/>
    </row>
    <row r="654">
      <c r="A654" s="67" t="n"/>
      <c r="B654" s="82" t="n"/>
      <c r="C654" s="82" t="n"/>
      <c r="D654" s="82" t="n"/>
      <c r="E654" s="82" t="n"/>
      <c r="F654" s="83" t="n"/>
      <c r="G654" s="83" t="n"/>
      <c r="H654" s="82" t="n"/>
    </row>
    <row r="655">
      <c r="A655" s="67" t="n"/>
      <c r="B655" s="82" t="n"/>
      <c r="C655" s="82" t="n"/>
      <c r="D655" s="82" t="n"/>
      <c r="E655" s="82" t="n"/>
      <c r="F655" s="83" t="n"/>
      <c r="G655" s="83" t="n"/>
      <c r="H655" s="82" t="n"/>
    </row>
    <row r="656">
      <c r="A656" s="67" t="n"/>
      <c r="B656" s="82" t="n"/>
      <c r="C656" s="82" t="n"/>
      <c r="D656" s="82" t="n"/>
      <c r="E656" s="82" t="n"/>
      <c r="F656" s="83" t="n"/>
      <c r="G656" s="83" t="n"/>
      <c r="H656" s="82" t="n"/>
    </row>
    <row r="657">
      <c r="A657" s="67" t="n"/>
      <c r="B657" s="82" t="n"/>
      <c r="C657" s="82" t="n"/>
      <c r="D657" s="82" t="n"/>
      <c r="E657" s="82" t="n"/>
      <c r="F657" s="83" t="n"/>
      <c r="G657" s="83" t="n"/>
      <c r="H657" s="82" t="n"/>
    </row>
    <row r="658">
      <c r="A658" s="67" t="n"/>
      <c r="B658" s="82" t="n"/>
      <c r="C658" s="82" t="n"/>
      <c r="D658" s="82" t="n"/>
      <c r="E658" s="82" t="n"/>
      <c r="F658" s="83" t="n"/>
      <c r="G658" s="83" t="n"/>
      <c r="H658" s="82" t="n"/>
    </row>
    <row r="659">
      <c r="A659" s="67" t="n"/>
      <c r="B659" s="82" t="n"/>
      <c r="C659" s="82" t="n"/>
      <c r="D659" s="82" t="n"/>
      <c r="E659" s="82" t="n"/>
      <c r="F659" s="83" t="n"/>
      <c r="G659" s="83" t="n"/>
      <c r="H659" s="82" t="n"/>
    </row>
    <row r="660">
      <c r="A660" s="67" t="n"/>
      <c r="B660" s="82" t="n"/>
      <c r="C660" s="82" t="n"/>
      <c r="D660" s="82" t="n"/>
      <c r="E660" s="82" t="n"/>
      <c r="F660" s="83" t="n"/>
      <c r="G660" s="83" t="n"/>
      <c r="H660" s="82" t="n"/>
    </row>
    <row r="661">
      <c r="A661" s="67" t="n"/>
      <c r="B661" s="82" t="n"/>
      <c r="C661" s="82" t="n"/>
      <c r="D661" s="82" t="n"/>
      <c r="E661" s="82" t="n"/>
      <c r="F661" s="83" t="n"/>
      <c r="G661" s="83" t="n"/>
      <c r="H661" s="82" t="n"/>
    </row>
    <row r="662">
      <c r="A662" s="67" t="n"/>
      <c r="B662" s="82" t="n"/>
      <c r="C662" s="82" t="n"/>
      <c r="D662" s="82" t="n"/>
      <c r="E662" s="82" t="n"/>
      <c r="F662" s="83" t="n"/>
      <c r="G662" s="83" t="n"/>
      <c r="H662" s="82" t="n"/>
    </row>
    <row r="663">
      <c r="A663" s="67" t="n"/>
      <c r="B663" s="82" t="n"/>
      <c r="C663" s="82" t="n"/>
      <c r="D663" s="82" t="n"/>
      <c r="E663" s="82" t="n"/>
      <c r="F663" s="83" t="n"/>
      <c r="G663" s="83" t="n"/>
      <c r="H663" s="82" t="n"/>
    </row>
    <row r="664">
      <c r="A664" s="67" t="n"/>
      <c r="B664" s="82" t="n"/>
      <c r="C664" s="82" t="n"/>
      <c r="D664" s="82" t="n"/>
      <c r="E664" s="82" t="n"/>
      <c r="F664" s="83" t="n"/>
      <c r="G664" s="83" t="n"/>
      <c r="H664" s="82" t="n"/>
    </row>
    <row r="665">
      <c r="A665" s="67" t="n"/>
      <c r="B665" s="82" t="n"/>
      <c r="C665" s="82" t="n"/>
      <c r="D665" s="82" t="n"/>
      <c r="E665" s="82" t="n"/>
      <c r="F665" s="83" t="n"/>
      <c r="G665" s="83" t="n"/>
      <c r="H665" s="82" t="n"/>
    </row>
    <row r="666">
      <c r="A666" s="67" t="n"/>
      <c r="B666" s="82" t="n"/>
      <c r="C666" s="82" t="n"/>
      <c r="D666" s="82" t="n"/>
      <c r="E666" s="82" t="n"/>
      <c r="F666" s="83" t="n"/>
      <c r="G666" s="83" t="n"/>
      <c r="H666" s="82" t="n"/>
    </row>
    <row r="667">
      <c r="A667" s="67" t="n"/>
      <c r="B667" s="82" t="n"/>
      <c r="C667" s="82" t="n"/>
      <c r="D667" s="82" t="n"/>
      <c r="E667" s="82" t="n"/>
      <c r="F667" s="83" t="n"/>
      <c r="G667" s="83" t="n"/>
      <c r="H667" s="82" t="n"/>
    </row>
    <row r="668">
      <c r="A668" s="67" t="n"/>
      <c r="B668" s="82" t="n"/>
      <c r="C668" s="82" t="n"/>
      <c r="D668" s="82" t="n"/>
      <c r="E668" s="82" t="n"/>
      <c r="F668" s="83" t="n"/>
      <c r="G668" s="83" t="n"/>
      <c r="H668" s="82" t="n"/>
    </row>
    <row r="669">
      <c r="A669" s="67" t="n"/>
      <c r="B669" s="82" t="n"/>
      <c r="C669" s="82" t="n"/>
      <c r="D669" s="82" t="n"/>
      <c r="E669" s="82" t="n"/>
      <c r="F669" s="83" t="n"/>
      <c r="G669" s="83" t="n"/>
      <c r="H669" s="82" t="n"/>
    </row>
    <row r="670">
      <c r="A670" s="67" t="n"/>
      <c r="B670" s="82" t="n"/>
      <c r="C670" s="82" t="n"/>
      <c r="D670" s="82" t="n"/>
      <c r="E670" s="82" t="n"/>
      <c r="F670" s="83" t="n"/>
      <c r="G670" s="83" t="n"/>
      <c r="H670" s="82" t="n"/>
    </row>
    <row r="671">
      <c r="A671" s="67" t="n"/>
      <c r="B671" s="82" t="n"/>
      <c r="C671" s="82" t="n"/>
      <c r="D671" s="82" t="n"/>
      <c r="E671" s="82" t="n"/>
      <c r="F671" s="83" t="n"/>
      <c r="G671" s="83" t="n"/>
      <c r="H671" s="82" t="n"/>
    </row>
    <row r="672">
      <c r="A672" s="67" t="n"/>
      <c r="B672" s="82" t="n"/>
      <c r="C672" s="82" t="n"/>
      <c r="D672" s="82" t="n"/>
      <c r="E672" s="82" t="n"/>
      <c r="F672" s="83" t="n"/>
      <c r="G672" s="83" t="n"/>
      <c r="H672" s="82" t="n"/>
    </row>
    <row r="673">
      <c r="A673" s="67" t="n"/>
      <c r="B673" s="82" t="n"/>
      <c r="C673" s="82" t="n"/>
      <c r="D673" s="82" t="n"/>
      <c r="E673" s="82" t="n"/>
      <c r="F673" s="83" t="n"/>
      <c r="G673" s="83" t="n"/>
      <c r="H673" s="82" t="n"/>
    </row>
    <row r="674">
      <c r="A674" s="67" t="n"/>
      <c r="B674" s="82" t="n"/>
      <c r="C674" s="82" t="n"/>
      <c r="D674" s="82" t="n"/>
      <c r="E674" s="82" t="n"/>
      <c r="F674" s="83" t="n"/>
      <c r="G674" s="83" t="n"/>
      <c r="H674" s="82" t="n"/>
    </row>
    <row r="675">
      <c r="A675" s="67" t="n"/>
      <c r="B675" s="82" t="n"/>
      <c r="C675" s="82" t="n"/>
      <c r="D675" s="82" t="n"/>
      <c r="E675" s="82" t="n"/>
      <c r="F675" s="83" t="n"/>
      <c r="G675" s="83" t="n"/>
      <c r="H675" s="82" t="n"/>
    </row>
    <row r="676">
      <c r="A676" s="67" t="n"/>
      <c r="B676" s="82" t="n"/>
      <c r="C676" s="82" t="n"/>
      <c r="D676" s="82" t="n"/>
      <c r="E676" s="82" t="n"/>
      <c r="F676" s="83" t="n"/>
      <c r="G676" s="83" t="n"/>
      <c r="H676" s="82" t="n"/>
    </row>
    <row r="677">
      <c r="A677" s="67" t="n"/>
      <c r="B677" s="82" t="n"/>
      <c r="C677" s="82" t="n"/>
      <c r="D677" s="82" t="n"/>
      <c r="E677" s="82" t="n"/>
      <c r="F677" s="83" t="n"/>
      <c r="G677" s="83" t="n"/>
      <c r="H677" s="82" t="n"/>
    </row>
    <row r="678">
      <c r="A678" s="67" t="n"/>
      <c r="B678" s="82" t="n"/>
      <c r="C678" s="82" t="n"/>
      <c r="D678" s="82" t="n"/>
      <c r="E678" s="82" t="n"/>
      <c r="F678" s="83" t="n"/>
      <c r="G678" s="83" t="n"/>
      <c r="H678" s="82" t="n"/>
    </row>
    <row r="679">
      <c r="A679" s="67" t="n"/>
      <c r="B679" s="82" t="n"/>
      <c r="C679" s="82" t="n"/>
      <c r="D679" s="82" t="n"/>
      <c r="E679" s="82" t="n"/>
      <c r="F679" s="83" t="n"/>
      <c r="G679" s="83" t="n"/>
      <c r="H679" s="82" t="n"/>
    </row>
    <row r="680">
      <c r="A680" s="67" t="n"/>
      <c r="B680" s="82" t="n"/>
      <c r="C680" s="82" t="n"/>
      <c r="D680" s="82" t="n"/>
      <c r="E680" s="82" t="n"/>
      <c r="F680" s="83" t="n"/>
      <c r="G680" s="83" t="n"/>
      <c r="H680" s="82" t="n"/>
    </row>
    <row r="681">
      <c r="A681" s="67" t="n"/>
      <c r="B681" s="82" t="n"/>
      <c r="C681" s="82" t="n"/>
      <c r="D681" s="82" t="n"/>
      <c r="E681" s="82" t="n"/>
      <c r="F681" s="83" t="n"/>
      <c r="G681" s="83" t="n"/>
      <c r="H681" s="82" t="n"/>
    </row>
    <row r="682">
      <c r="A682" s="67" t="n"/>
      <c r="B682" s="82" t="n"/>
      <c r="C682" s="82" t="n"/>
      <c r="D682" s="82" t="n"/>
      <c r="E682" s="82" t="n"/>
      <c r="F682" s="83" t="n"/>
      <c r="G682" s="83" t="n"/>
      <c r="H682" s="82" t="n"/>
    </row>
    <row r="683">
      <c r="A683" s="67" t="n"/>
      <c r="B683" s="82" t="n"/>
      <c r="C683" s="82" t="n"/>
      <c r="D683" s="82" t="n"/>
      <c r="E683" s="82" t="n"/>
      <c r="F683" s="83" t="n"/>
      <c r="G683" s="83" t="n"/>
      <c r="H683" s="82" t="n"/>
    </row>
    <row r="684">
      <c r="A684" s="67" t="n"/>
      <c r="B684" s="82" t="n"/>
      <c r="C684" s="82" t="n"/>
      <c r="D684" s="82" t="n"/>
      <c r="E684" s="82" t="n"/>
      <c r="F684" s="83" t="n"/>
      <c r="G684" s="83" t="n"/>
      <c r="H684" s="82" t="n"/>
    </row>
    <row r="685">
      <c r="A685" s="67" t="n"/>
      <c r="B685" s="82" t="n"/>
      <c r="C685" s="82" t="n"/>
      <c r="D685" s="82" t="n"/>
      <c r="E685" s="82" t="n"/>
      <c r="F685" s="83" t="n"/>
      <c r="G685" s="83" t="n"/>
      <c r="H685" s="82" t="n"/>
    </row>
    <row r="686">
      <c r="A686" s="67" t="n"/>
      <c r="B686" s="82" t="n"/>
      <c r="C686" s="82" t="n"/>
      <c r="D686" s="82" t="n"/>
      <c r="E686" s="82" t="n"/>
      <c r="F686" s="83" t="n"/>
      <c r="G686" s="83" t="n"/>
      <c r="H686" s="82" t="n"/>
    </row>
    <row r="687">
      <c r="A687" s="67" t="n"/>
      <c r="B687" s="82" t="n"/>
      <c r="C687" s="82" t="n"/>
      <c r="D687" s="82" t="n"/>
      <c r="E687" s="82" t="n"/>
      <c r="F687" s="83" t="n"/>
      <c r="G687" s="83" t="n"/>
      <c r="H687" s="82" t="n"/>
    </row>
    <row r="688">
      <c r="A688" s="67" t="n"/>
      <c r="B688" s="82" t="n"/>
      <c r="C688" s="82" t="n"/>
      <c r="D688" s="82" t="n"/>
      <c r="E688" s="82" t="n"/>
      <c r="F688" s="83" t="n"/>
      <c r="G688" s="83" t="n"/>
      <c r="H688" s="82" t="n"/>
    </row>
    <row r="689">
      <c r="A689" s="67" t="n"/>
      <c r="B689" s="82" t="n"/>
      <c r="C689" s="82" t="n"/>
      <c r="D689" s="82" t="n"/>
      <c r="E689" s="82" t="n"/>
      <c r="F689" s="83" t="n"/>
      <c r="G689" s="83" t="n"/>
      <c r="H689" s="82" t="n"/>
    </row>
    <row r="690">
      <c r="A690" s="67" t="n"/>
      <c r="B690" s="82" t="n"/>
      <c r="C690" s="82" t="n"/>
      <c r="D690" s="82" t="n"/>
      <c r="E690" s="82" t="n"/>
      <c r="F690" s="83" t="n"/>
      <c r="G690" s="83" t="n"/>
      <c r="H690" s="82" t="n"/>
    </row>
    <row r="691">
      <c r="A691" s="67" t="n"/>
      <c r="B691" s="82" t="n"/>
      <c r="C691" s="82" t="n"/>
      <c r="D691" s="82" t="n"/>
      <c r="E691" s="82" t="n"/>
      <c r="F691" s="83" t="n"/>
      <c r="G691" s="83" t="n"/>
      <c r="H691" s="82" t="n"/>
    </row>
    <row r="692">
      <c r="A692" s="67" t="n"/>
      <c r="B692" s="82" t="n"/>
      <c r="C692" s="82" t="n"/>
      <c r="D692" s="82" t="n"/>
      <c r="E692" s="82" t="n"/>
      <c r="F692" s="83" t="n"/>
      <c r="G692" s="83" t="n"/>
      <c r="H692" s="82" t="n"/>
    </row>
    <row r="693">
      <c r="A693" s="67" t="n"/>
      <c r="B693" s="82" t="n"/>
      <c r="C693" s="82" t="n"/>
      <c r="D693" s="82" t="n"/>
      <c r="E693" s="82" t="n"/>
      <c r="F693" s="83" t="n"/>
      <c r="G693" s="83" t="n"/>
      <c r="H693" s="82" t="n"/>
    </row>
    <row r="694">
      <c r="A694" s="67" t="n"/>
      <c r="B694" s="82" t="n"/>
      <c r="C694" s="82" t="n"/>
      <c r="D694" s="82" t="n"/>
      <c r="E694" s="82" t="n"/>
      <c r="F694" s="83" t="n"/>
      <c r="G694" s="83" t="n"/>
      <c r="H694" s="82" t="n"/>
    </row>
    <row r="695">
      <c r="A695" s="67" t="n"/>
      <c r="B695" s="82" t="n"/>
      <c r="C695" s="82" t="n"/>
      <c r="D695" s="82" t="n"/>
      <c r="E695" s="82" t="n"/>
      <c r="F695" s="83" t="n"/>
      <c r="G695" s="83" t="n"/>
      <c r="H695" s="82" t="n"/>
    </row>
    <row r="696">
      <c r="A696" s="67" t="n"/>
      <c r="B696" s="82" t="n"/>
      <c r="C696" s="82" t="n"/>
      <c r="D696" s="82" t="n"/>
      <c r="E696" s="82" t="n"/>
      <c r="F696" s="83" t="n"/>
      <c r="G696" s="83" t="n"/>
      <c r="H696" s="82" t="n"/>
    </row>
    <row r="697">
      <c r="A697" s="67" t="n"/>
      <c r="B697" s="82" t="n"/>
      <c r="C697" s="82" t="n"/>
      <c r="D697" s="82" t="n"/>
      <c r="E697" s="82" t="n"/>
      <c r="F697" s="83" t="n"/>
      <c r="G697" s="83" t="n"/>
      <c r="H697" s="82" t="n"/>
    </row>
    <row r="698">
      <c r="A698" s="67" t="n"/>
      <c r="B698" s="82" t="n"/>
      <c r="C698" s="82" t="n"/>
      <c r="D698" s="82" t="n"/>
      <c r="E698" s="82" t="n"/>
      <c r="F698" s="83" t="n"/>
      <c r="G698" s="83" t="n"/>
      <c r="H698" s="82" t="n"/>
    </row>
    <row r="699">
      <c r="A699" s="67" t="n"/>
      <c r="B699" s="82" t="n"/>
      <c r="C699" s="82" t="n"/>
      <c r="D699" s="82" t="n"/>
      <c r="E699" s="82" t="n"/>
      <c r="F699" s="83" t="n"/>
      <c r="G699" s="83" t="n"/>
      <c r="H699" s="82" t="n"/>
    </row>
    <row r="700">
      <c r="A700" s="67" t="n"/>
      <c r="B700" s="82" t="n"/>
      <c r="C700" s="82" t="n"/>
      <c r="D700" s="82" t="n"/>
      <c r="E700" s="82" t="n"/>
      <c r="F700" s="83" t="n"/>
      <c r="G700" s="83" t="n"/>
      <c r="H700" s="82" t="n"/>
    </row>
    <row r="701">
      <c r="A701" s="67" t="n"/>
      <c r="B701" s="82" t="n"/>
      <c r="C701" s="82" t="n"/>
      <c r="D701" s="82" t="n"/>
      <c r="E701" s="82" t="n"/>
      <c r="F701" s="83" t="n"/>
      <c r="G701" s="83" t="n"/>
      <c r="H701" s="82" t="n"/>
    </row>
    <row r="702">
      <c r="A702" s="67" t="n"/>
      <c r="B702" s="82" t="n"/>
      <c r="C702" s="82" t="n"/>
      <c r="D702" s="82" t="n"/>
      <c r="E702" s="82" t="n"/>
      <c r="F702" s="83" t="n"/>
      <c r="G702" s="83" t="n"/>
      <c r="H702" s="82" t="n"/>
    </row>
    <row r="703">
      <c r="A703" s="67" t="n"/>
      <c r="B703" s="82" t="n"/>
      <c r="C703" s="82" t="n"/>
      <c r="D703" s="82" t="n"/>
      <c r="E703" s="82" t="n"/>
      <c r="F703" s="83" t="n"/>
      <c r="G703" s="83" t="n"/>
      <c r="H703" s="82" t="n"/>
    </row>
    <row r="704">
      <c r="A704" s="67" t="n"/>
      <c r="B704" s="82" t="n"/>
      <c r="C704" s="82" t="n"/>
      <c r="D704" s="82" t="n"/>
      <c r="E704" s="82" t="n"/>
      <c r="F704" s="83" t="n"/>
      <c r="G704" s="83" t="n"/>
      <c r="H704" s="82" t="n"/>
    </row>
    <row r="705">
      <c r="A705" s="67" t="n"/>
      <c r="B705" s="82" t="n"/>
      <c r="C705" s="82" t="n"/>
      <c r="D705" s="82" t="n"/>
      <c r="E705" s="82" t="n"/>
      <c r="F705" s="83" t="n"/>
      <c r="G705" s="83" t="n"/>
      <c r="H705" s="82" t="n"/>
    </row>
    <row r="706">
      <c r="A706" s="67" t="n"/>
      <c r="B706" s="82" t="n"/>
      <c r="C706" s="82" t="n"/>
      <c r="D706" s="82" t="n"/>
      <c r="E706" s="82" t="n"/>
      <c r="F706" s="83" t="n"/>
      <c r="G706" s="83" t="n"/>
      <c r="H706" s="82" t="n"/>
    </row>
    <row r="707">
      <c r="A707" s="67" t="n"/>
      <c r="B707" s="82" t="n"/>
      <c r="C707" s="82" t="n"/>
      <c r="D707" s="82" t="n"/>
      <c r="E707" s="82" t="n"/>
      <c r="F707" s="83" t="n"/>
      <c r="G707" s="83" t="n"/>
      <c r="H707" s="82" t="n"/>
    </row>
    <row r="708">
      <c r="A708" s="67" t="n"/>
      <c r="B708" s="82" t="n"/>
      <c r="C708" s="82" t="n"/>
      <c r="D708" s="82" t="n"/>
      <c r="E708" s="82" t="n"/>
      <c r="F708" s="83" t="n"/>
      <c r="G708" s="83" t="n"/>
      <c r="H708" s="82" t="n"/>
    </row>
    <row r="709">
      <c r="A709" s="67" t="n"/>
      <c r="B709" s="82" t="n"/>
      <c r="C709" s="82" t="n"/>
      <c r="D709" s="82" t="n"/>
      <c r="E709" s="82" t="n"/>
      <c r="F709" s="83" t="n"/>
      <c r="G709" s="83" t="n"/>
      <c r="H709" s="82" t="n"/>
    </row>
    <row r="710">
      <c r="A710" s="67" t="n"/>
      <c r="B710" s="82" t="n"/>
      <c r="C710" s="82" t="n"/>
      <c r="D710" s="82" t="n"/>
      <c r="E710" s="82" t="n"/>
      <c r="F710" s="83" t="n"/>
      <c r="G710" s="83" t="n"/>
      <c r="H710" s="82" t="n"/>
    </row>
    <row r="711">
      <c r="A711" s="67" t="n"/>
      <c r="B711" s="82" t="n"/>
      <c r="C711" s="82" t="n"/>
      <c r="D711" s="82" t="n"/>
      <c r="E711" s="82" t="n"/>
      <c r="F711" s="83" t="n"/>
      <c r="G711" s="83" t="n"/>
      <c r="H711" s="82" t="n"/>
    </row>
    <row r="712">
      <c r="A712" s="67" t="n"/>
      <c r="B712" s="82" t="n"/>
      <c r="C712" s="82" t="n"/>
      <c r="D712" s="82" t="n"/>
      <c r="E712" s="82" t="n"/>
      <c r="F712" s="83" t="n"/>
      <c r="G712" s="83" t="n"/>
      <c r="H712" s="82" t="n"/>
    </row>
    <row r="713">
      <c r="A713" s="67" t="n"/>
      <c r="B713" s="82" t="n"/>
      <c r="C713" s="82" t="n"/>
      <c r="D713" s="82" t="n"/>
      <c r="E713" s="82" t="n"/>
      <c r="F713" s="83" t="n"/>
      <c r="G713" s="83" t="n"/>
      <c r="H713" s="82" t="n"/>
    </row>
    <row r="714">
      <c r="A714" s="67" t="n"/>
      <c r="B714" s="82" t="n"/>
      <c r="C714" s="82" t="n"/>
      <c r="D714" s="82" t="n"/>
      <c r="E714" s="82" t="n"/>
      <c r="F714" s="83" t="n"/>
      <c r="G714" s="83" t="n"/>
      <c r="H714" s="82" t="n"/>
    </row>
    <row r="715">
      <c r="A715" s="67" t="n"/>
      <c r="B715" s="82" t="n"/>
      <c r="C715" s="82" t="n"/>
      <c r="D715" s="82" t="n"/>
      <c r="E715" s="82" t="n"/>
      <c r="F715" s="83" t="n"/>
      <c r="G715" s="83" t="n"/>
      <c r="H715" s="82" t="n"/>
    </row>
    <row r="716">
      <c r="A716" s="67" t="n"/>
      <c r="B716" s="82" t="n"/>
      <c r="C716" s="82" t="n"/>
      <c r="D716" s="82" t="n"/>
      <c r="E716" s="82" t="n"/>
      <c r="F716" s="83" t="n"/>
      <c r="G716" s="83" t="n"/>
      <c r="H716" s="82" t="n"/>
    </row>
    <row r="717">
      <c r="A717" s="67" t="n"/>
      <c r="B717" s="82" t="n"/>
      <c r="C717" s="82" t="n"/>
      <c r="D717" s="82" t="n"/>
      <c r="E717" s="82" t="n"/>
      <c r="F717" s="83" t="n"/>
      <c r="G717" s="83" t="n"/>
      <c r="H717" s="82" t="n"/>
    </row>
    <row r="718">
      <c r="A718" s="67" t="n"/>
      <c r="B718" s="82" t="n"/>
      <c r="C718" s="82" t="n"/>
      <c r="D718" s="82" t="n"/>
      <c r="E718" s="82" t="n"/>
      <c r="F718" s="83" t="n"/>
      <c r="G718" s="83" t="n"/>
      <c r="H718" s="82" t="n"/>
    </row>
    <row r="719">
      <c r="A719" s="67" t="n"/>
      <c r="B719" s="82" t="n"/>
      <c r="C719" s="82" t="n"/>
      <c r="D719" s="82" t="n"/>
      <c r="E719" s="82" t="n"/>
      <c r="F719" s="83" t="n"/>
      <c r="G719" s="83" t="n"/>
      <c r="H719" s="82" t="n"/>
    </row>
    <row r="720">
      <c r="A720" s="67" t="n"/>
      <c r="B720" s="82" t="n"/>
      <c r="C720" s="82" t="n"/>
      <c r="D720" s="82" t="n"/>
      <c r="E720" s="82" t="n"/>
      <c r="F720" s="83" t="n"/>
      <c r="G720" s="83" t="n"/>
      <c r="H720" s="82" t="n"/>
    </row>
    <row r="721">
      <c r="A721" s="67" t="n"/>
      <c r="B721" s="82" t="n"/>
      <c r="C721" s="82" t="n"/>
      <c r="D721" s="82" t="n"/>
      <c r="E721" s="82" t="n"/>
      <c r="F721" s="83" t="n"/>
      <c r="G721" s="83" t="n"/>
      <c r="H721" s="82" t="n"/>
    </row>
    <row r="722">
      <c r="A722" s="67" t="n"/>
      <c r="B722" s="82" t="n"/>
      <c r="C722" s="82" t="n"/>
      <c r="D722" s="82" t="n"/>
      <c r="E722" s="82" t="n"/>
      <c r="F722" s="83" t="n"/>
      <c r="G722" s="83" t="n"/>
      <c r="H722" s="82" t="n"/>
    </row>
    <row r="723">
      <c r="A723" s="67" t="n"/>
      <c r="B723" s="82" t="n"/>
      <c r="C723" s="82" t="n"/>
      <c r="D723" s="82" t="n"/>
      <c r="E723" s="82" t="n"/>
      <c r="F723" s="83" t="n"/>
      <c r="G723" s="83" t="n"/>
      <c r="H723" s="82" t="n"/>
    </row>
    <row r="724">
      <c r="A724" s="67" t="n"/>
      <c r="B724" s="82" t="n"/>
      <c r="C724" s="82" t="n"/>
      <c r="D724" s="82" t="n"/>
      <c r="E724" s="82" t="n"/>
      <c r="F724" s="83" t="n"/>
      <c r="G724" s="83" t="n"/>
      <c r="H724" s="82" t="n"/>
    </row>
    <row r="725">
      <c r="A725" s="67" t="n"/>
      <c r="B725" s="82" t="n"/>
      <c r="C725" s="82" t="n"/>
      <c r="D725" s="82" t="n"/>
      <c r="E725" s="82" t="n"/>
      <c r="F725" s="83" t="n"/>
      <c r="G725" s="83" t="n"/>
      <c r="H725" s="82" t="n"/>
    </row>
    <row r="726">
      <c r="A726" s="67" t="n"/>
      <c r="B726" s="82" t="n"/>
      <c r="C726" s="82" t="n"/>
      <c r="D726" s="82" t="n"/>
      <c r="E726" s="82" t="n"/>
      <c r="F726" s="83" t="n"/>
      <c r="G726" s="83" t="n"/>
      <c r="H726" s="82" t="n"/>
    </row>
    <row r="727">
      <c r="A727" s="67" t="n"/>
      <c r="B727" s="82" t="n"/>
      <c r="C727" s="82" t="n"/>
      <c r="D727" s="82" t="n"/>
      <c r="E727" s="82" t="n"/>
      <c r="F727" s="83" t="n"/>
      <c r="G727" s="83" t="n"/>
      <c r="H727" s="82" t="n"/>
    </row>
    <row r="728">
      <c r="A728" s="67" t="n"/>
      <c r="B728" s="82" t="n"/>
      <c r="C728" s="82" t="n"/>
      <c r="D728" s="82" t="n"/>
      <c r="E728" s="82" t="n"/>
      <c r="F728" s="83" t="n"/>
      <c r="G728" s="83" t="n"/>
      <c r="H728" s="82" t="n"/>
    </row>
    <row r="729">
      <c r="A729" s="67" t="n"/>
      <c r="B729" s="82" t="n"/>
      <c r="C729" s="82" t="n"/>
      <c r="D729" s="82" t="n"/>
      <c r="E729" s="82" t="n"/>
      <c r="F729" s="83" t="n"/>
      <c r="G729" s="83" t="n"/>
      <c r="H729" s="82" t="n"/>
    </row>
    <row r="730">
      <c r="A730" s="67" t="n"/>
      <c r="B730" s="82" t="n"/>
      <c r="C730" s="82" t="n"/>
      <c r="D730" s="82" t="n"/>
      <c r="E730" s="82" t="n"/>
      <c r="F730" s="83" t="n"/>
      <c r="G730" s="83" t="n"/>
      <c r="H730" s="82" t="n"/>
    </row>
    <row r="731">
      <c r="A731" s="67" t="n"/>
      <c r="B731" s="82" t="n"/>
      <c r="C731" s="82" t="n"/>
      <c r="D731" s="82" t="n"/>
      <c r="E731" s="82" t="n"/>
      <c r="F731" s="83" t="n"/>
      <c r="G731" s="83" t="n"/>
      <c r="H731" s="82" t="n"/>
    </row>
    <row r="732">
      <c r="A732" s="67" t="n"/>
      <c r="B732" s="82" t="n"/>
      <c r="C732" s="82" t="n"/>
      <c r="D732" s="82" t="n"/>
      <c r="E732" s="82" t="n"/>
      <c r="F732" s="83" t="n"/>
      <c r="G732" s="83" t="n"/>
      <c r="H732" s="82" t="n"/>
    </row>
    <row r="733">
      <c r="A733" s="67" t="n"/>
      <c r="B733" s="82" t="n"/>
      <c r="C733" s="82" t="n"/>
      <c r="D733" s="82" t="n"/>
      <c r="E733" s="82" t="n"/>
      <c r="F733" s="83" t="n"/>
      <c r="G733" s="83" t="n"/>
      <c r="H733" s="82" t="n"/>
    </row>
    <row r="734">
      <c r="A734" s="67" t="n"/>
      <c r="B734" s="82" t="n"/>
      <c r="C734" s="82" t="n"/>
      <c r="D734" s="82" t="n"/>
      <c r="E734" s="82" t="n"/>
      <c r="F734" s="83" t="n"/>
      <c r="G734" s="83" t="n"/>
      <c r="H734" s="82" t="n"/>
    </row>
    <row r="735">
      <c r="A735" s="67" t="n"/>
      <c r="B735" s="82" t="n"/>
      <c r="C735" s="82" t="n"/>
      <c r="D735" s="82" t="n"/>
      <c r="E735" s="82" t="n"/>
      <c r="F735" s="83" t="n"/>
      <c r="G735" s="83" t="n"/>
      <c r="H735" s="82" t="n"/>
    </row>
    <row r="736">
      <c r="A736" s="67" t="n"/>
      <c r="B736" s="82" t="n"/>
      <c r="C736" s="82" t="n"/>
      <c r="D736" s="82" t="n"/>
      <c r="E736" s="82" t="n"/>
      <c r="F736" s="83" t="n"/>
      <c r="G736" s="83" t="n"/>
      <c r="H736" s="82" t="n"/>
    </row>
    <row r="737">
      <c r="A737" s="67" t="n"/>
      <c r="B737" s="82" t="n"/>
      <c r="C737" s="82" t="n"/>
      <c r="D737" s="82" t="n"/>
      <c r="E737" s="82" t="n"/>
      <c r="F737" s="83" t="n"/>
      <c r="G737" s="83" t="n"/>
      <c r="H737" s="82" t="n"/>
    </row>
    <row r="738">
      <c r="A738" s="67" t="n"/>
      <c r="B738" s="82" t="n"/>
      <c r="C738" s="82" t="n"/>
      <c r="D738" s="82" t="n"/>
      <c r="E738" s="82" t="n"/>
      <c r="F738" s="83" t="n"/>
      <c r="G738" s="83" t="n"/>
      <c r="H738" s="82" t="n"/>
    </row>
    <row r="739">
      <c r="A739" s="67" t="n"/>
      <c r="B739" s="82" t="n"/>
      <c r="C739" s="82" t="n"/>
      <c r="D739" s="82" t="n"/>
      <c r="E739" s="82" t="n"/>
      <c r="F739" s="83" t="n"/>
      <c r="G739" s="83" t="n"/>
      <c r="H739" s="82" t="n"/>
    </row>
    <row r="740">
      <c r="A740" s="67" t="n"/>
      <c r="B740" s="82" t="n"/>
      <c r="C740" s="82" t="n"/>
      <c r="D740" s="82" t="n"/>
      <c r="E740" s="82" t="n"/>
      <c r="F740" s="83" t="n"/>
      <c r="G740" s="83" t="n"/>
      <c r="H740" s="82" t="n"/>
    </row>
    <row r="741">
      <c r="A741" s="67" t="n"/>
      <c r="B741" s="82" t="n"/>
      <c r="C741" s="82" t="n"/>
      <c r="D741" s="82" t="n"/>
      <c r="E741" s="82" t="n"/>
      <c r="F741" s="83" t="n"/>
      <c r="G741" s="83" t="n"/>
      <c r="H741" s="82" t="n"/>
    </row>
    <row r="742">
      <c r="A742" s="67" t="n"/>
      <c r="B742" s="82" t="n"/>
      <c r="C742" s="82" t="n"/>
      <c r="D742" s="82" t="n"/>
      <c r="E742" s="82" t="n"/>
      <c r="F742" s="83" t="n"/>
      <c r="G742" s="83" t="n"/>
      <c r="H742" s="82" t="n"/>
    </row>
    <row r="743">
      <c r="A743" s="67" t="n"/>
      <c r="B743" s="82" t="n"/>
      <c r="C743" s="82" t="n"/>
      <c r="D743" s="82" t="n"/>
      <c r="E743" s="82" t="n"/>
      <c r="F743" s="83" t="n"/>
      <c r="G743" s="83" t="n"/>
      <c r="H743" s="82" t="n"/>
    </row>
    <row r="744">
      <c r="A744" s="67" t="n"/>
      <c r="B744" s="82" t="n"/>
      <c r="C744" s="82" t="n"/>
      <c r="D744" s="82" t="n"/>
      <c r="E744" s="82" t="n"/>
      <c r="F744" s="83" t="n"/>
      <c r="G744" s="83" t="n"/>
      <c r="H744" s="82" t="n"/>
    </row>
    <row r="745">
      <c r="A745" s="67" t="n"/>
      <c r="B745" s="82" t="n"/>
      <c r="C745" s="82" t="n"/>
      <c r="D745" s="82" t="n"/>
      <c r="E745" s="82" t="n"/>
      <c r="F745" s="83" t="n"/>
      <c r="G745" s="83" t="n"/>
      <c r="H745" s="82" t="n"/>
    </row>
    <row r="746">
      <c r="A746" s="67" t="n"/>
      <c r="B746" s="82" t="n"/>
      <c r="C746" s="82" t="n"/>
      <c r="D746" s="82" t="n"/>
      <c r="E746" s="82" t="n"/>
      <c r="F746" s="83" t="n"/>
      <c r="G746" s="83" t="n"/>
      <c r="H746" s="82" t="n"/>
    </row>
    <row r="747">
      <c r="A747" s="67" t="n"/>
      <c r="B747" s="82" t="n"/>
      <c r="C747" s="82" t="n"/>
      <c r="D747" s="82" t="n"/>
      <c r="E747" s="82" t="n"/>
      <c r="F747" s="83" t="n"/>
      <c r="G747" s="83" t="n"/>
      <c r="H747" s="82" t="n"/>
    </row>
    <row r="748">
      <c r="A748" s="67" t="n"/>
      <c r="B748" s="82" t="n"/>
      <c r="C748" s="82" t="n"/>
      <c r="D748" s="82" t="n"/>
      <c r="E748" s="82" t="n"/>
      <c r="F748" s="83" t="n"/>
      <c r="G748" s="83" t="n"/>
      <c r="H748" s="82" t="n"/>
    </row>
    <row r="749">
      <c r="A749" s="67" t="n"/>
      <c r="B749" s="82" t="n"/>
      <c r="C749" s="82" t="n"/>
      <c r="D749" s="82" t="n"/>
      <c r="E749" s="82" t="n"/>
      <c r="F749" s="83" t="n"/>
      <c r="G749" s="83" t="n"/>
      <c r="H749" s="82" t="n"/>
    </row>
    <row r="750">
      <c r="A750" s="67" t="n"/>
      <c r="B750" s="82" t="n"/>
      <c r="C750" s="82" t="n"/>
      <c r="D750" s="82" t="n"/>
      <c r="E750" s="82" t="n"/>
      <c r="F750" s="83" t="n"/>
      <c r="G750" s="83" t="n"/>
      <c r="H750" s="82" t="n"/>
    </row>
    <row r="751">
      <c r="A751" s="67" t="n"/>
      <c r="B751" s="82" t="n"/>
      <c r="C751" s="82" t="n"/>
      <c r="D751" s="82" t="n"/>
      <c r="E751" s="82" t="n"/>
      <c r="F751" s="83" t="n"/>
      <c r="G751" s="83" t="n"/>
      <c r="H751" s="82" t="n"/>
    </row>
    <row r="752">
      <c r="A752" s="67" t="n"/>
      <c r="B752" s="82" t="n"/>
      <c r="C752" s="82" t="n"/>
      <c r="D752" s="82" t="n"/>
      <c r="E752" s="82" t="n"/>
      <c r="F752" s="83" t="n"/>
      <c r="G752" s="83" t="n"/>
      <c r="H752" s="82" t="n"/>
    </row>
    <row r="753">
      <c r="A753" s="67" t="n"/>
      <c r="B753" s="82" t="n"/>
      <c r="C753" s="82" t="n"/>
      <c r="D753" s="82" t="n"/>
      <c r="E753" s="82" t="n"/>
      <c r="F753" s="83" t="n"/>
      <c r="G753" s="83" t="n"/>
      <c r="H753" s="82" t="n"/>
    </row>
    <row r="754">
      <c r="A754" s="67" t="n"/>
      <c r="B754" s="82" t="n"/>
      <c r="C754" s="82" t="n"/>
      <c r="D754" s="82" t="n"/>
      <c r="E754" s="82" t="n"/>
      <c r="F754" s="83" t="n"/>
      <c r="G754" s="83" t="n"/>
      <c r="H754" s="82" t="n"/>
    </row>
    <row r="755">
      <c r="A755" s="67" t="n"/>
      <c r="B755" s="82" t="n"/>
      <c r="C755" s="82" t="n"/>
      <c r="D755" s="82" t="n"/>
      <c r="E755" s="82" t="n"/>
      <c r="F755" s="83" t="n"/>
      <c r="G755" s="83" t="n"/>
      <c r="H755" s="82" t="n"/>
    </row>
    <row r="756">
      <c r="A756" s="67" t="n"/>
      <c r="B756" s="82" t="n"/>
      <c r="C756" s="82" t="n"/>
      <c r="D756" s="82" t="n"/>
      <c r="E756" s="82" t="n"/>
      <c r="F756" s="83" t="n"/>
      <c r="G756" s="83" t="n"/>
      <c r="H756" s="82" t="n"/>
    </row>
    <row r="757">
      <c r="A757" s="67" t="n"/>
      <c r="B757" s="82" t="n"/>
      <c r="C757" s="82" t="n"/>
      <c r="D757" s="82" t="n"/>
      <c r="E757" s="82" t="n"/>
      <c r="F757" s="83" t="n"/>
      <c r="G757" s="83" t="n"/>
      <c r="H757" s="82" t="n"/>
    </row>
    <row r="758">
      <c r="A758" s="67" t="n"/>
      <c r="B758" s="82" t="n"/>
      <c r="C758" s="82" t="n"/>
      <c r="D758" s="82" t="n"/>
      <c r="E758" s="82" t="n"/>
      <c r="F758" s="83" t="n"/>
      <c r="G758" s="83" t="n"/>
      <c r="H758" s="82" t="n"/>
    </row>
    <row r="759">
      <c r="A759" s="67" t="n"/>
      <c r="B759" s="82" t="n"/>
      <c r="C759" s="82" t="n"/>
      <c r="D759" s="82" t="n"/>
      <c r="E759" s="82" t="n"/>
      <c r="F759" s="83" t="n"/>
      <c r="G759" s="83" t="n"/>
      <c r="H759" s="82" t="n"/>
    </row>
    <row r="760">
      <c r="A760" s="67" t="n"/>
      <c r="B760" s="82" t="n"/>
      <c r="C760" s="82" t="n"/>
      <c r="D760" s="82" t="n"/>
      <c r="E760" s="82" t="n"/>
      <c r="F760" s="83" t="n"/>
      <c r="G760" s="83" t="n"/>
      <c r="H760" s="82" t="n"/>
    </row>
    <row r="761">
      <c r="A761" s="67" t="n"/>
      <c r="B761" s="82" t="n"/>
      <c r="C761" s="82" t="n"/>
      <c r="D761" s="82" t="n"/>
      <c r="E761" s="82" t="n"/>
      <c r="F761" s="83" t="n"/>
      <c r="G761" s="83" t="n"/>
      <c r="H761" s="82" t="n"/>
    </row>
    <row r="762">
      <c r="A762" s="67" t="n"/>
      <c r="B762" s="82" t="n"/>
      <c r="C762" s="82" t="n"/>
      <c r="D762" s="82" t="n"/>
      <c r="E762" s="82" t="n"/>
      <c r="F762" s="83" t="n"/>
      <c r="G762" s="83" t="n"/>
      <c r="H762" s="82" t="n"/>
    </row>
    <row r="763">
      <c r="A763" s="67" t="n"/>
      <c r="B763" s="82" t="n"/>
      <c r="C763" s="82" t="n"/>
      <c r="D763" s="82" t="n"/>
      <c r="E763" s="82" t="n"/>
      <c r="F763" s="83" t="n"/>
      <c r="G763" s="83" t="n"/>
      <c r="H763" s="82" t="n"/>
    </row>
    <row r="764">
      <c r="A764" s="67" t="n"/>
      <c r="B764" s="82" t="n"/>
      <c r="C764" s="82" t="n"/>
      <c r="D764" s="82" t="n"/>
      <c r="E764" s="82" t="n"/>
      <c r="F764" s="83" t="n"/>
      <c r="G764" s="83" t="n"/>
      <c r="H764" s="82" t="n"/>
    </row>
    <row r="765">
      <c r="A765" s="67" t="n"/>
      <c r="B765" s="82" t="n"/>
      <c r="C765" s="82" t="n"/>
      <c r="D765" s="82" t="n"/>
      <c r="E765" s="82" t="n"/>
      <c r="F765" s="83" t="n"/>
      <c r="G765" s="83" t="n"/>
      <c r="H765" s="82" t="n"/>
    </row>
    <row r="766">
      <c r="A766" s="67" t="n"/>
      <c r="B766" s="82" t="n"/>
      <c r="C766" s="82" t="n"/>
      <c r="D766" s="82" t="n"/>
      <c r="E766" s="82" t="n"/>
      <c r="F766" s="83" t="n"/>
      <c r="G766" s="83" t="n"/>
      <c r="H766" s="82" t="n"/>
    </row>
    <row r="767">
      <c r="A767" s="67" t="n"/>
      <c r="B767" s="82" t="n"/>
      <c r="C767" s="82" t="n"/>
      <c r="D767" s="82" t="n"/>
      <c r="E767" s="82" t="n"/>
      <c r="F767" s="83" t="n"/>
      <c r="G767" s="83" t="n"/>
      <c r="H767" s="82" t="n"/>
    </row>
    <row r="768">
      <c r="A768" s="67" t="n"/>
      <c r="B768" s="82" t="n"/>
      <c r="C768" s="82" t="n"/>
      <c r="D768" s="82" t="n"/>
      <c r="E768" s="82" t="n"/>
      <c r="F768" s="83" t="n"/>
      <c r="G768" s="83" t="n"/>
      <c r="H768" s="82" t="n"/>
    </row>
    <row r="769">
      <c r="A769" s="67" t="n"/>
      <c r="B769" s="82" t="n"/>
      <c r="C769" s="82" t="n"/>
      <c r="D769" s="82" t="n"/>
      <c r="E769" s="82" t="n"/>
      <c r="F769" s="83" t="n"/>
      <c r="G769" s="83" t="n"/>
      <c r="H769" s="82" t="n"/>
    </row>
    <row r="770">
      <c r="A770" s="67" t="n"/>
      <c r="B770" s="82" t="n"/>
      <c r="C770" s="82" t="n"/>
      <c r="D770" s="82" t="n"/>
      <c r="E770" s="82" t="n"/>
      <c r="F770" s="83" t="n"/>
      <c r="G770" s="83" t="n"/>
      <c r="H770" s="82" t="n"/>
    </row>
    <row r="771">
      <c r="A771" s="67" t="n"/>
      <c r="B771" s="82" t="n"/>
      <c r="C771" s="82" t="n"/>
      <c r="D771" s="82" t="n"/>
      <c r="E771" s="82" t="n"/>
      <c r="F771" s="83" t="n"/>
      <c r="G771" s="83" t="n"/>
      <c r="H771" s="82" t="n"/>
    </row>
    <row r="772">
      <c r="A772" s="67" t="n"/>
      <c r="B772" s="82" t="n"/>
      <c r="C772" s="82" t="n"/>
      <c r="D772" s="82" t="n"/>
      <c r="E772" s="82" t="n"/>
      <c r="F772" s="83" t="n"/>
      <c r="G772" s="83" t="n"/>
      <c r="H772" s="82" t="n"/>
    </row>
    <row r="773">
      <c r="A773" s="67" t="n"/>
      <c r="B773" s="82" t="n"/>
      <c r="C773" s="82" t="n"/>
      <c r="D773" s="82" t="n"/>
      <c r="E773" s="82" t="n"/>
      <c r="F773" s="83" t="n"/>
      <c r="G773" s="83" t="n"/>
      <c r="H773" s="82" t="n"/>
    </row>
    <row r="774">
      <c r="A774" s="67" t="n"/>
      <c r="B774" s="82" t="n"/>
      <c r="C774" s="82" t="n"/>
      <c r="D774" s="82" t="n"/>
      <c r="E774" s="82" t="n"/>
      <c r="F774" s="83" t="n"/>
      <c r="G774" s="83" t="n"/>
      <c r="H774" s="82" t="n"/>
    </row>
    <row r="775">
      <c r="A775" s="67" t="n"/>
      <c r="B775" s="82" t="n"/>
      <c r="C775" s="82" t="n"/>
      <c r="D775" s="82" t="n"/>
      <c r="E775" s="82" t="n"/>
      <c r="F775" s="83" t="n"/>
      <c r="G775" s="83" t="n"/>
      <c r="H775" s="82" t="n"/>
    </row>
    <row r="776">
      <c r="A776" s="67" t="n"/>
      <c r="B776" s="82" t="n"/>
      <c r="C776" s="82" t="n"/>
      <c r="D776" s="82" t="n"/>
      <c r="E776" s="82" t="n"/>
      <c r="F776" s="83" t="n"/>
      <c r="G776" s="83" t="n"/>
      <c r="H776" s="82" t="n"/>
    </row>
    <row r="777">
      <c r="A777" s="67" t="n"/>
      <c r="B777" s="82" t="n"/>
      <c r="C777" s="82" t="n"/>
      <c r="D777" s="82" t="n"/>
      <c r="E777" s="82" t="n"/>
      <c r="F777" s="83" t="n"/>
      <c r="G777" s="83" t="n"/>
      <c r="H777" s="82" t="n"/>
    </row>
    <row r="778">
      <c r="A778" s="67" t="n"/>
      <c r="B778" s="82" t="n"/>
      <c r="C778" s="82" t="n"/>
      <c r="D778" s="82" t="n"/>
      <c r="E778" s="82" t="n"/>
      <c r="F778" s="83" t="n"/>
      <c r="G778" s="83" t="n"/>
      <c r="H778" s="82" t="n"/>
    </row>
    <row r="779">
      <c r="A779" s="67" t="n"/>
      <c r="B779" s="82" t="n"/>
      <c r="C779" s="82" t="n"/>
      <c r="D779" s="82" t="n"/>
      <c r="E779" s="82" t="n"/>
      <c r="F779" s="83" t="n"/>
      <c r="G779" s="83" t="n"/>
      <c r="H779" s="82" t="n"/>
    </row>
    <row r="780">
      <c r="A780" s="67" t="n"/>
      <c r="B780" s="82" t="n"/>
      <c r="C780" s="82" t="n"/>
      <c r="D780" s="82" t="n"/>
      <c r="E780" s="82" t="n"/>
      <c r="F780" s="83" t="n"/>
      <c r="G780" s="83" t="n"/>
      <c r="H780" s="82" t="n"/>
    </row>
    <row r="781">
      <c r="A781" s="67" t="n"/>
      <c r="B781" s="82" t="n"/>
      <c r="C781" s="82" t="n"/>
      <c r="D781" s="82" t="n"/>
      <c r="E781" s="82" t="n"/>
      <c r="F781" s="83" t="n"/>
      <c r="G781" s="83" t="n"/>
      <c r="H781" s="82" t="n"/>
    </row>
    <row r="782">
      <c r="A782" s="67" t="n"/>
      <c r="B782" s="82" t="n"/>
      <c r="C782" s="82" t="n"/>
      <c r="D782" s="82" t="n"/>
      <c r="E782" s="82" t="n"/>
      <c r="F782" s="83" t="n"/>
      <c r="G782" s="83" t="n"/>
      <c r="H782" s="82" t="n"/>
    </row>
    <row r="783">
      <c r="A783" s="67" t="n"/>
      <c r="B783" s="82" t="n"/>
      <c r="C783" s="82" t="n"/>
      <c r="D783" s="82" t="n"/>
      <c r="E783" s="82" t="n"/>
      <c r="F783" s="83" t="n"/>
      <c r="G783" s="83" t="n"/>
      <c r="H783" s="82" t="n"/>
    </row>
    <row r="784">
      <c r="A784" s="67" t="n"/>
      <c r="B784" s="82" t="n"/>
      <c r="C784" s="82" t="n"/>
      <c r="D784" s="82" t="n"/>
      <c r="E784" s="82" t="n"/>
      <c r="F784" s="83" t="n"/>
      <c r="G784" s="83" t="n"/>
      <c r="H784" s="82" t="n"/>
    </row>
    <row r="785">
      <c r="A785" s="67" t="n"/>
      <c r="B785" s="82" t="n"/>
      <c r="C785" s="82" t="n"/>
      <c r="D785" s="82" t="n"/>
      <c r="E785" s="82" t="n"/>
      <c r="F785" s="83" t="n"/>
      <c r="G785" s="83" t="n"/>
      <c r="H785" s="82" t="n"/>
    </row>
    <row r="786">
      <c r="A786" s="67" t="n"/>
      <c r="B786" s="82" t="n"/>
      <c r="C786" s="82" t="n"/>
      <c r="D786" s="82" t="n"/>
      <c r="E786" s="82" t="n"/>
      <c r="F786" s="83" t="n"/>
      <c r="G786" s="83" t="n"/>
      <c r="H786" s="82" t="n"/>
    </row>
    <row r="787">
      <c r="A787" s="67" t="n"/>
      <c r="B787" s="82" t="n"/>
      <c r="C787" s="82" t="n"/>
      <c r="D787" s="82" t="n"/>
      <c r="E787" s="82" t="n"/>
      <c r="F787" s="83" t="n"/>
      <c r="G787" s="83" t="n"/>
      <c r="H787" s="82" t="n"/>
    </row>
    <row r="788">
      <c r="A788" s="67" t="n"/>
      <c r="B788" s="82" t="n"/>
      <c r="C788" s="82" t="n"/>
      <c r="D788" s="82" t="n"/>
      <c r="E788" s="82" t="n"/>
      <c r="F788" s="83" t="n"/>
      <c r="G788" s="83" t="n"/>
      <c r="H788" s="82" t="n"/>
    </row>
    <row r="789">
      <c r="A789" s="67" t="n"/>
      <c r="B789" s="82" t="n"/>
      <c r="C789" s="82" t="n"/>
      <c r="D789" s="82" t="n"/>
      <c r="E789" s="82" t="n"/>
      <c r="F789" s="83" t="n"/>
      <c r="G789" s="83" t="n"/>
      <c r="H789" s="82" t="n"/>
    </row>
    <row r="790">
      <c r="A790" s="67" t="n"/>
      <c r="B790" s="82" t="n"/>
      <c r="C790" s="82" t="n"/>
      <c r="D790" s="82" t="n"/>
      <c r="E790" s="82" t="n"/>
      <c r="F790" s="83" t="n"/>
      <c r="G790" s="83" t="n"/>
      <c r="H790" s="82" t="n"/>
    </row>
    <row r="791">
      <c r="A791" s="67" t="n"/>
      <c r="B791" s="82" t="n"/>
      <c r="C791" s="82" t="n"/>
      <c r="D791" s="82" t="n"/>
      <c r="E791" s="82" t="n"/>
      <c r="F791" s="83" t="n"/>
      <c r="G791" s="83" t="n"/>
      <c r="H791" s="82" t="n"/>
    </row>
    <row r="792">
      <c r="A792" s="67" t="n"/>
      <c r="B792" s="82" t="n"/>
      <c r="C792" s="82" t="n"/>
      <c r="D792" s="82" t="n"/>
      <c r="E792" s="82" t="n"/>
      <c r="F792" s="83" t="n"/>
      <c r="G792" s="83" t="n"/>
      <c r="H792" s="82" t="n"/>
    </row>
    <row r="793">
      <c r="A793" s="67" t="n"/>
      <c r="B793" s="82" t="n"/>
      <c r="C793" s="82" t="n"/>
      <c r="D793" s="82" t="n"/>
      <c r="E793" s="82" t="n"/>
      <c r="F793" s="83" t="n"/>
      <c r="G793" s="83" t="n"/>
      <c r="H793" s="82" t="n"/>
    </row>
    <row r="794">
      <c r="A794" s="67" t="n"/>
      <c r="B794" s="82" t="n"/>
      <c r="C794" s="82" t="n"/>
      <c r="D794" s="82" t="n"/>
      <c r="E794" s="82" t="n"/>
      <c r="F794" s="83" t="n"/>
      <c r="G794" s="83" t="n"/>
      <c r="H794" s="82" t="n"/>
    </row>
    <row r="795">
      <c r="A795" s="67" t="n"/>
      <c r="B795" s="82" t="n"/>
      <c r="C795" s="82" t="n"/>
      <c r="D795" s="82" t="n"/>
      <c r="E795" s="82" t="n"/>
      <c r="F795" s="83" t="n"/>
      <c r="G795" s="83" t="n"/>
      <c r="H795" s="82" t="n"/>
    </row>
    <row r="796">
      <c r="A796" s="67" t="n"/>
      <c r="B796" s="82" t="n"/>
      <c r="C796" s="82" t="n"/>
      <c r="D796" s="82" t="n"/>
      <c r="E796" s="82" t="n"/>
      <c r="F796" s="83" t="n"/>
      <c r="G796" s="83" t="n"/>
      <c r="H796" s="82" t="n"/>
    </row>
    <row r="797">
      <c r="A797" s="67" t="n"/>
      <c r="B797" s="82" t="n"/>
      <c r="C797" s="82" t="n"/>
      <c r="D797" s="82" t="n"/>
      <c r="E797" s="82" t="n"/>
      <c r="F797" s="83" t="n"/>
      <c r="G797" s="83" t="n"/>
      <c r="H797" s="82" t="n"/>
    </row>
    <row r="798">
      <c r="A798" s="67" t="n"/>
      <c r="B798" s="82" t="n"/>
      <c r="C798" s="82" t="n"/>
      <c r="D798" s="82" t="n"/>
      <c r="E798" s="82" t="n"/>
      <c r="F798" s="83" t="n"/>
      <c r="G798" s="83" t="n"/>
      <c r="H798" s="82" t="n"/>
    </row>
    <row r="799">
      <c r="A799" s="67" t="n"/>
      <c r="B799" s="82" t="n"/>
      <c r="C799" s="82" t="n"/>
      <c r="D799" s="82" t="n"/>
      <c r="E799" s="82" t="n"/>
      <c r="F799" s="83" t="n"/>
      <c r="G799" s="83" t="n"/>
      <c r="H799" s="82" t="n"/>
    </row>
    <row r="800">
      <c r="A800" s="67" t="n"/>
      <c r="B800" s="82" t="n"/>
      <c r="C800" s="82" t="n"/>
      <c r="D800" s="82" t="n"/>
      <c r="E800" s="82" t="n"/>
      <c r="F800" s="83" t="n"/>
      <c r="G800" s="83" t="n"/>
      <c r="H800" s="82" t="n"/>
    </row>
  </sheetData>
  <mergeCells count="3">
    <mergeCell ref="F3:G3"/>
    <mergeCell ref="H3"/>
    <mergeCell ref="B3:E3"/>
  </mergeCells>
  <dataValidations count="2">
    <dataValidation sqref="A5:A800" showDropDown="0" showInputMessage="0" showErrorMessage="1" allowBlank="0" error="Enter a valid date" type="date" operator="greaterThan">
      <formula1>DATE(2000,1,1)</formula1>
    </dataValidation>
    <dataValidation sqref="B5:E800 H5:H800" showDropDown="0" showInputMessage="0" showErrorMessage="1" allowBlank="0" error="Enter a number ≥ 0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5" customWidth="1" min="5" max="5"/>
    <col width="15" customWidth="1" min="6" max="6"/>
  </cols>
  <sheetData>
    <row r="1">
      <c r="A1" s="60" t="inlineStr">
        <is>
          <t>BLOCK 5 – FUEL (DIESEL) (one row per day)</t>
        </is>
      </c>
    </row>
    <row r="2">
      <c r="A2" s="61" t="inlineStr">
        <is>
          <t>Type litres received today for each vehicle (blank or 0 = none). Totals calculate.</t>
        </is>
      </c>
    </row>
    <row r="4" ht="58" customHeight="1">
      <c r="A4" s="66" t="inlineStr">
        <is>
          <t>Date</t>
        </is>
      </c>
      <c r="B4" s="66" t="inlineStr">
        <is>
          <t>Camper
MP07ZM6345
Ltr</t>
        </is>
      </c>
      <c r="C4" s="66" t="inlineStr">
        <is>
          <t>JCB
UP92T7813
Ltr</t>
        </is>
      </c>
      <c r="D4" s="66" t="inlineStr">
        <is>
          <t>Hyundai
Excavator R230
Ltr</t>
        </is>
      </c>
      <c r="E4" s="66" t="inlineStr">
        <is>
          <t>Total Diesel
Received Today
Ltr</t>
        </is>
      </c>
      <c r="F4" s="66" t="inlineStr">
        <is>
          <t>Total Diesel
This Month
Ltr</t>
        </is>
      </c>
    </row>
    <row r="5">
      <c r="A5" s="67" t="n"/>
      <c r="B5" s="69" t="n"/>
      <c r="C5" s="69" t="n"/>
      <c r="D5" s="69" t="n"/>
      <c r="E5" s="84">
        <f>IF($A5="","",B5+C5+D5)</f>
        <v/>
      </c>
      <c r="F5" s="85">
        <f>IF($A5="","",SUMIFS($E$5:$E$800,$A$5:$A$800,"&gt;="&amp;DATE(YEAR($A5),MONTH($A5),1),$A$5:$A$800,"&lt;="&amp;$A5)+IF(AND(YEAR($A5)=YEAR(Settings!$B$3),MONTH($A5)=MONTH(Settings!$B$3)),Settings!$B$14,0))</f>
        <v/>
      </c>
    </row>
    <row r="6">
      <c r="A6" s="67" t="n"/>
      <c r="B6" s="69" t="n"/>
      <c r="C6" s="69" t="n"/>
      <c r="D6" s="69" t="n"/>
      <c r="E6" s="84">
        <f>IF($A6="","",B6+C6+D6)</f>
        <v/>
      </c>
      <c r="F6" s="85">
        <f>IF($A6="","",SUMIFS($E$5:$E$800,$A$5:$A$800,"&gt;="&amp;DATE(YEAR($A6),MONTH($A6),1),$A$5:$A$800,"&lt;="&amp;$A6)+IF(AND(YEAR($A6)=YEAR(Settings!$B$3),MONTH($A6)=MONTH(Settings!$B$3)),Settings!$B$14,0))</f>
        <v/>
      </c>
    </row>
    <row r="7">
      <c r="A7" s="67" t="n"/>
      <c r="B7" s="69" t="n"/>
      <c r="C7" s="69" t="n"/>
      <c r="D7" s="69" t="n"/>
      <c r="E7" s="84">
        <f>IF($A7="","",B7+C7+D7)</f>
        <v/>
      </c>
      <c r="F7" s="85">
        <f>IF($A7="","",SUMIFS($E$5:$E$800,$A$5:$A$800,"&gt;="&amp;DATE(YEAR($A7),MONTH($A7),1),$A$5:$A$800,"&lt;="&amp;$A7)+IF(AND(YEAR($A7)=YEAR(Settings!$B$3),MONTH($A7)=MONTH(Settings!$B$3)),Settings!$B$14,0))</f>
        <v/>
      </c>
    </row>
    <row r="8">
      <c r="A8" s="67" t="n"/>
      <c r="B8" s="69" t="n"/>
      <c r="C8" s="69" t="n"/>
      <c r="D8" s="69" t="n"/>
      <c r="E8" s="84">
        <f>IF($A8="","",B8+C8+D8)</f>
        <v/>
      </c>
      <c r="F8" s="85">
        <f>IF($A8="","",SUMIFS($E$5:$E$800,$A$5:$A$800,"&gt;="&amp;DATE(YEAR($A8),MONTH($A8),1),$A$5:$A$800,"&lt;="&amp;$A8)+IF(AND(YEAR($A8)=YEAR(Settings!$B$3),MONTH($A8)=MONTH(Settings!$B$3)),Settings!$B$14,0))</f>
        <v/>
      </c>
    </row>
    <row r="9">
      <c r="A9" s="67" t="n"/>
      <c r="B9" s="69" t="n"/>
      <c r="C9" s="69" t="n"/>
      <c r="D9" s="69" t="n"/>
      <c r="E9" s="84">
        <f>IF($A9="","",B9+C9+D9)</f>
        <v/>
      </c>
      <c r="F9" s="85">
        <f>IF($A9="","",SUMIFS($E$5:$E$800,$A$5:$A$800,"&gt;="&amp;DATE(YEAR($A9),MONTH($A9),1),$A$5:$A$800,"&lt;="&amp;$A9)+IF(AND(YEAR($A9)=YEAR(Settings!$B$3),MONTH($A9)=MONTH(Settings!$B$3)),Settings!$B$14,0))</f>
        <v/>
      </c>
    </row>
    <row r="10">
      <c r="A10" s="67" t="n"/>
      <c r="B10" s="69" t="n"/>
      <c r="C10" s="69" t="n"/>
      <c r="D10" s="69" t="n"/>
      <c r="E10" s="84">
        <f>IF($A10="","",B10+C10+D10)</f>
        <v/>
      </c>
      <c r="F10" s="85">
        <f>IF($A10="","",SUMIFS($E$5:$E$800,$A$5:$A$800,"&gt;="&amp;DATE(YEAR($A10),MONTH($A10),1),$A$5:$A$800,"&lt;="&amp;$A10)+IF(AND(YEAR($A10)=YEAR(Settings!$B$3),MONTH($A10)=MONTH(Settings!$B$3)),Settings!$B$14,0))</f>
        <v/>
      </c>
    </row>
    <row r="11">
      <c r="A11" s="67" t="n"/>
      <c r="B11" s="69" t="n"/>
      <c r="C11" s="69" t="n"/>
      <c r="D11" s="69" t="n"/>
      <c r="E11" s="84">
        <f>IF($A11="","",B11+C11+D11)</f>
        <v/>
      </c>
      <c r="F11" s="85">
        <f>IF($A11="","",SUMIFS($E$5:$E$800,$A$5:$A$800,"&gt;="&amp;DATE(YEAR($A11),MONTH($A11),1),$A$5:$A$800,"&lt;="&amp;$A11)+IF(AND(YEAR($A11)=YEAR(Settings!$B$3),MONTH($A11)=MONTH(Settings!$B$3)),Settings!$B$14,0))</f>
        <v/>
      </c>
    </row>
    <row r="12">
      <c r="A12" s="67" t="n"/>
      <c r="B12" s="69" t="n"/>
      <c r="C12" s="69" t="n"/>
      <c r="D12" s="69" t="n"/>
      <c r="E12" s="84">
        <f>IF($A12="","",B12+C12+D12)</f>
        <v/>
      </c>
      <c r="F12" s="85">
        <f>IF($A12="","",SUMIFS($E$5:$E$800,$A$5:$A$800,"&gt;="&amp;DATE(YEAR($A12),MONTH($A12),1),$A$5:$A$800,"&lt;="&amp;$A12)+IF(AND(YEAR($A12)=YEAR(Settings!$B$3),MONTH($A12)=MONTH(Settings!$B$3)),Settings!$B$14,0))</f>
        <v/>
      </c>
    </row>
    <row r="13">
      <c r="A13" s="67" t="n"/>
      <c r="B13" s="69" t="n"/>
      <c r="C13" s="69" t="n"/>
      <c r="D13" s="69" t="n"/>
      <c r="E13" s="84">
        <f>IF($A13="","",B13+C13+D13)</f>
        <v/>
      </c>
      <c r="F13" s="85">
        <f>IF($A13="","",SUMIFS($E$5:$E$800,$A$5:$A$800,"&gt;="&amp;DATE(YEAR($A13),MONTH($A13),1),$A$5:$A$800,"&lt;="&amp;$A13)+IF(AND(YEAR($A13)=YEAR(Settings!$B$3),MONTH($A13)=MONTH(Settings!$B$3)),Settings!$B$14,0))</f>
        <v/>
      </c>
    </row>
    <row r="14">
      <c r="A14" s="67" t="n"/>
      <c r="B14" s="69" t="n"/>
      <c r="C14" s="69" t="n"/>
      <c r="D14" s="69" t="n"/>
      <c r="E14" s="84">
        <f>IF($A14="","",B14+C14+D14)</f>
        <v/>
      </c>
      <c r="F14" s="85">
        <f>IF($A14="","",SUMIFS($E$5:$E$800,$A$5:$A$800,"&gt;="&amp;DATE(YEAR($A14),MONTH($A14),1),$A$5:$A$800,"&lt;="&amp;$A14)+IF(AND(YEAR($A14)=YEAR(Settings!$B$3),MONTH($A14)=MONTH(Settings!$B$3)),Settings!$B$14,0))</f>
        <v/>
      </c>
    </row>
    <row r="15">
      <c r="A15" s="67" t="n"/>
      <c r="B15" s="69" t="n"/>
      <c r="C15" s="69" t="n"/>
      <c r="D15" s="69" t="n"/>
      <c r="E15" s="84">
        <f>IF($A15="","",B15+C15+D15)</f>
        <v/>
      </c>
      <c r="F15" s="85">
        <f>IF($A15="","",SUMIFS($E$5:$E$800,$A$5:$A$800,"&gt;="&amp;DATE(YEAR($A15),MONTH($A15),1),$A$5:$A$800,"&lt;="&amp;$A15)+IF(AND(YEAR($A15)=YEAR(Settings!$B$3),MONTH($A15)=MONTH(Settings!$B$3)),Settings!$B$14,0))</f>
        <v/>
      </c>
    </row>
    <row r="16">
      <c r="A16" s="67" t="n"/>
      <c r="B16" s="69" t="n"/>
      <c r="C16" s="69" t="n"/>
      <c r="D16" s="69" t="n"/>
      <c r="E16" s="84">
        <f>IF($A16="","",B16+C16+D16)</f>
        <v/>
      </c>
      <c r="F16" s="85">
        <f>IF($A16="","",SUMIFS($E$5:$E$800,$A$5:$A$800,"&gt;="&amp;DATE(YEAR($A16),MONTH($A16),1),$A$5:$A$800,"&lt;="&amp;$A16)+IF(AND(YEAR($A16)=YEAR(Settings!$B$3),MONTH($A16)=MONTH(Settings!$B$3)),Settings!$B$14,0))</f>
        <v/>
      </c>
    </row>
    <row r="17">
      <c r="A17" s="67" t="n"/>
      <c r="B17" s="69" t="n"/>
      <c r="C17" s="69" t="n"/>
      <c r="D17" s="69" t="n"/>
      <c r="E17" s="84">
        <f>IF($A17="","",B17+C17+D17)</f>
        <v/>
      </c>
      <c r="F17" s="85">
        <f>IF($A17="","",SUMIFS($E$5:$E$800,$A$5:$A$800,"&gt;="&amp;DATE(YEAR($A17),MONTH($A17),1),$A$5:$A$800,"&lt;="&amp;$A17)+IF(AND(YEAR($A17)=YEAR(Settings!$B$3),MONTH($A17)=MONTH(Settings!$B$3)),Settings!$B$14,0))</f>
        <v/>
      </c>
    </row>
    <row r="18">
      <c r="A18" s="67" t="n"/>
      <c r="B18" s="69" t="n"/>
      <c r="C18" s="69" t="n"/>
      <c r="D18" s="69" t="n"/>
      <c r="E18" s="84">
        <f>IF($A18="","",B18+C18+D18)</f>
        <v/>
      </c>
      <c r="F18" s="85">
        <f>IF($A18="","",SUMIFS($E$5:$E$800,$A$5:$A$800,"&gt;="&amp;DATE(YEAR($A18),MONTH($A18),1),$A$5:$A$800,"&lt;="&amp;$A18)+IF(AND(YEAR($A18)=YEAR(Settings!$B$3),MONTH($A18)=MONTH(Settings!$B$3)),Settings!$B$14,0))</f>
        <v/>
      </c>
    </row>
    <row r="19">
      <c r="A19" s="67" t="n"/>
      <c r="B19" s="69" t="n"/>
      <c r="C19" s="69" t="n"/>
      <c r="D19" s="69" t="n"/>
      <c r="E19" s="84">
        <f>IF($A19="","",B19+C19+D19)</f>
        <v/>
      </c>
      <c r="F19" s="85">
        <f>IF($A19="","",SUMIFS($E$5:$E$800,$A$5:$A$800,"&gt;="&amp;DATE(YEAR($A19),MONTH($A19),1),$A$5:$A$800,"&lt;="&amp;$A19)+IF(AND(YEAR($A19)=YEAR(Settings!$B$3),MONTH($A19)=MONTH(Settings!$B$3)),Settings!$B$14,0))</f>
        <v/>
      </c>
    </row>
    <row r="20">
      <c r="A20" s="67" t="n"/>
      <c r="B20" s="69" t="n"/>
      <c r="C20" s="69" t="n"/>
      <c r="D20" s="69" t="n"/>
      <c r="E20" s="84">
        <f>IF($A20="","",B20+C20+D20)</f>
        <v/>
      </c>
      <c r="F20" s="85">
        <f>IF($A20="","",SUMIFS($E$5:$E$800,$A$5:$A$800,"&gt;="&amp;DATE(YEAR($A20),MONTH($A20),1),$A$5:$A$800,"&lt;="&amp;$A20)+IF(AND(YEAR($A20)=YEAR(Settings!$B$3),MONTH($A20)=MONTH(Settings!$B$3)),Settings!$B$14,0))</f>
        <v/>
      </c>
    </row>
    <row r="21">
      <c r="A21" s="67" t="n"/>
      <c r="B21" s="69" t="n"/>
      <c r="C21" s="69" t="n"/>
      <c r="D21" s="69" t="n"/>
      <c r="E21" s="84">
        <f>IF($A21="","",B21+C21+D21)</f>
        <v/>
      </c>
      <c r="F21" s="85">
        <f>IF($A21="","",SUMIFS($E$5:$E$800,$A$5:$A$800,"&gt;="&amp;DATE(YEAR($A21),MONTH($A21),1),$A$5:$A$800,"&lt;="&amp;$A21)+IF(AND(YEAR($A21)=YEAR(Settings!$B$3),MONTH($A21)=MONTH(Settings!$B$3)),Settings!$B$14,0))</f>
        <v/>
      </c>
    </row>
    <row r="22">
      <c r="A22" s="67" t="n"/>
      <c r="B22" s="69" t="n"/>
      <c r="C22" s="69" t="n"/>
      <c r="D22" s="69" t="n"/>
      <c r="E22" s="84">
        <f>IF($A22="","",B22+C22+D22)</f>
        <v/>
      </c>
      <c r="F22" s="85">
        <f>IF($A22="","",SUMIFS($E$5:$E$800,$A$5:$A$800,"&gt;="&amp;DATE(YEAR($A22),MONTH($A22),1),$A$5:$A$800,"&lt;="&amp;$A22)+IF(AND(YEAR($A22)=YEAR(Settings!$B$3),MONTH($A22)=MONTH(Settings!$B$3)),Settings!$B$14,0))</f>
        <v/>
      </c>
    </row>
    <row r="23">
      <c r="A23" s="67" t="n"/>
      <c r="B23" s="69" t="n"/>
      <c r="C23" s="69" t="n"/>
      <c r="D23" s="69" t="n"/>
      <c r="E23" s="84">
        <f>IF($A23="","",B23+C23+D23)</f>
        <v/>
      </c>
      <c r="F23" s="85">
        <f>IF($A23="","",SUMIFS($E$5:$E$800,$A$5:$A$800,"&gt;="&amp;DATE(YEAR($A23),MONTH($A23),1),$A$5:$A$800,"&lt;="&amp;$A23)+IF(AND(YEAR($A23)=YEAR(Settings!$B$3),MONTH($A23)=MONTH(Settings!$B$3)),Settings!$B$14,0))</f>
        <v/>
      </c>
    </row>
    <row r="24">
      <c r="A24" s="67" t="n"/>
      <c r="B24" s="69" t="n"/>
      <c r="C24" s="69" t="n"/>
      <c r="D24" s="69" t="n"/>
      <c r="E24" s="84">
        <f>IF($A24="","",B24+C24+D24)</f>
        <v/>
      </c>
      <c r="F24" s="85">
        <f>IF($A24="","",SUMIFS($E$5:$E$800,$A$5:$A$800,"&gt;="&amp;DATE(YEAR($A24),MONTH($A24),1),$A$5:$A$800,"&lt;="&amp;$A24)+IF(AND(YEAR($A24)=YEAR(Settings!$B$3),MONTH($A24)=MONTH(Settings!$B$3)),Settings!$B$14,0))</f>
        <v/>
      </c>
    </row>
    <row r="25">
      <c r="A25" s="67" t="n"/>
      <c r="B25" s="69" t="n"/>
      <c r="C25" s="69" t="n"/>
      <c r="D25" s="69" t="n"/>
      <c r="E25" s="84">
        <f>IF($A25="","",B25+C25+D25)</f>
        <v/>
      </c>
      <c r="F25" s="85">
        <f>IF($A25="","",SUMIFS($E$5:$E$800,$A$5:$A$800,"&gt;="&amp;DATE(YEAR($A25),MONTH($A25),1),$A$5:$A$800,"&lt;="&amp;$A25)+IF(AND(YEAR($A25)=YEAR(Settings!$B$3),MONTH($A25)=MONTH(Settings!$B$3)),Settings!$B$14,0))</f>
        <v/>
      </c>
    </row>
    <row r="26">
      <c r="A26" s="67" t="n"/>
      <c r="B26" s="69" t="n"/>
      <c r="C26" s="69" t="n"/>
      <c r="D26" s="69" t="n"/>
      <c r="E26" s="84">
        <f>IF($A26="","",B26+C26+D26)</f>
        <v/>
      </c>
      <c r="F26" s="85">
        <f>IF($A26="","",SUMIFS($E$5:$E$800,$A$5:$A$800,"&gt;="&amp;DATE(YEAR($A26),MONTH($A26),1),$A$5:$A$800,"&lt;="&amp;$A26)+IF(AND(YEAR($A26)=YEAR(Settings!$B$3),MONTH($A26)=MONTH(Settings!$B$3)),Settings!$B$14,0))</f>
        <v/>
      </c>
    </row>
    <row r="27">
      <c r="A27" s="67" t="n"/>
      <c r="B27" s="69" t="n"/>
      <c r="C27" s="69" t="n"/>
      <c r="D27" s="69" t="n"/>
      <c r="E27" s="84">
        <f>IF($A27="","",B27+C27+D27)</f>
        <v/>
      </c>
      <c r="F27" s="85">
        <f>IF($A27="","",SUMIFS($E$5:$E$800,$A$5:$A$800,"&gt;="&amp;DATE(YEAR($A27),MONTH($A27),1),$A$5:$A$800,"&lt;="&amp;$A27)+IF(AND(YEAR($A27)=YEAR(Settings!$B$3),MONTH($A27)=MONTH(Settings!$B$3)),Settings!$B$14,0))</f>
        <v/>
      </c>
    </row>
    <row r="28">
      <c r="A28" s="67" t="n"/>
      <c r="B28" s="69" t="n"/>
      <c r="C28" s="69" t="n"/>
      <c r="D28" s="69" t="n"/>
      <c r="E28" s="84">
        <f>IF($A28="","",B28+C28+D28)</f>
        <v/>
      </c>
      <c r="F28" s="85">
        <f>IF($A28="","",SUMIFS($E$5:$E$800,$A$5:$A$800,"&gt;="&amp;DATE(YEAR($A28),MONTH($A28),1),$A$5:$A$800,"&lt;="&amp;$A28)+IF(AND(YEAR($A28)=YEAR(Settings!$B$3),MONTH($A28)=MONTH(Settings!$B$3)),Settings!$B$14,0))</f>
        <v/>
      </c>
    </row>
    <row r="29">
      <c r="A29" s="67" t="n"/>
      <c r="B29" s="69" t="n"/>
      <c r="C29" s="69" t="n"/>
      <c r="D29" s="69" t="n"/>
      <c r="E29" s="84">
        <f>IF($A29="","",B29+C29+D29)</f>
        <v/>
      </c>
      <c r="F29" s="85">
        <f>IF($A29="","",SUMIFS($E$5:$E$800,$A$5:$A$800,"&gt;="&amp;DATE(YEAR($A29),MONTH($A29),1),$A$5:$A$800,"&lt;="&amp;$A29)+IF(AND(YEAR($A29)=YEAR(Settings!$B$3),MONTH($A29)=MONTH(Settings!$B$3)),Settings!$B$14,0))</f>
        <v/>
      </c>
    </row>
    <row r="30">
      <c r="A30" s="67" t="n"/>
      <c r="B30" s="69" t="n"/>
      <c r="C30" s="69" t="n"/>
      <c r="D30" s="69" t="n"/>
      <c r="E30" s="84">
        <f>IF($A30="","",B30+C30+D30)</f>
        <v/>
      </c>
      <c r="F30" s="85">
        <f>IF($A30="","",SUMIFS($E$5:$E$800,$A$5:$A$800,"&gt;="&amp;DATE(YEAR($A30),MONTH($A30),1),$A$5:$A$800,"&lt;="&amp;$A30)+IF(AND(YEAR($A30)=YEAR(Settings!$B$3),MONTH($A30)=MONTH(Settings!$B$3)),Settings!$B$14,0))</f>
        <v/>
      </c>
    </row>
    <row r="31">
      <c r="A31" s="67" t="n"/>
      <c r="B31" s="69" t="n"/>
      <c r="C31" s="69" t="n"/>
      <c r="D31" s="69" t="n"/>
      <c r="E31" s="84">
        <f>IF($A31="","",B31+C31+D31)</f>
        <v/>
      </c>
      <c r="F31" s="85">
        <f>IF($A31="","",SUMIFS($E$5:$E$800,$A$5:$A$800,"&gt;="&amp;DATE(YEAR($A31),MONTH($A31),1),$A$5:$A$800,"&lt;="&amp;$A31)+IF(AND(YEAR($A31)=YEAR(Settings!$B$3),MONTH($A31)=MONTH(Settings!$B$3)),Settings!$B$14,0))</f>
        <v/>
      </c>
    </row>
    <row r="32">
      <c r="A32" s="67" t="n"/>
      <c r="B32" s="69" t="n"/>
      <c r="C32" s="69" t="n"/>
      <c r="D32" s="69" t="n"/>
      <c r="E32" s="84">
        <f>IF($A32="","",B32+C32+D32)</f>
        <v/>
      </c>
      <c r="F32" s="85">
        <f>IF($A32="","",SUMIFS($E$5:$E$800,$A$5:$A$800,"&gt;="&amp;DATE(YEAR($A32),MONTH($A32),1),$A$5:$A$800,"&lt;="&amp;$A32)+IF(AND(YEAR($A32)=YEAR(Settings!$B$3),MONTH($A32)=MONTH(Settings!$B$3)),Settings!$B$14,0))</f>
        <v/>
      </c>
    </row>
    <row r="33">
      <c r="A33" s="67" t="n"/>
      <c r="B33" s="69" t="n"/>
      <c r="C33" s="69" t="n"/>
      <c r="D33" s="69" t="n"/>
      <c r="E33" s="84">
        <f>IF($A33="","",B33+C33+D33)</f>
        <v/>
      </c>
      <c r="F33" s="85">
        <f>IF($A33="","",SUMIFS($E$5:$E$800,$A$5:$A$800,"&gt;="&amp;DATE(YEAR($A33),MONTH($A33),1),$A$5:$A$800,"&lt;="&amp;$A33)+IF(AND(YEAR($A33)=YEAR(Settings!$B$3),MONTH($A33)=MONTH(Settings!$B$3)),Settings!$B$14,0))</f>
        <v/>
      </c>
    </row>
    <row r="34">
      <c r="A34" s="67" t="n"/>
      <c r="B34" s="69" t="n"/>
      <c r="C34" s="69" t="n"/>
      <c r="D34" s="69" t="n"/>
      <c r="E34" s="84">
        <f>IF($A34="","",B34+C34+D34)</f>
        <v/>
      </c>
      <c r="F34" s="85">
        <f>IF($A34="","",SUMIFS($E$5:$E$800,$A$5:$A$800,"&gt;="&amp;DATE(YEAR($A34),MONTH($A34),1),$A$5:$A$800,"&lt;="&amp;$A34)+IF(AND(YEAR($A34)=YEAR(Settings!$B$3),MONTH($A34)=MONTH(Settings!$B$3)),Settings!$B$14,0))</f>
        <v/>
      </c>
    </row>
    <row r="35">
      <c r="A35" s="67" t="n"/>
      <c r="B35" s="69" t="n"/>
      <c r="C35" s="69" t="n"/>
      <c r="D35" s="69" t="n"/>
      <c r="E35" s="84">
        <f>IF($A35="","",B35+C35+D35)</f>
        <v/>
      </c>
      <c r="F35" s="85">
        <f>IF($A35="","",SUMIFS($E$5:$E$800,$A$5:$A$800,"&gt;="&amp;DATE(YEAR($A35),MONTH($A35),1),$A$5:$A$800,"&lt;="&amp;$A35)+IF(AND(YEAR($A35)=YEAR(Settings!$B$3),MONTH($A35)=MONTH(Settings!$B$3)),Settings!$B$14,0))</f>
        <v/>
      </c>
    </row>
    <row r="36">
      <c r="A36" s="67" t="n"/>
      <c r="B36" s="69" t="n"/>
      <c r="C36" s="69" t="n"/>
      <c r="D36" s="69" t="n"/>
      <c r="E36" s="84">
        <f>IF($A36="","",B36+C36+D36)</f>
        <v/>
      </c>
      <c r="F36" s="85">
        <f>IF($A36="","",SUMIFS($E$5:$E$800,$A$5:$A$800,"&gt;="&amp;DATE(YEAR($A36),MONTH($A36),1),$A$5:$A$800,"&lt;="&amp;$A36)+IF(AND(YEAR($A36)=YEAR(Settings!$B$3),MONTH($A36)=MONTH(Settings!$B$3)),Settings!$B$14,0))</f>
        <v/>
      </c>
    </row>
    <row r="37">
      <c r="A37" s="67" t="n"/>
      <c r="B37" s="69" t="n"/>
      <c r="C37" s="69" t="n"/>
      <c r="D37" s="69" t="n"/>
      <c r="E37" s="84">
        <f>IF($A37="","",B37+C37+D37)</f>
        <v/>
      </c>
      <c r="F37" s="85">
        <f>IF($A37="","",SUMIFS($E$5:$E$800,$A$5:$A$800,"&gt;="&amp;DATE(YEAR($A37),MONTH($A37),1),$A$5:$A$800,"&lt;="&amp;$A37)+IF(AND(YEAR($A37)=YEAR(Settings!$B$3),MONTH($A37)=MONTH(Settings!$B$3)),Settings!$B$14,0))</f>
        <v/>
      </c>
    </row>
    <row r="38">
      <c r="A38" s="67" t="n"/>
      <c r="B38" s="69" t="n"/>
      <c r="C38" s="69" t="n"/>
      <c r="D38" s="69" t="n"/>
      <c r="E38" s="84">
        <f>IF($A38="","",B38+C38+D38)</f>
        <v/>
      </c>
      <c r="F38" s="85">
        <f>IF($A38="","",SUMIFS($E$5:$E$800,$A$5:$A$800,"&gt;="&amp;DATE(YEAR($A38),MONTH($A38),1),$A$5:$A$800,"&lt;="&amp;$A38)+IF(AND(YEAR($A38)=YEAR(Settings!$B$3),MONTH($A38)=MONTH(Settings!$B$3)),Settings!$B$14,0))</f>
        <v/>
      </c>
    </row>
    <row r="39">
      <c r="A39" s="67" t="n"/>
      <c r="B39" s="69" t="n"/>
      <c r="C39" s="69" t="n"/>
      <c r="D39" s="69" t="n"/>
      <c r="E39" s="84">
        <f>IF($A39="","",B39+C39+D39)</f>
        <v/>
      </c>
      <c r="F39" s="85">
        <f>IF($A39="","",SUMIFS($E$5:$E$800,$A$5:$A$800,"&gt;="&amp;DATE(YEAR($A39),MONTH($A39),1),$A$5:$A$800,"&lt;="&amp;$A39)+IF(AND(YEAR($A39)=YEAR(Settings!$B$3),MONTH($A39)=MONTH(Settings!$B$3)),Settings!$B$14,0))</f>
        <v/>
      </c>
    </row>
    <row r="40">
      <c r="A40" s="67" t="n"/>
      <c r="B40" s="69" t="n"/>
      <c r="C40" s="69" t="n"/>
      <c r="D40" s="69" t="n"/>
      <c r="E40" s="84">
        <f>IF($A40="","",B40+C40+D40)</f>
        <v/>
      </c>
      <c r="F40" s="85">
        <f>IF($A40="","",SUMIFS($E$5:$E$800,$A$5:$A$800,"&gt;="&amp;DATE(YEAR($A40),MONTH($A40),1),$A$5:$A$800,"&lt;="&amp;$A40)+IF(AND(YEAR($A40)=YEAR(Settings!$B$3),MONTH($A40)=MONTH(Settings!$B$3)),Settings!$B$14,0))</f>
        <v/>
      </c>
    </row>
    <row r="41">
      <c r="A41" s="67" t="n"/>
      <c r="B41" s="69" t="n"/>
      <c r="C41" s="69" t="n"/>
      <c r="D41" s="69" t="n"/>
      <c r="E41" s="84">
        <f>IF($A41="","",B41+C41+D41)</f>
        <v/>
      </c>
      <c r="F41" s="85">
        <f>IF($A41="","",SUMIFS($E$5:$E$800,$A$5:$A$800,"&gt;="&amp;DATE(YEAR($A41),MONTH($A41),1),$A$5:$A$800,"&lt;="&amp;$A41)+IF(AND(YEAR($A41)=YEAR(Settings!$B$3),MONTH($A41)=MONTH(Settings!$B$3)),Settings!$B$14,0))</f>
        <v/>
      </c>
    </row>
    <row r="42">
      <c r="A42" s="67" t="n"/>
      <c r="B42" s="69" t="n"/>
      <c r="C42" s="69" t="n"/>
      <c r="D42" s="69" t="n"/>
      <c r="E42" s="84">
        <f>IF($A42="","",B42+C42+D42)</f>
        <v/>
      </c>
      <c r="F42" s="85">
        <f>IF($A42="","",SUMIFS($E$5:$E$800,$A$5:$A$800,"&gt;="&amp;DATE(YEAR($A42),MONTH($A42),1),$A$5:$A$800,"&lt;="&amp;$A42)+IF(AND(YEAR($A42)=YEAR(Settings!$B$3),MONTH($A42)=MONTH(Settings!$B$3)),Settings!$B$14,0))</f>
        <v/>
      </c>
    </row>
    <row r="43">
      <c r="A43" s="67" t="n"/>
      <c r="B43" s="69" t="n"/>
      <c r="C43" s="69" t="n"/>
      <c r="D43" s="69" t="n"/>
      <c r="E43" s="84">
        <f>IF($A43="","",B43+C43+D43)</f>
        <v/>
      </c>
      <c r="F43" s="85">
        <f>IF($A43="","",SUMIFS($E$5:$E$800,$A$5:$A$800,"&gt;="&amp;DATE(YEAR($A43),MONTH($A43),1),$A$5:$A$800,"&lt;="&amp;$A43)+IF(AND(YEAR($A43)=YEAR(Settings!$B$3),MONTH($A43)=MONTH(Settings!$B$3)),Settings!$B$14,0))</f>
        <v/>
      </c>
    </row>
    <row r="44">
      <c r="A44" s="67" t="n"/>
      <c r="B44" s="69" t="n"/>
      <c r="C44" s="69" t="n"/>
      <c r="D44" s="69" t="n"/>
      <c r="E44" s="84">
        <f>IF($A44="","",B44+C44+D44)</f>
        <v/>
      </c>
      <c r="F44" s="85">
        <f>IF($A44="","",SUMIFS($E$5:$E$800,$A$5:$A$800,"&gt;="&amp;DATE(YEAR($A44),MONTH($A44),1),$A$5:$A$800,"&lt;="&amp;$A44)+IF(AND(YEAR($A44)=YEAR(Settings!$B$3),MONTH($A44)=MONTH(Settings!$B$3)),Settings!$B$14,0))</f>
        <v/>
      </c>
    </row>
    <row r="45">
      <c r="A45" s="67" t="n"/>
      <c r="B45" s="69" t="n"/>
      <c r="C45" s="69" t="n"/>
      <c r="D45" s="69" t="n"/>
      <c r="E45" s="84">
        <f>IF($A45="","",B45+C45+D45)</f>
        <v/>
      </c>
      <c r="F45" s="85">
        <f>IF($A45="","",SUMIFS($E$5:$E$800,$A$5:$A$800,"&gt;="&amp;DATE(YEAR($A45),MONTH($A45),1),$A$5:$A$800,"&lt;="&amp;$A45)+IF(AND(YEAR($A45)=YEAR(Settings!$B$3),MONTH($A45)=MONTH(Settings!$B$3)),Settings!$B$14,0))</f>
        <v/>
      </c>
    </row>
    <row r="46">
      <c r="A46" s="67" t="n"/>
      <c r="B46" s="69" t="n"/>
      <c r="C46" s="69" t="n"/>
      <c r="D46" s="69" t="n"/>
      <c r="E46" s="84">
        <f>IF($A46="","",B46+C46+D46)</f>
        <v/>
      </c>
      <c r="F46" s="85">
        <f>IF($A46="","",SUMIFS($E$5:$E$800,$A$5:$A$800,"&gt;="&amp;DATE(YEAR($A46),MONTH($A46),1),$A$5:$A$800,"&lt;="&amp;$A46)+IF(AND(YEAR($A46)=YEAR(Settings!$B$3),MONTH($A46)=MONTH(Settings!$B$3)),Settings!$B$14,0))</f>
        <v/>
      </c>
    </row>
    <row r="47">
      <c r="A47" s="67" t="n"/>
      <c r="B47" s="69" t="n"/>
      <c r="C47" s="69" t="n"/>
      <c r="D47" s="69" t="n"/>
      <c r="E47" s="84">
        <f>IF($A47="","",B47+C47+D47)</f>
        <v/>
      </c>
      <c r="F47" s="85">
        <f>IF($A47="","",SUMIFS($E$5:$E$800,$A$5:$A$800,"&gt;="&amp;DATE(YEAR($A47),MONTH($A47),1),$A$5:$A$800,"&lt;="&amp;$A47)+IF(AND(YEAR($A47)=YEAR(Settings!$B$3),MONTH($A47)=MONTH(Settings!$B$3)),Settings!$B$14,0))</f>
        <v/>
      </c>
    </row>
    <row r="48">
      <c r="A48" s="67" t="n"/>
      <c r="B48" s="69" t="n"/>
      <c r="C48" s="69" t="n"/>
      <c r="D48" s="69" t="n"/>
      <c r="E48" s="84">
        <f>IF($A48="","",B48+C48+D48)</f>
        <v/>
      </c>
      <c r="F48" s="85">
        <f>IF($A48="","",SUMIFS($E$5:$E$800,$A$5:$A$800,"&gt;="&amp;DATE(YEAR($A48),MONTH($A48),1),$A$5:$A$800,"&lt;="&amp;$A48)+IF(AND(YEAR($A48)=YEAR(Settings!$B$3),MONTH($A48)=MONTH(Settings!$B$3)),Settings!$B$14,0))</f>
        <v/>
      </c>
    </row>
    <row r="49">
      <c r="A49" s="67" t="n"/>
      <c r="B49" s="69" t="n"/>
      <c r="C49" s="69" t="n"/>
      <c r="D49" s="69" t="n"/>
      <c r="E49" s="84">
        <f>IF($A49="","",B49+C49+D49)</f>
        <v/>
      </c>
      <c r="F49" s="85">
        <f>IF($A49="","",SUMIFS($E$5:$E$800,$A$5:$A$800,"&gt;="&amp;DATE(YEAR($A49),MONTH($A49),1),$A$5:$A$800,"&lt;="&amp;$A49)+IF(AND(YEAR($A49)=YEAR(Settings!$B$3),MONTH($A49)=MONTH(Settings!$B$3)),Settings!$B$14,0))</f>
        <v/>
      </c>
    </row>
    <row r="50">
      <c r="A50" s="67" t="n"/>
      <c r="B50" s="69" t="n"/>
      <c r="C50" s="69" t="n"/>
      <c r="D50" s="69" t="n"/>
      <c r="E50" s="84">
        <f>IF($A50="","",B50+C50+D50)</f>
        <v/>
      </c>
      <c r="F50" s="85">
        <f>IF($A50="","",SUMIFS($E$5:$E$800,$A$5:$A$800,"&gt;="&amp;DATE(YEAR($A50),MONTH($A50),1),$A$5:$A$800,"&lt;="&amp;$A50)+IF(AND(YEAR($A50)=YEAR(Settings!$B$3),MONTH($A50)=MONTH(Settings!$B$3)),Settings!$B$14,0))</f>
        <v/>
      </c>
    </row>
    <row r="51">
      <c r="A51" s="67" t="n"/>
      <c r="B51" s="69" t="n"/>
      <c r="C51" s="69" t="n"/>
      <c r="D51" s="69" t="n"/>
      <c r="E51" s="84">
        <f>IF($A51="","",B51+C51+D51)</f>
        <v/>
      </c>
      <c r="F51" s="85">
        <f>IF($A51="","",SUMIFS($E$5:$E$800,$A$5:$A$800,"&gt;="&amp;DATE(YEAR($A51),MONTH($A51),1),$A$5:$A$800,"&lt;="&amp;$A51)+IF(AND(YEAR($A51)=YEAR(Settings!$B$3),MONTH($A51)=MONTH(Settings!$B$3)),Settings!$B$14,0))</f>
        <v/>
      </c>
    </row>
    <row r="52">
      <c r="A52" s="67" t="n"/>
      <c r="B52" s="69" t="n"/>
      <c r="C52" s="69" t="n"/>
      <c r="D52" s="69" t="n"/>
      <c r="E52" s="84">
        <f>IF($A52="","",B52+C52+D52)</f>
        <v/>
      </c>
      <c r="F52" s="85">
        <f>IF($A52="","",SUMIFS($E$5:$E$800,$A$5:$A$800,"&gt;="&amp;DATE(YEAR($A52),MONTH($A52),1),$A$5:$A$800,"&lt;="&amp;$A52)+IF(AND(YEAR($A52)=YEAR(Settings!$B$3),MONTH($A52)=MONTH(Settings!$B$3)),Settings!$B$14,0))</f>
        <v/>
      </c>
    </row>
    <row r="53">
      <c r="A53" s="67" t="n"/>
      <c r="B53" s="69" t="n"/>
      <c r="C53" s="69" t="n"/>
      <c r="D53" s="69" t="n"/>
      <c r="E53" s="84">
        <f>IF($A53="","",B53+C53+D53)</f>
        <v/>
      </c>
      <c r="F53" s="85">
        <f>IF($A53="","",SUMIFS($E$5:$E$800,$A$5:$A$800,"&gt;="&amp;DATE(YEAR($A53),MONTH($A53),1),$A$5:$A$800,"&lt;="&amp;$A53)+IF(AND(YEAR($A53)=YEAR(Settings!$B$3),MONTH($A53)=MONTH(Settings!$B$3)),Settings!$B$14,0))</f>
        <v/>
      </c>
    </row>
    <row r="54">
      <c r="A54" s="67" t="n"/>
      <c r="B54" s="69" t="n"/>
      <c r="C54" s="69" t="n"/>
      <c r="D54" s="69" t="n"/>
      <c r="E54" s="84">
        <f>IF($A54="","",B54+C54+D54)</f>
        <v/>
      </c>
      <c r="F54" s="85">
        <f>IF($A54="","",SUMIFS($E$5:$E$800,$A$5:$A$800,"&gt;="&amp;DATE(YEAR($A54),MONTH($A54),1),$A$5:$A$800,"&lt;="&amp;$A54)+IF(AND(YEAR($A54)=YEAR(Settings!$B$3),MONTH($A54)=MONTH(Settings!$B$3)),Settings!$B$14,0))</f>
        <v/>
      </c>
    </row>
    <row r="55">
      <c r="A55" s="67" t="n"/>
      <c r="B55" s="69" t="n"/>
      <c r="C55" s="69" t="n"/>
      <c r="D55" s="69" t="n"/>
      <c r="E55" s="84">
        <f>IF($A55="","",B55+C55+D55)</f>
        <v/>
      </c>
      <c r="F55" s="85">
        <f>IF($A55="","",SUMIFS($E$5:$E$800,$A$5:$A$800,"&gt;="&amp;DATE(YEAR($A55),MONTH($A55),1),$A$5:$A$800,"&lt;="&amp;$A55)+IF(AND(YEAR($A55)=YEAR(Settings!$B$3),MONTH($A55)=MONTH(Settings!$B$3)),Settings!$B$14,0))</f>
        <v/>
      </c>
    </row>
    <row r="56">
      <c r="A56" s="67" t="n"/>
      <c r="B56" s="69" t="n"/>
      <c r="C56" s="69" t="n"/>
      <c r="D56" s="69" t="n"/>
      <c r="E56" s="84">
        <f>IF($A56="","",B56+C56+D56)</f>
        <v/>
      </c>
      <c r="F56" s="85">
        <f>IF($A56="","",SUMIFS($E$5:$E$800,$A$5:$A$800,"&gt;="&amp;DATE(YEAR($A56),MONTH($A56),1),$A$5:$A$800,"&lt;="&amp;$A56)+IF(AND(YEAR($A56)=YEAR(Settings!$B$3),MONTH($A56)=MONTH(Settings!$B$3)),Settings!$B$14,0))</f>
        <v/>
      </c>
    </row>
    <row r="57">
      <c r="A57" s="67" t="n"/>
      <c r="B57" s="69" t="n"/>
      <c r="C57" s="69" t="n"/>
      <c r="D57" s="69" t="n"/>
      <c r="E57" s="84">
        <f>IF($A57="","",B57+C57+D57)</f>
        <v/>
      </c>
      <c r="F57" s="85">
        <f>IF($A57="","",SUMIFS($E$5:$E$800,$A$5:$A$800,"&gt;="&amp;DATE(YEAR($A57),MONTH($A57),1),$A$5:$A$800,"&lt;="&amp;$A57)+IF(AND(YEAR($A57)=YEAR(Settings!$B$3),MONTH($A57)=MONTH(Settings!$B$3)),Settings!$B$14,0))</f>
        <v/>
      </c>
    </row>
    <row r="58">
      <c r="A58" s="67" t="n"/>
      <c r="B58" s="69" t="n"/>
      <c r="C58" s="69" t="n"/>
      <c r="D58" s="69" t="n"/>
      <c r="E58" s="84">
        <f>IF($A58="","",B58+C58+D58)</f>
        <v/>
      </c>
      <c r="F58" s="85">
        <f>IF($A58="","",SUMIFS($E$5:$E$800,$A$5:$A$800,"&gt;="&amp;DATE(YEAR($A58),MONTH($A58),1),$A$5:$A$800,"&lt;="&amp;$A58)+IF(AND(YEAR($A58)=YEAR(Settings!$B$3),MONTH($A58)=MONTH(Settings!$B$3)),Settings!$B$14,0))</f>
        <v/>
      </c>
    </row>
    <row r="59">
      <c r="A59" s="67" t="n"/>
      <c r="B59" s="69" t="n"/>
      <c r="C59" s="69" t="n"/>
      <c r="D59" s="69" t="n"/>
      <c r="E59" s="84">
        <f>IF($A59="","",B59+C59+D59)</f>
        <v/>
      </c>
      <c r="F59" s="85">
        <f>IF($A59="","",SUMIFS($E$5:$E$800,$A$5:$A$800,"&gt;="&amp;DATE(YEAR($A59),MONTH($A59),1),$A$5:$A$800,"&lt;="&amp;$A59)+IF(AND(YEAR($A59)=YEAR(Settings!$B$3),MONTH($A59)=MONTH(Settings!$B$3)),Settings!$B$14,0))</f>
        <v/>
      </c>
    </row>
    <row r="60">
      <c r="A60" s="67" t="n"/>
      <c r="B60" s="69" t="n"/>
      <c r="C60" s="69" t="n"/>
      <c r="D60" s="69" t="n"/>
      <c r="E60" s="84">
        <f>IF($A60="","",B60+C60+D60)</f>
        <v/>
      </c>
      <c r="F60" s="85">
        <f>IF($A60="","",SUMIFS($E$5:$E$800,$A$5:$A$800,"&gt;="&amp;DATE(YEAR($A60),MONTH($A60),1),$A$5:$A$800,"&lt;="&amp;$A60)+IF(AND(YEAR($A60)=YEAR(Settings!$B$3),MONTH($A60)=MONTH(Settings!$B$3)),Settings!$B$14,0))</f>
        <v/>
      </c>
    </row>
    <row r="61">
      <c r="A61" s="67" t="n"/>
      <c r="B61" s="69" t="n"/>
      <c r="C61" s="69" t="n"/>
      <c r="D61" s="69" t="n"/>
      <c r="E61" s="84">
        <f>IF($A61="","",B61+C61+D61)</f>
        <v/>
      </c>
      <c r="F61" s="85">
        <f>IF($A61="","",SUMIFS($E$5:$E$800,$A$5:$A$800,"&gt;="&amp;DATE(YEAR($A61),MONTH($A61),1),$A$5:$A$800,"&lt;="&amp;$A61)+IF(AND(YEAR($A61)=YEAR(Settings!$B$3),MONTH($A61)=MONTH(Settings!$B$3)),Settings!$B$14,0))</f>
        <v/>
      </c>
    </row>
    <row r="62">
      <c r="A62" s="67" t="n"/>
      <c r="B62" s="69" t="n"/>
      <c r="C62" s="69" t="n"/>
      <c r="D62" s="69" t="n"/>
      <c r="E62" s="84">
        <f>IF($A62="","",B62+C62+D62)</f>
        <v/>
      </c>
      <c r="F62" s="85">
        <f>IF($A62="","",SUMIFS($E$5:$E$800,$A$5:$A$800,"&gt;="&amp;DATE(YEAR($A62),MONTH($A62),1),$A$5:$A$800,"&lt;="&amp;$A62)+IF(AND(YEAR($A62)=YEAR(Settings!$B$3),MONTH($A62)=MONTH(Settings!$B$3)),Settings!$B$14,0))</f>
        <v/>
      </c>
    </row>
    <row r="63">
      <c r="A63" s="67" t="n"/>
      <c r="B63" s="69" t="n"/>
      <c r="C63" s="69" t="n"/>
      <c r="D63" s="69" t="n"/>
      <c r="E63" s="84">
        <f>IF($A63="","",B63+C63+D63)</f>
        <v/>
      </c>
      <c r="F63" s="85">
        <f>IF($A63="","",SUMIFS($E$5:$E$800,$A$5:$A$800,"&gt;="&amp;DATE(YEAR($A63),MONTH($A63),1),$A$5:$A$800,"&lt;="&amp;$A63)+IF(AND(YEAR($A63)=YEAR(Settings!$B$3),MONTH($A63)=MONTH(Settings!$B$3)),Settings!$B$14,0))</f>
        <v/>
      </c>
    </row>
    <row r="64">
      <c r="A64" s="67" t="n"/>
      <c r="B64" s="69" t="n"/>
      <c r="C64" s="69" t="n"/>
      <c r="D64" s="69" t="n"/>
      <c r="E64" s="84">
        <f>IF($A64="","",B64+C64+D64)</f>
        <v/>
      </c>
      <c r="F64" s="85">
        <f>IF($A64="","",SUMIFS($E$5:$E$800,$A$5:$A$800,"&gt;="&amp;DATE(YEAR($A64),MONTH($A64),1),$A$5:$A$800,"&lt;="&amp;$A64)+IF(AND(YEAR($A64)=YEAR(Settings!$B$3),MONTH($A64)=MONTH(Settings!$B$3)),Settings!$B$14,0))</f>
        <v/>
      </c>
    </row>
    <row r="65">
      <c r="A65" s="67" t="n"/>
      <c r="B65" s="69" t="n"/>
      <c r="C65" s="69" t="n"/>
      <c r="D65" s="69" t="n"/>
      <c r="E65" s="84">
        <f>IF($A65="","",B65+C65+D65)</f>
        <v/>
      </c>
      <c r="F65" s="85">
        <f>IF($A65="","",SUMIFS($E$5:$E$800,$A$5:$A$800,"&gt;="&amp;DATE(YEAR($A65),MONTH($A65),1),$A$5:$A$800,"&lt;="&amp;$A65)+IF(AND(YEAR($A65)=YEAR(Settings!$B$3),MONTH($A65)=MONTH(Settings!$B$3)),Settings!$B$14,0))</f>
        <v/>
      </c>
    </row>
    <row r="66">
      <c r="A66" s="67" t="n"/>
      <c r="B66" s="69" t="n"/>
      <c r="C66" s="69" t="n"/>
      <c r="D66" s="69" t="n"/>
      <c r="E66" s="84">
        <f>IF($A66="","",B66+C66+D66)</f>
        <v/>
      </c>
      <c r="F66" s="85">
        <f>IF($A66="","",SUMIFS($E$5:$E$800,$A$5:$A$800,"&gt;="&amp;DATE(YEAR($A66),MONTH($A66),1),$A$5:$A$800,"&lt;="&amp;$A66)+IF(AND(YEAR($A66)=YEAR(Settings!$B$3),MONTH($A66)=MONTH(Settings!$B$3)),Settings!$B$14,0))</f>
        <v/>
      </c>
    </row>
    <row r="67">
      <c r="A67" s="67" t="n"/>
      <c r="B67" s="69" t="n"/>
      <c r="C67" s="69" t="n"/>
      <c r="D67" s="69" t="n"/>
      <c r="E67" s="84">
        <f>IF($A67="","",B67+C67+D67)</f>
        <v/>
      </c>
      <c r="F67" s="85">
        <f>IF($A67="","",SUMIFS($E$5:$E$800,$A$5:$A$800,"&gt;="&amp;DATE(YEAR($A67),MONTH($A67),1),$A$5:$A$800,"&lt;="&amp;$A67)+IF(AND(YEAR($A67)=YEAR(Settings!$B$3),MONTH($A67)=MONTH(Settings!$B$3)),Settings!$B$14,0))</f>
        <v/>
      </c>
    </row>
    <row r="68">
      <c r="A68" s="67" t="n"/>
      <c r="B68" s="69" t="n"/>
      <c r="C68" s="69" t="n"/>
      <c r="D68" s="69" t="n"/>
      <c r="E68" s="84">
        <f>IF($A68="","",B68+C68+D68)</f>
        <v/>
      </c>
      <c r="F68" s="85">
        <f>IF($A68="","",SUMIFS($E$5:$E$800,$A$5:$A$800,"&gt;="&amp;DATE(YEAR($A68),MONTH($A68),1),$A$5:$A$800,"&lt;="&amp;$A68)+IF(AND(YEAR($A68)=YEAR(Settings!$B$3),MONTH($A68)=MONTH(Settings!$B$3)),Settings!$B$14,0))</f>
        <v/>
      </c>
    </row>
    <row r="69">
      <c r="A69" s="67" t="n"/>
      <c r="B69" s="69" t="n"/>
      <c r="C69" s="69" t="n"/>
      <c r="D69" s="69" t="n"/>
      <c r="E69" s="84">
        <f>IF($A69="","",B69+C69+D69)</f>
        <v/>
      </c>
      <c r="F69" s="85">
        <f>IF($A69="","",SUMIFS($E$5:$E$800,$A$5:$A$800,"&gt;="&amp;DATE(YEAR($A69),MONTH($A69),1),$A$5:$A$800,"&lt;="&amp;$A69)+IF(AND(YEAR($A69)=YEAR(Settings!$B$3),MONTH($A69)=MONTH(Settings!$B$3)),Settings!$B$14,0))</f>
        <v/>
      </c>
    </row>
    <row r="70">
      <c r="A70" s="67" t="n"/>
      <c r="B70" s="69" t="n"/>
      <c r="C70" s="69" t="n"/>
      <c r="D70" s="69" t="n"/>
      <c r="E70" s="84">
        <f>IF($A70="","",B70+C70+D70)</f>
        <v/>
      </c>
      <c r="F70" s="85">
        <f>IF($A70="","",SUMIFS($E$5:$E$800,$A$5:$A$800,"&gt;="&amp;DATE(YEAR($A70),MONTH($A70),1),$A$5:$A$800,"&lt;="&amp;$A70)+IF(AND(YEAR($A70)=YEAR(Settings!$B$3),MONTH($A70)=MONTH(Settings!$B$3)),Settings!$B$14,0))</f>
        <v/>
      </c>
    </row>
    <row r="71">
      <c r="A71" s="67" t="n"/>
      <c r="B71" s="69" t="n"/>
      <c r="C71" s="69" t="n"/>
      <c r="D71" s="69" t="n"/>
      <c r="E71" s="84">
        <f>IF($A71="","",B71+C71+D71)</f>
        <v/>
      </c>
      <c r="F71" s="85">
        <f>IF($A71="","",SUMIFS($E$5:$E$800,$A$5:$A$800,"&gt;="&amp;DATE(YEAR($A71),MONTH($A71),1),$A$5:$A$800,"&lt;="&amp;$A71)+IF(AND(YEAR($A71)=YEAR(Settings!$B$3),MONTH($A71)=MONTH(Settings!$B$3)),Settings!$B$14,0))</f>
        <v/>
      </c>
    </row>
    <row r="72">
      <c r="A72" s="67" t="n"/>
      <c r="B72" s="69" t="n"/>
      <c r="C72" s="69" t="n"/>
      <c r="D72" s="69" t="n"/>
      <c r="E72" s="84">
        <f>IF($A72="","",B72+C72+D72)</f>
        <v/>
      </c>
      <c r="F72" s="85">
        <f>IF($A72="","",SUMIFS($E$5:$E$800,$A$5:$A$800,"&gt;="&amp;DATE(YEAR($A72),MONTH($A72),1),$A$5:$A$800,"&lt;="&amp;$A72)+IF(AND(YEAR($A72)=YEAR(Settings!$B$3),MONTH($A72)=MONTH(Settings!$B$3)),Settings!$B$14,0))</f>
        <v/>
      </c>
    </row>
    <row r="73">
      <c r="A73" s="67" t="n"/>
      <c r="B73" s="69" t="n"/>
      <c r="C73" s="69" t="n"/>
      <c r="D73" s="69" t="n"/>
      <c r="E73" s="84">
        <f>IF($A73="","",B73+C73+D73)</f>
        <v/>
      </c>
      <c r="F73" s="85">
        <f>IF($A73="","",SUMIFS($E$5:$E$800,$A$5:$A$800,"&gt;="&amp;DATE(YEAR($A73),MONTH($A73),1),$A$5:$A$800,"&lt;="&amp;$A73)+IF(AND(YEAR($A73)=YEAR(Settings!$B$3),MONTH($A73)=MONTH(Settings!$B$3)),Settings!$B$14,0))</f>
        <v/>
      </c>
    </row>
    <row r="74">
      <c r="A74" s="67" t="n"/>
      <c r="B74" s="69" t="n"/>
      <c r="C74" s="69" t="n"/>
      <c r="D74" s="69" t="n"/>
      <c r="E74" s="84">
        <f>IF($A74="","",B74+C74+D74)</f>
        <v/>
      </c>
      <c r="F74" s="85">
        <f>IF($A74="","",SUMIFS($E$5:$E$800,$A$5:$A$800,"&gt;="&amp;DATE(YEAR($A74),MONTH($A74),1),$A$5:$A$800,"&lt;="&amp;$A74)+IF(AND(YEAR($A74)=YEAR(Settings!$B$3),MONTH($A74)=MONTH(Settings!$B$3)),Settings!$B$14,0))</f>
        <v/>
      </c>
    </row>
    <row r="75">
      <c r="A75" s="67" t="n"/>
      <c r="B75" s="69" t="n"/>
      <c r="C75" s="69" t="n"/>
      <c r="D75" s="69" t="n"/>
      <c r="E75" s="84">
        <f>IF($A75="","",B75+C75+D75)</f>
        <v/>
      </c>
      <c r="F75" s="85">
        <f>IF($A75="","",SUMIFS($E$5:$E$800,$A$5:$A$800,"&gt;="&amp;DATE(YEAR($A75),MONTH($A75),1),$A$5:$A$800,"&lt;="&amp;$A75)+IF(AND(YEAR($A75)=YEAR(Settings!$B$3),MONTH($A75)=MONTH(Settings!$B$3)),Settings!$B$14,0))</f>
        <v/>
      </c>
    </row>
    <row r="76">
      <c r="A76" s="67" t="n"/>
      <c r="B76" s="69" t="n"/>
      <c r="C76" s="69" t="n"/>
      <c r="D76" s="69" t="n"/>
      <c r="E76" s="84">
        <f>IF($A76="","",B76+C76+D76)</f>
        <v/>
      </c>
      <c r="F76" s="85">
        <f>IF($A76="","",SUMIFS($E$5:$E$800,$A$5:$A$800,"&gt;="&amp;DATE(YEAR($A76),MONTH($A76),1),$A$5:$A$800,"&lt;="&amp;$A76)+IF(AND(YEAR($A76)=YEAR(Settings!$B$3),MONTH($A76)=MONTH(Settings!$B$3)),Settings!$B$14,0))</f>
        <v/>
      </c>
    </row>
    <row r="77">
      <c r="A77" s="67" t="n"/>
      <c r="B77" s="69" t="n"/>
      <c r="C77" s="69" t="n"/>
      <c r="D77" s="69" t="n"/>
      <c r="E77" s="84">
        <f>IF($A77="","",B77+C77+D77)</f>
        <v/>
      </c>
      <c r="F77" s="85">
        <f>IF($A77="","",SUMIFS($E$5:$E$800,$A$5:$A$800,"&gt;="&amp;DATE(YEAR($A77),MONTH($A77),1),$A$5:$A$800,"&lt;="&amp;$A77)+IF(AND(YEAR($A77)=YEAR(Settings!$B$3),MONTH($A77)=MONTH(Settings!$B$3)),Settings!$B$14,0))</f>
        <v/>
      </c>
    </row>
    <row r="78">
      <c r="A78" s="67" t="n"/>
      <c r="B78" s="69" t="n"/>
      <c r="C78" s="69" t="n"/>
      <c r="D78" s="69" t="n"/>
      <c r="E78" s="84">
        <f>IF($A78="","",B78+C78+D78)</f>
        <v/>
      </c>
      <c r="F78" s="85">
        <f>IF($A78="","",SUMIFS($E$5:$E$800,$A$5:$A$800,"&gt;="&amp;DATE(YEAR($A78),MONTH($A78),1),$A$5:$A$800,"&lt;="&amp;$A78)+IF(AND(YEAR($A78)=YEAR(Settings!$B$3),MONTH($A78)=MONTH(Settings!$B$3)),Settings!$B$14,0))</f>
        <v/>
      </c>
    </row>
    <row r="79">
      <c r="A79" s="67" t="n"/>
      <c r="B79" s="69" t="n"/>
      <c r="C79" s="69" t="n"/>
      <c r="D79" s="69" t="n"/>
      <c r="E79" s="84">
        <f>IF($A79="","",B79+C79+D79)</f>
        <v/>
      </c>
      <c r="F79" s="85">
        <f>IF($A79="","",SUMIFS($E$5:$E$800,$A$5:$A$800,"&gt;="&amp;DATE(YEAR($A79),MONTH($A79),1),$A$5:$A$800,"&lt;="&amp;$A79)+IF(AND(YEAR($A79)=YEAR(Settings!$B$3),MONTH($A79)=MONTH(Settings!$B$3)),Settings!$B$14,0))</f>
        <v/>
      </c>
    </row>
    <row r="80">
      <c r="A80" s="67" t="n"/>
      <c r="B80" s="69" t="n"/>
      <c r="C80" s="69" t="n"/>
      <c r="D80" s="69" t="n"/>
      <c r="E80" s="84">
        <f>IF($A80="","",B80+C80+D80)</f>
        <v/>
      </c>
      <c r="F80" s="85">
        <f>IF($A80="","",SUMIFS($E$5:$E$800,$A$5:$A$800,"&gt;="&amp;DATE(YEAR($A80),MONTH($A80),1),$A$5:$A$800,"&lt;="&amp;$A80)+IF(AND(YEAR($A80)=YEAR(Settings!$B$3),MONTH($A80)=MONTH(Settings!$B$3)),Settings!$B$14,0))</f>
        <v/>
      </c>
    </row>
    <row r="81">
      <c r="A81" s="67" t="n"/>
      <c r="B81" s="69" t="n"/>
      <c r="C81" s="69" t="n"/>
      <c r="D81" s="69" t="n"/>
      <c r="E81" s="84">
        <f>IF($A81="","",B81+C81+D81)</f>
        <v/>
      </c>
      <c r="F81" s="85">
        <f>IF($A81="","",SUMIFS($E$5:$E$800,$A$5:$A$800,"&gt;="&amp;DATE(YEAR($A81),MONTH($A81),1),$A$5:$A$800,"&lt;="&amp;$A81)+IF(AND(YEAR($A81)=YEAR(Settings!$B$3),MONTH($A81)=MONTH(Settings!$B$3)),Settings!$B$14,0))</f>
        <v/>
      </c>
    </row>
    <row r="82">
      <c r="A82" s="67" t="n"/>
      <c r="B82" s="69" t="n"/>
      <c r="C82" s="69" t="n"/>
      <c r="D82" s="69" t="n"/>
      <c r="E82" s="84">
        <f>IF($A82="","",B82+C82+D82)</f>
        <v/>
      </c>
      <c r="F82" s="85">
        <f>IF($A82="","",SUMIFS($E$5:$E$800,$A$5:$A$800,"&gt;="&amp;DATE(YEAR($A82),MONTH($A82),1),$A$5:$A$800,"&lt;="&amp;$A82)+IF(AND(YEAR($A82)=YEAR(Settings!$B$3),MONTH($A82)=MONTH(Settings!$B$3)),Settings!$B$14,0))</f>
        <v/>
      </c>
    </row>
    <row r="83">
      <c r="A83" s="67" t="n"/>
      <c r="B83" s="69" t="n"/>
      <c r="C83" s="69" t="n"/>
      <c r="D83" s="69" t="n"/>
      <c r="E83" s="84">
        <f>IF($A83="","",B83+C83+D83)</f>
        <v/>
      </c>
      <c r="F83" s="85">
        <f>IF($A83="","",SUMIFS($E$5:$E$800,$A$5:$A$800,"&gt;="&amp;DATE(YEAR($A83),MONTH($A83),1),$A$5:$A$800,"&lt;="&amp;$A83)+IF(AND(YEAR($A83)=YEAR(Settings!$B$3),MONTH($A83)=MONTH(Settings!$B$3)),Settings!$B$14,0))</f>
        <v/>
      </c>
    </row>
    <row r="84">
      <c r="A84" s="67" t="n"/>
      <c r="B84" s="69" t="n"/>
      <c r="C84" s="69" t="n"/>
      <c r="D84" s="69" t="n"/>
      <c r="E84" s="84">
        <f>IF($A84="","",B84+C84+D84)</f>
        <v/>
      </c>
      <c r="F84" s="85">
        <f>IF($A84="","",SUMIFS($E$5:$E$800,$A$5:$A$800,"&gt;="&amp;DATE(YEAR($A84),MONTH($A84),1),$A$5:$A$800,"&lt;="&amp;$A84)+IF(AND(YEAR($A84)=YEAR(Settings!$B$3),MONTH($A84)=MONTH(Settings!$B$3)),Settings!$B$14,0))</f>
        <v/>
      </c>
    </row>
    <row r="85">
      <c r="A85" s="67" t="n"/>
      <c r="B85" s="69" t="n"/>
      <c r="C85" s="69" t="n"/>
      <c r="D85" s="69" t="n"/>
      <c r="E85" s="84">
        <f>IF($A85="","",B85+C85+D85)</f>
        <v/>
      </c>
      <c r="F85" s="85">
        <f>IF($A85="","",SUMIFS($E$5:$E$800,$A$5:$A$800,"&gt;="&amp;DATE(YEAR($A85),MONTH($A85),1),$A$5:$A$800,"&lt;="&amp;$A85)+IF(AND(YEAR($A85)=YEAR(Settings!$B$3),MONTH($A85)=MONTH(Settings!$B$3)),Settings!$B$14,0))</f>
        <v/>
      </c>
    </row>
    <row r="86">
      <c r="A86" s="67" t="n"/>
      <c r="B86" s="69" t="n"/>
      <c r="C86" s="69" t="n"/>
      <c r="D86" s="69" t="n"/>
      <c r="E86" s="84">
        <f>IF($A86="","",B86+C86+D86)</f>
        <v/>
      </c>
      <c r="F86" s="85">
        <f>IF($A86="","",SUMIFS($E$5:$E$800,$A$5:$A$800,"&gt;="&amp;DATE(YEAR($A86),MONTH($A86),1),$A$5:$A$800,"&lt;="&amp;$A86)+IF(AND(YEAR($A86)=YEAR(Settings!$B$3),MONTH($A86)=MONTH(Settings!$B$3)),Settings!$B$14,0))</f>
        <v/>
      </c>
    </row>
    <row r="87">
      <c r="A87" s="67" t="n"/>
      <c r="B87" s="69" t="n"/>
      <c r="C87" s="69" t="n"/>
      <c r="D87" s="69" t="n"/>
      <c r="E87" s="84">
        <f>IF($A87="","",B87+C87+D87)</f>
        <v/>
      </c>
      <c r="F87" s="85">
        <f>IF($A87="","",SUMIFS($E$5:$E$800,$A$5:$A$800,"&gt;="&amp;DATE(YEAR($A87),MONTH($A87),1),$A$5:$A$800,"&lt;="&amp;$A87)+IF(AND(YEAR($A87)=YEAR(Settings!$B$3),MONTH($A87)=MONTH(Settings!$B$3)),Settings!$B$14,0))</f>
        <v/>
      </c>
    </row>
    <row r="88">
      <c r="A88" s="67" t="n"/>
      <c r="B88" s="69" t="n"/>
      <c r="C88" s="69" t="n"/>
      <c r="D88" s="69" t="n"/>
      <c r="E88" s="84">
        <f>IF($A88="","",B88+C88+D88)</f>
        <v/>
      </c>
      <c r="F88" s="85">
        <f>IF($A88="","",SUMIFS($E$5:$E$800,$A$5:$A$800,"&gt;="&amp;DATE(YEAR($A88),MONTH($A88),1),$A$5:$A$800,"&lt;="&amp;$A88)+IF(AND(YEAR($A88)=YEAR(Settings!$B$3),MONTH($A88)=MONTH(Settings!$B$3)),Settings!$B$14,0))</f>
        <v/>
      </c>
    </row>
    <row r="89">
      <c r="A89" s="67" t="n"/>
      <c r="B89" s="69" t="n"/>
      <c r="C89" s="69" t="n"/>
      <c r="D89" s="69" t="n"/>
      <c r="E89" s="84">
        <f>IF($A89="","",B89+C89+D89)</f>
        <v/>
      </c>
      <c r="F89" s="85">
        <f>IF($A89="","",SUMIFS($E$5:$E$800,$A$5:$A$800,"&gt;="&amp;DATE(YEAR($A89),MONTH($A89),1),$A$5:$A$800,"&lt;="&amp;$A89)+IF(AND(YEAR($A89)=YEAR(Settings!$B$3),MONTH($A89)=MONTH(Settings!$B$3)),Settings!$B$14,0))</f>
        <v/>
      </c>
    </row>
    <row r="90">
      <c r="A90" s="67" t="n"/>
      <c r="B90" s="69" t="n"/>
      <c r="C90" s="69" t="n"/>
      <c r="D90" s="69" t="n"/>
      <c r="E90" s="84">
        <f>IF($A90="","",B90+C90+D90)</f>
        <v/>
      </c>
      <c r="F90" s="85">
        <f>IF($A90="","",SUMIFS($E$5:$E$800,$A$5:$A$800,"&gt;="&amp;DATE(YEAR($A90),MONTH($A90),1),$A$5:$A$800,"&lt;="&amp;$A90)+IF(AND(YEAR($A90)=YEAR(Settings!$B$3),MONTH($A90)=MONTH(Settings!$B$3)),Settings!$B$14,0))</f>
        <v/>
      </c>
    </row>
    <row r="91">
      <c r="A91" s="67" t="n"/>
      <c r="B91" s="69" t="n"/>
      <c r="C91" s="69" t="n"/>
      <c r="D91" s="69" t="n"/>
      <c r="E91" s="84">
        <f>IF($A91="","",B91+C91+D91)</f>
        <v/>
      </c>
      <c r="F91" s="85">
        <f>IF($A91="","",SUMIFS($E$5:$E$800,$A$5:$A$800,"&gt;="&amp;DATE(YEAR($A91),MONTH($A91),1),$A$5:$A$800,"&lt;="&amp;$A91)+IF(AND(YEAR($A91)=YEAR(Settings!$B$3),MONTH($A91)=MONTH(Settings!$B$3)),Settings!$B$14,0))</f>
        <v/>
      </c>
    </row>
    <row r="92">
      <c r="A92" s="67" t="n"/>
      <c r="B92" s="69" t="n"/>
      <c r="C92" s="69" t="n"/>
      <c r="D92" s="69" t="n"/>
      <c r="E92" s="84">
        <f>IF($A92="","",B92+C92+D92)</f>
        <v/>
      </c>
      <c r="F92" s="85">
        <f>IF($A92="","",SUMIFS($E$5:$E$800,$A$5:$A$800,"&gt;="&amp;DATE(YEAR($A92),MONTH($A92),1),$A$5:$A$800,"&lt;="&amp;$A92)+IF(AND(YEAR($A92)=YEAR(Settings!$B$3),MONTH($A92)=MONTH(Settings!$B$3)),Settings!$B$14,0))</f>
        <v/>
      </c>
    </row>
    <row r="93">
      <c r="A93" s="67" t="n"/>
      <c r="B93" s="69" t="n"/>
      <c r="C93" s="69" t="n"/>
      <c r="D93" s="69" t="n"/>
      <c r="E93" s="84">
        <f>IF($A93="","",B93+C93+D93)</f>
        <v/>
      </c>
      <c r="F93" s="85">
        <f>IF($A93="","",SUMIFS($E$5:$E$800,$A$5:$A$800,"&gt;="&amp;DATE(YEAR($A93),MONTH($A93),1),$A$5:$A$800,"&lt;="&amp;$A93)+IF(AND(YEAR($A93)=YEAR(Settings!$B$3),MONTH($A93)=MONTH(Settings!$B$3)),Settings!$B$14,0))</f>
        <v/>
      </c>
    </row>
    <row r="94">
      <c r="A94" s="67" t="n"/>
      <c r="B94" s="69" t="n"/>
      <c r="C94" s="69" t="n"/>
      <c r="D94" s="69" t="n"/>
      <c r="E94" s="84">
        <f>IF($A94="","",B94+C94+D94)</f>
        <v/>
      </c>
      <c r="F94" s="85">
        <f>IF($A94="","",SUMIFS($E$5:$E$800,$A$5:$A$800,"&gt;="&amp;DATE(YEAR($A94),MONTH($A94),1),$A$5:$A$800,"&lt;="&amp;$A94)+IF(AND(YEAR($A94)=YEAR(Settings!$B$3),MONTH($A94)=MONTH(Settings!$B$3)),Settings!$B$14,0))</f>
        <v/>
      </c>
    </row>
    <row r="95">
      <c r="A95" s="67" t="n"/>
      <c r="B95" s="69" t="n"/>
      <c r="C95" s="69" t="n"/>
      <c r="D95" s="69" t="n"/>
      <c r="E95" s="84">
        <f>IF($A95="","",B95+C95+D95)</f>
        <v/>
      </c>
      <c r="F95" s="85">
        <f>IF($A95="","",SUMIFS($E$5:$E$800,$A$5:$A$800,"&gt;="&amp;DATE(YEAR($A95),MONTH($A95),1),$A$5:$A$800,"&lt;="&amp;$A95)+IF(AND(YEAR($A95)=YEAR(Settings!$B$3),MONTH($A95)=MONTH(Settings!$B$3)),Settings!$B$14,0))</f>
        <v/>
      </c>
    </row>
    <row r="96">
      <c r="A96" s="67" t="n"/>
      <c r="B96" s="69" t="n"/>
      <c r="C96" s="69" t="n"/>
      <c r="D96" s="69" t="n"/>
      <c r="E96" s="84">
        <f>IF($A96="","",B96+C96+D96)</f>
        <v/>
      </c>
      <c r="F96" s="85">
        <f>IF($A96="","",SUMIFS($E$5:$E$800,$A$5:$A$800,"&gt;="&amp;DATE(YEAR($A96),MONTH($A96),1),$A$5:$A$800,"&lt;="&amp;$A96)+IF(AND(YEAR($A96)=YEAR(Settings!$B$3),MONTH($A96)=MONTH(Settings!$B$3)),Settings!$B$14,0))</f>
        <v/>
      </c>
    </row>
    <row r="97">
      <c r="A97" s="67" t="n"/>
      <c r="B97" s="69" t="n"/>
      <c r="C97" s="69" t="n"/>
      <c r="D97" s="69" t="n"/>
      <c r="E97" s="84">
        <f>IF($A97="","",B97+C97+D97)</f>
        <v/>
      </c>
      <c r="F97" s="85">
        <f>IF($A97="","",SUMIFS($E$5:$E$800,$A$5:$A$800,"&gt;="&amp;DATE(YEAR($A97),MONTH($A97),1),$A$5:$A$800,"&lt;="&amp;$A97)+IF(AND(YEAR($A97)=YEAR(Settings!$B$3),MONTH($A97)=MONTH(Settings!$B$3)),Settings!$B$14,0))</f>
        <v/>
      </c>
    </row>
    <row r="98">
      <c r="A98" s="67" t="n"/>
      <c r="B98" s="69" t="n"/>
      <c r="C98" s="69" t="n"/>
      <c r="D98" s="69" t="n"/>
      <c r="E98" s="84">
        <f>IF($A98="","",B98+C98+D98)</f>
        <v/>
      </c>
      <c r="F98" s="85">
        <f>IF($A98="","",SUMIFS($E$5:$E$800,$A$5:$A$800,"&gt;="&amp;DATE(YEAR($A98),MONTH($A98),1),$A$5:$A$800,"&lt;="&amp;$A98)+IF(AND(YEAR($A98)=YEAR(Settings!$B$3),MONTH($A98)=MONTH(Settings!$B$3)),Settings!$B$14,0))</f>
        <v/>
      </c>
    </row>
    <row r="99">
      <c r="A99" s="67" t="n"/>
      <c r="B99" s="69" t="n"/>
      <c r="C99" s="69" t="n"/>
      <c r="D99" s="69" t="n"/>
      <c r="E99" s="84">
        <f>IF($A99="","",B99+C99+D99)</f>
        <v/>
      </c>
      <c r="F99" s="85">
        <f>IF($A99="","",SUMIFS($E$5:$E$800,$A$5:$A$800,"&gt;="&amp;DATE(YEAR($A99),MONTH($A99),1),$A$5:$A$800,"&lt;="&amp;$A99)+IF(AND(YEAR($A99)=YEAR(Settings!$B$3),MONTH($A99)=MONTH(Settings!$B$3)),Settings!$B$14,0))</f>
        <v/>
      </c>
    </row>
    <row r="100">
      <c r="A100" s="67" t="n"/>
      <c r="B100" s="69" t="n"/>
      <c r="C100" s="69" t="n"/>
      <c r="D100" s="69" t="n"/>
      <c r="E100" s="84">
        <f>IF($A100="","",B100+C100+D100)</f>
        <v/>
      </c>
      <c r="F100" s="85">
        <f>IF($A100="","",SUMIFS($E$5:$E$800,$A$5:$A$800,"&gt;="&amp;DATE(YEAR($A100),MONTH($A100),1),$A$5:$A$800,"&lt;="&amp;$A100)+IF(AND(YEAR($A100)=YEAR(Settings!$B$3),MONTH($A100)=MONTH(Settings!$B$3)),Settings!$B$14,0))</f>
        <v/>
      </c>
    </row>
    <row r="101">
      <c r="A101" s="67" t="n"/>
      <c r="B101" s="69" t="n"/>
      <c r="C101" s="69" t="n"/>
      <c r="D101" s="69" t="n"/>
      <c r="E101" s="84">
        <f>IF($A101="","",B101+C101+D101)</f>
        <v/>
      </c>
      <c r="F101" s="85">
        <f>IF($A101="","",SUMIFS($E$5:$E$800,$A$5:$A$800,"&gt;="&amp;DATE(YEAR($A101),MONTH($A101),1),$A$5:$A$800,"&lt;="&amp;$A101)+IF(AND(YEAR($A101)=YEAR(Settings!$B$3),MONTH($A101)=MONTH(Settings!$B$3)),Settings!$B$14,0))</f>
        <v/>
      </c>
    </row>
    <row r="102">
      <c r="A102" s="67" t="n"/>
      <c r="B102" s="69" t="n"/>
      <c r="C102" s="69" t="n"/>
      <c r="D102" s="69" t="n"/>
      <c r="E102" s="84">
        <f>IF($A102="","",B102+C102+D102)</f>
        <v/>
      </c>
      <c r="F102" s="85">
        <f>IF($A102="","",SUMIFS($E$5:$E$800,$A$5:$A$800,"&gt;="&amp;DATE(YEAR($A102),MONTH($A102),1),$A$5:$A$800,"&lt;="&amp;$A102)+IF(AND(YEAR($A102)=YEAR(Settings!$B$3),MONTH($A102)=MONTH(Settings!$B$3)),Settings!$B$14,0))</f>
        <v/>
      </c>
    </row>
    <row r="103">
      <c r="A103" s="67" t="n"/>
      <c r="B103" s="69" t="n"/>
      <c r="C103" s="69" t="n"/>
      <c r="D103" s="69" t="n"/>
      <c r="E103" s="84">
        <f>IF($A103="","",B103+C103+D103)</f>
        <v/>
      </c>
      <c r="F103" s="85">
        <f>IF($A103="","",SUMIFS($E$5:$E$800,$A$5:$A$800,"&gt;="&amp;DATE(YEAR($A103),MONTH($A103),1),$A$5:$A$800,"&lt;="&amp;$A103)+IF(AND(YEAR($A103)=YEAR(Settings!$B$3),MONTH($A103)=MONTH(Settings!$B$3)),Settings!$B$14,0))</f>
        <v/>
      </c>
    </row>
    <row r="104">
      <c r="A104" s="67" t="n"/>
      <c r="B104" s="69" t="n"/>
      <c r="C104" s="69" t="n"/>
      <c r="D104" s="69" t="n"/>
      <c r="E104" s="84">
        <f>IF($A104="","",B104+C104+D104)</f>
        <v/>
      </c>
      <c r="F104" s="85">
        <f>IF($A104="","",SUMIFS($E$5:$E$800,$A$5:$A$800,"&gt;="&amp;DATE(YEAR($A104),MONTH($A104),1),$A$5:$A$800,"&lt;="&amp;$A104)+IF(AND(YEAR($A104)=YEAR(Settings!$B$3),MONTH($A104)=MONTH(Settings!$B$3)),Settings!$B$14,0))</f>
        <v/>
      </c>
    </row>
    <row r="105">
      <c r="A105" s="67" t="n"/>
      <c r="B105" s="69" t="n"/>
      <c r="C105" s="69" t="n"/>
      <c r="D105" s="69" t="n"/>
      <c r="E105" s="84">
        <f>IF($A105="","",B105+C105+D105)</f>
        <v/>
      </c>
      <c r="F105" s="85">
        <f>IF($A105="","",SUMIFS($E$5:$E$800,$A$5:$A$800,"&gt;="&amp;DATE(YEAR($A105),MONTH($A105),1),$A$5:$A$800,"&lt;="&amp;$A105)+IF(AND(YEAR($A105)=YEAR(Settings!$B$3),MONTH($A105)=MONTH(Settings!$B$3)),Settings!$B$14,0))</f>
        <v/>
      </c>
    </row>
    <row r="106">
      <c r="A106" s="67" t="n"/>
      <c r="B106" s="69" t="n"/>
      <c r="C106" s="69" t="n"/>
      <c r="D106" s="69" t="n"/>
      <c r="E106" s="84">
        <f>IF($A106="","",B106+C106+D106)</f>
        <v/>
      </c>
      <c r="F106" s="85">
        <f>IF($A106="","",SUMIFS($E$5:$E$800,$A$5:$A$800,"&gt;="&amp;DATE(YEAR($A106),MONTH($A106),1),$A$5:$A$800,"&lt;="&amp;$A106)+IF(AND(YEAR($A106)=YEAR(Settings!$B$3),MONTH($A106)=MONTH(Settings!$B$3)),Settings!$B$14,0))</f>
        <v/>
      </c>
    </row>
    <row r="107">
      <c r="A107" s="67" t="n"/>
      <c r="B107" s="69" t="n"/>
      <c r="C107" s="69" t="n"/>
      <c r="D107" s="69" t="n"/>
      <c r="E107" s="84">
        <f>IF($A107="","",B107+C107+D107)</f>
        <v/>
      </c>
      <c r="F107" s="85">
        <f>IF($A107="","",SUMIFS($E$5:$E$800,$A$5:$A$800,"&gt;="&amp;DATE(YEAR($A107),MONTH($A107),1),$A$5:$A$800,"&lt;="&amp;$A107)+IF(AND(YEAR($A107)=YEAR(Settings!$B$3),MONTH($A107)=MONTH(Settings!$B$3)),Settings!$B$14,0))</f>
        <v/>
      </c>
    </row>
    <row r="108">
      <c r="A108" s="67" t="n"/>
      <c r="B108" s="69" t="n"/>
      <c r="C108" s="69" t="n"/>
      <c r="D108" s="69" t="n"/>
      <c r="E108" s="84">
        <f>IF($A108="","",B108+C108+D108)</f>
        <v/>
      </c>
      <c r="F108" s="85">
        <f>IF($A108="","",SUMIFS($E$5:$E$800,$A$5:$A$800,"&gt;="&amp;DATE(YEAR($A108),MONTH($A108),1),$A$5:$A$800,"&lt;="&amp;$A108)+IF(AND(YEAR($A108)=YEAR(Settings!$B$3),MONTH($A108)=MONTH(Settings!$B$3)),Settings!$B$14,0))</f>
        <v/>
      </c>
    </row>
    <row r="109">
      <c r="A109" s="67" t="n"/>
      <c r="B109" s="69" t="n"/>
      <c r="C109" s="69" t="n"/>
      <c r="D109" s="69" t="n"/>
      <c r="E109" s="84">
        <f>IF($A109="","",B109+C109+D109)</f>
        <v/>
      </c>
      <c r="F109" s="85">
        <f>IF($A109="","",SUMIFS($E$5:$E$800,$A$5:$A$800,"&gt;="&amp;DATE(YEAR($A109),MONTH($A109),1),$A$5:$A$800,"&lt;="&amp;$A109)+IF(AND(YEAR($A109)=YEAR(Settings!$B$3),MONTH($A109)=MONTH(Settings!$B$3)),Settings!$B$14,0))</f>
        <v/>
      </c>
    </row>
    <row r="110">
      <c r="A110" s="67" t="n"/>
      <c r="B110" s="69" t="n"/>
      <c r="C110" s="69" t="n"/>
      <c r="D110" s="69" t="n"/>
      <c r="E110" s="84">
        <f>IF($A110="","",B110+C110+D110)</f>
        <v/>
      </c>
      <c r="F110" s="85">
        <f>IF($A110="","",SUMIFS($E$5:$E$800,$A$5:$A$800,"&gt;="&amp;DATE(YEAR($A110),MONTH($A110),1),$A$5:$A$800,"&lt;="&amp;$A110)+IF(AND(YEAR($A110)=YEAR(Settings!$B$3),MONTH($A110)=MONTH(Settings!$B$3)),Settings!$B$14,0))</f>
        <v/>
      </c>
    </row>
    <row r="111">
      <c r="A111" s="67" t="n"/>
      <c r="B111" s="69" t="n"/>
      <c r="C111" s="69" t="n"/>
      <c r="D111" s="69" t="n"/>
      <c r="E111" s="84">
        <f>IF($A111="","",B111+C111+D111)</f>
        <v/>
      </c>
      <c r="F111" s="85">
        <f>IF($A111="","",SUMIFS($E$5:$E$800,$A$5:$A$800,"&gt;="&amp;DATE(YEAR($A111),MONTH($A111),1),$A$5:$A$800,"&lt;="&amp;$A111)+IF(AND(YEAR($A111)=YEAR(Settings!$B$3),MONTH($A111)=MONTH(Settings!$B$3)),Settings!$B$14,0))</f>
        <v/>
      </c>
    </row>
    <row r="112">
      <c r="A112" s="67" t="n"/>
      <c r="B112" s="69" t="n"/>
      <c r="C112" s="69" t="n"/>
      <c r="D112" s="69" t="n"/>
      <c r="E112" s="84">
        <f>IF($A112="","",B112+C112+D112)</f>
        <v/>
      </c>
      <c r="F112" s="85">
        <f>IF($A112="","",SUMIFS($E$5:$E$800,$A$5:$A$800,"&gt;="&amp;DATE(YEAR($A112),MONTH($A112),1),$A$5:$A$800,"&lt;="&amp;$A112)+IF(AND(YEAR($A112)=YEAR(Settings!$B$3),MONTH($A112)=MONTH(Settings!$B$3)),Settings!$B$14,0))</f>
        <v/>
      </c>
    </row>
    <row r="113">
      <c r="A113" s="67" t="n"/>
      <c r="B113" s="69" t="n"/>
      <c r="C113" s="69" t="n"/>
      <c r="D113" s="69" t="n"/>
      <c r="E113" s="84">
        <f>IF($A113="","",B113+C113+D113)</f>
        <v/>
      </c>
      <c r="F113" s="85">
        <f>IF($A113="","",SUMIFS($E$5:$E$800,$A$5:$A$800,"&gt;="&amp;DATE(YEAR($A113),MONTH($A113),1),$A$5:$A$800,"&lt;="&amp;$A113)+IF(AND(YEAR($A113)=YEAR(Settings!$B$3),MONTH($A113)=MONTH(Settings!$B$3)),Settings!$B$14,0))</f>
        <v/>
      </c>
    </row>
    <row r="114">
      <c r="A114" s="67" t="n"/>
      <c r="B114" s="69" t="n"/>
      <c r="C114" s="69" t="n"/>
      <c r="D114" s="69" t="n"/>
      <c r="E114" s="84">
        <f>IF($A114="","",B114+C114+D114)</f>
        <v/>
      </c>
      <c r="F114" s="85">
        <f>IF($A114="","",SUMIFS($E$5:$E$800,$A$5:$A$800,"&gt;="&amp;DATE(YEAR($A114),MONTH($A114),1),$A$5:$A$800,"&lt;="&amp;$A114)+IF(AND(YEAR($A114)=YEAR(Settings!$B$3),MONTH($A114)=MONTH(Settings!$B$3)),Settings!$B$14,0))</f>
        <v/>
      </c>
    </row>
    <row r="115">
      <c r="A115" s="67" t="n"/>
      <c r="B115" s="69" t="n"/>
      <c r="C115" s="69" t="n"/>
      <c r="D115" s="69" t="n"/>
      <c r="E115" s="84">
        <f>IF($A115="","",B115+C115+D115)</f>
        <v/>
      </c>
      <c r="F115" s="85">
        <f>IF($A115="","",SUMIFS($E$5:$E$800,$A$5:$A$800,"&gt;="&amp;DATE(YEAR($A115),MONTH($A115),1),$A$5:$A$800,"&lt;="&amp;$A115)+IF(AND(YEAR($A115)=YEAR(Settings!$B$3),MONTH($A115)=MONTH(Settings!$B$3)),Settings!$B$14,0))</f>
        <v/>
      </c>
    </row>
    <row r="116">
      <c r="A116" s="67" t="n"/>
      <c r="B116" s="69" t="n"/>
      <c r="C116" s="69" t="n"/>
      <c r="D116" s="69" t="n"/>
      <c r="E116" s="84">
        <f>IF($A116="","",B116+C116+D116)</f>
        <v/>
      </c>
      <c r="F116" s="85">
        <f>IF($A116="","",SUMIFS($E$5:$E$800,$A$5:$A$800,"&gt;="&amp;DATE(YEAR($A116),MONTH($A116),1),$A$5:$A$800,"&lt;="&amp;$A116)+IF(AND(YEAR($A116)=YEAR(Settings!$B$3),MONTH($A116)=MONTH(Settings!$B$3)),Settings!$B$14,0))</f>
        <v/>
      </c>
    </row>
    <row r="117">
      <c r="A117" s="67" t="n"/>
      <c r="B117" s="69" t="n"/>
      <c r="C117" s="69" t="n"/>
      <c r="D117" s="69" t="n"/>
      <c r="E117" s="84">
        <f>IF($A117="","",B117+C117+D117)</f>
        <v/>
      </c>
      <c r="F117" s="85">
        <f>IF($A117="","",SUMIFS($E$5:$E$800,$A$5:$A$800,"&gt;="&amp;DATE(YEAR($A117),MONTH($A117),1),$A$5:$A$800,"&lt;="&amp;$A117)+IF(AND(YEAR($A117)=YEAR(Settings!$B$3),MONTH($A117)=MONTH(Settings!$B$3)),Settings!$B$14,0))</f>
        <v/>
      </c>
    </row>
    <row r="118">
      <c r="A118" s="67" t="n"/>
      <c r="B118" s="69" t="n"/>
      <c r="C118" s="69" t="n"/>
      <c r="D118" s="69" t="n"/>
      <c r="E118" s="84">
        <f>IF($A118="","",B118+C118+D118)</f>
        <v/>
      </c>
      <c r="F118" s="85">
        <f>IF($A118="","",SUMIFS($E$5:$E$800,$A$5:$A$800,"&gt;="&amp;DATE(YEAR($A118),MONTH($A118),1),$A$5:$A$800,"&lt;="&amp;$A118)+IF(AND(YEAR($A118)=YEAR(Settings!$B$3),MONTH($A118)=MONTH(Settings!$B$3)),Settings!$B$14,0))</f>
        <v/>
      </c>
    </row>
    <row r="119">
      <c r="A119" s="67" t="n"/>
      <c r="B119" s="69" t="n"/>
      <c r="C119" s="69" t="n"/>
      <c r="D119" s="69" t="n"/>
      <c r="E119" s="84">
        <f>IF($A119="","",B119+C119+D119)</f>
        <v/>
      </c>
      <c r="F119" s="85">
        <f>IF($A119="","",SUMIFS($E$5:$E$800,$A$5:$A$800,"&gt;="&amp;DATE(YEAR($A119),MONTH($A119),1),$A$5:$A$800,"&lt;="&amp;$A119)+IF(AND(YEAR($A119)=YEAR(Settings!$B$3),MONTH($A119)=MONTH(Settings!$B$3)),Settings!$B$14,0))</f>
        <v/>
      </c>
    </row>
    <row r="120">
      <c r="A120" s="67" t="n"/>
      <c r="B120" s="69" t="n"/>
      <c r="C120" s="69" t="n"/>
      <c r="D120" s="69" t="n"/>
      <c r="E120" s="84">
        <f>IF($A120="","",B120+C120+D120)</f>
        <v/>
      </c>
      <c r="F120" s="85">
        <f>IF($A120="","",SUMIFS($E$5:$E$800,$A$5:$A$800,"&gt;="&amp;DATE(YEAR($A120),MONTH($A120),1),$A$5:$A$800,"&lt;="&amp;$A120)+IF(AND(YEAR($A120)=YEAR(Settings!$B$3),MONTH($A120)=MONTH(Settings!$B$3)),Settings!$B$14,0))</f>
        <v/>
      </c>
    </row>
    <row r="121">
      <c r="A121" s="67" t="n"/>
      <c r="B121" s="69" t="n"/>
      <c r="C121" s="69" t="n"/>
      <c r="D121" s="69" t="n"/>
      <c r="E121" s="84">
        <f>IF($A121="","",B121+C121+D121)</f>
        <v/>
      </c>
      <c r="F121" s="85">
        <f>IF($A121="","",SUMIFS($E$5:$E$800,$A$5:$A$800,"&gt;="&amp;DATE(YEAR($A121),MONTH($A121),1),$A$5:$A$800,"&lt;="&amp;$A121)+IF(AND(YEAR($A121)=YEAR(Settings!$B$3),MONTH($A121)=MONTH(Settings!$B$3)),Settings!$B$14,0))</f>
        <v/>
      </c>
    </row>
    <row r="122">
      <c r="A122" s="67" t="n"/>
      <c r="B122" s="69" t="n"/>
      <c r="C122" s="69" t="n"/>
      <c r="D122" s="69" t="n"/>
      <c r="E122" s="84">
        <f>IF($A122="","",B122+C122+D122)</f>
        <v/>
      </c>
      <c r="F122" s="85">
        <f>IF($A122="","",SUMIFS($E$5:$E$800,$A$5:$A$800,"&gt;="&amp;DATE(YEAR($A122),MONTH($A122),1),$A$5:$A$800,"&lt;="&amp;$A122)+IF(AND(YEAR($A122)=YEAR(Settings!$B$3),MONTH($A122)=MONTH(Settings!$B$3)),Settings!$B$14,0))</f>
        <v/>
      </c>
    </row>
    <row r="123">
      <c r="A123" s="67" t="n"/>
      <c r="B123" s="69" t="n"/>
      <c r="C123" s="69" t="n"/>
      <c r="D123" s="69" t="n"/>
      <c r="E123" s="84">
        <f>IF($A123="","",B123+C123+D123)</f>
        <v/>
      </c>
      <c r="F123" s="85">
        <f>IF($A123="","",SUMIFS($E$5:$E$800,$A$5:$A$800,"&gt;="&amp;DATE(YEAR($A123),MONTH($A123),1),$A$5:$A$800,"&lt;="&amp;$A123)+IF(AND(YEAR($A123)=YEAR(Settings!$B$3),MONTH($A123)=MONTH(Settings!$B$3)),Settings!$B$14,0))</f>
        <v/>
      </c>
    </row>
    <row r="124">
      <c r="A124" s="67" t="n"/>
      <c r="B124" s="69" t="n"/>
      <c r="C124" s="69" t="n"/>
      <c r="D124" s="69" t="n"/>
      <c r="E124" s="84">
        <f>IF($A124="","",B124+C124+D124)</f>
        <v/>
      </c>
      <c r="F124" s="85">
        <f>IF($A124="","",SUMIFS($E$5:$E$800,$A$5:$A$800,"&gt;="&amp;DATE(YEAR($A124),MONTH($A124),1),$A$5:$A$800,"&lt;="&amp;$A124)+IF(AND(YEAR($A124)=YEAR(Settings!$B$3),MONTH($A124)=MONTH(Settings!$B$3)),Settings!$B$14,0))</f>
        <v/>
      </c>
    </row>
    <row r="125">
      <c r="A125" s="67" t="n"/>
      <c r="B125" s="69" t="n"/>
      <c r="C125" s="69" t="n"/>
      <c r="D125" s="69" t="n"/>
      <c r="E125" s="84">
        <f>IF($A125="","",B125+C125+D125)</f>
        <v/>
      </c>
      <c r="F125" s="85">
        <f>IF($A125="","",SUMIFS($E$5:$E$800,$A$5:$A$800,"&gt;="&amp;DATE(YEAR($A125),MONTH($A125),1),$A$5:$A$800,"&lt;="&amp;$A125)+IF(AND(YEAR($A125)=YEAR(Settings!$B$3),MONTH($A125)=MONTH(Settings!$B$3)),Settings!$B$14,0))</f>
        <v/>
      </c>
    </row>
    <row r="126">
      <c r="A126" s="67" t="n"/>
      <c r="B126" s="69" t="n"/>
      <c r="C126" s="69" t="n"/>
      <c r="D126" s="69" t="n"/>
      <c r="E126" s="84">
        <f>IF($A126="","",B126+C126+D126)</f>
        <v/>
      </c>
      <c r="F126" s="85">
        <f>IF($A126="","",SUMIFS($E$5:$E$800,$A$5:$A$800,"&gt;="&amp;DATE(YEAR($A126),MONTH($A126),1),$A$5:$A$800,"&lt;="&amp;$A126)+IF(AND(YEAR($A126)=YEAR(Settings!$B$3),MONTH($A126)=MONTH(Settings!$B$3)),Settings!$B$14,0))</f>
        <v/>
      </c>
    </row>
    <row r="127">
      <c r="A127" s="67" t="n"/>
      <c r="B127" s="69" t="n"/>
      <c r="C127" s="69" t="n"/>
      <c r="D127" s="69" t="n"/>
      <c r="E127" s="84">
        <f>IF($A127="","",B127+C127+D127)</f>
        <v/>
      </c>
      <c r="F127" s="85">
        <f>IF($A127="","",SUMIFS($E$5:$E$800,$A$5:$A$800,"&gt;="&amp;DATE(YEAR($A127),MONTH($A127),1),$A$5:$A$800,"&lt;="&amp;$A127)+IF(AND(YEAR($A127)=YEAR(Settings!$B$3),MONTH($A127)=MONTH(Settings!$B$3)),Settings!$B$14,0))</f>
        <v/>
      </c>
    </row>
    <row r="128">
      <c r="A128" s="67" t="n"/>
      <c r="B128" s="69" t="n"/>
      <c r="C128" s="69" t="n"/>
      <c r="D128" s="69" t="n"/>
      <c r="E128" s="84">
        <f>IF($A128="","",B128+C128+D128)</f>
        <v/>
      </c>
      <c r="F128" s="85">
        <f>IF($A128="","",SUMIFS($E$5:$E$800,$A$5:$A$800,"&gt;="&amp;DATE(YEAR($A128),MONTH($A128),1),$A$5:$A$800,"&lt;="&amp;$A128)+IF(AND(YEAR($A128)=YEAR(Settings!$B$3),MONTH($A128)=MONTH(Settings!$B$3)),Settings!$B$14,0))</f>
        <v/>
      </c>
    </row>
    <row r="129">
      <c r="A129" s="67" t="n"/>
      <c r="B129" s="69" t="n"/>
      <c r="C129" s="69" t="n"/>
      <c r="D129" s="69" t="n"/>
      <c r="E129" s="84">
        <f>IF($A129="","",B129+C129+D129)</f>
        <v/>
      </c>
      <c r="F129" s="85">
        <f>IF($A129="","",SUMIFS($E$5:$E$800,$A$5:$A$800,"&gt;="&amp;DATE(YEAR($A129),MONTH($A129),1),$A$5:$A$800,"&lt;="&amp;$A129)+IF(AND(YEAR($A129)=YEAR(Settings!$B$3),MONTH($A129)=MONTH(Settings!$B$3)),Settings!$B$14,0))</f>
        <v/>
      </c>
    </row>
    <row r="130">
      <c r="A130" s="67" t="n"/>
      <c r="B130" s="69" t="n"/>
      <c r="C130" s="69" t="n"/>
      <c r="D130" s="69" t="n"/>
      <c r="E130" s="84">
        <f>IF($A130="","",B130+C130+D130)</f>
        <v/>
      </c>
      <c r="F130" s="85">
        <f>IF($A130="","",SUMIFS($E$5:$E$800,$A$5:$A$800,"&gt;="&amp;DATE(YEAR($A130),MONTH($A130),1),$A$5:$A$800,"&lt;="&amp;$A130)+IF(AND(YEAR($A130)=YEAR(Settings!$B$3),MONTH($A130)=MONTH(Settings!$B$3)),Settings!$B$14,0))</f>
        <v/>
      </c>
    </row>
    <row r="131">
      <c r="A131" s="67" t="n"/>
      <c r="B131" s="69" t="n"/>
      <c r="C131" s="69" t="n"/>
      <c r="D131" s="69" t="n"/>
      <c r="E131" s="84">
        <f>IF($A131="","",B131+C131+D131)</f>
        <v/>
      </c>
      <c r="F131" s="85">
        <f>IF($A131="","",SUMIFS($E$5:$E$800,$A$5:$A$800,"&gt;="&amp;DATE(YEAR($A131),MONTH($A131),1),$A$5:$A$800,"&lt;="&amp;$A131)+IF(AND(YEAR($A131)=YEAR(Settings!$B$3),MONTH($A131)=MONTH(Settings!$B$3)),Settings!$B$14,0))</f>
        <v/>
      </c>
    </row>
    <row r="132">
      <c r="A132" s="67" t="n"/>
      <c r="B132" s="69" t="n"/>
      <c r="C132" s="69" t="n"/>
      <c r="D132" s="69" t="n"/>
      <c r="E132" s="84">
        <f>IF($A132="","",B132+C132+D132)</f>
        <v/>
      </c>
      <c r="F132" s="85">
        <f>IF($A132="","",SUMIFS($E$5:$E$800,$A$5:$A$800,"&gt;="&amp;DATE(YEAR($A132),MONTH($A132),1),$A$5:$A$800,"&lt;="&amp;$A132)+IF(AND(YEAR($A132)=YEAR(Settings!$B$3),MONTH($A132)=MONTH(Settings!$B$3)),Settings!$B$14,0))</f>
        <v/>
      </c>
    </row>
    <row r="133">
      <c r="A133" s="67" t="n"/>
      <c r="B133" s="69" t="n"/>
      <c r="C133" s="69" t="n"/>
      <c r="D133" s="69" t="n"/>
      <c r="E133" s="84">
        <f>IF($A133="","",B133+C133+D133)</f>
        <v/>
      </c>
      <c r="F133" s="85">
        <f>IF($A133="","",SUMIFS($E$5:$E$800,$A$5:$A$800,"&gt;="&amp;DATE(YEAR($A133),MONTH($A133),1),$A$5:$A$800,"&lt;="&amp;$A133)+IF(AND(YEAR($A133)=YEAR(Settings!$B$3),MONTH($A133)=MONTH(Settings!$B$3)),Settings!$B$14,0))</f>
        <v/>
      </c>
    </row>
    <row r="134">
      <c r="A134" s="67" t="n"/>
      <c r="B134" s="69" t="n"/>
      <c r="C134" s="69" t="n"/>
      <c r="D134" s="69" t="n"/>
      <c r="E134" s="84">
        <f>IF($A134="","",B134+C134+D134)</f>
        <v/>
      </c>
      <c r="F134" s="85">
        <f>IF($A134="","",SUMIFS($E$5:$E$800,$A$5:$A$800,"&gt;="&amp;DATE(YEAR($A134),MONTH($A134),1),$A$5:$A$800,"&lt;="&amp;$A134)+IF(AND(YEAR($A134)=YEAR(Settings!$B$3),MONTH($A134)=MONTH(Settings!$B$3)),Settings!$B$14,0))</f>
        <v/>
      </c>
    </row>
    <row r="135">
      <c r="A135" s="67" t="n"/>
      <c r="B135" s="69" t="n"/>
      <c r="C135" s="69" t="n"/>
      <c r="D135" s="69" t="n"/>
      <c r="E135" s="84">
        <f>IF($A135="","",B135+C135+D135)</f>
        <v/>
      </c>
      <c r="F135" s="85">
        <f>IF($A135="","",SUMIFS($E$5:$E$800,$A$5:$A$800,"&gt;="&amp;DATE(YEAR($A135),MONTH($A135),1),$A$5:$A$800,"&lt;="&amp;$A135)+IF(AND(YEAR($A135)=YEAR(Settings!$B$3),MONTH($A135)=MONTH(Settings!$B$3)),Settings!$B$14,0))</f>
        <v/>
      </c>
    </row>
    <row r="136">
      <c r="A136" s="67" t="n"/>
      <c r="B136" s="69" t="n"/>
      <c r="C136" s="69" t="n"/>
      <c r="D136" s="69" t="n"/>
      <c r="E136" s="84">
        <f>IF($A136="","",B136+C136+D136)</f>
        <v/>
      </c>
      <c r="F136" s="85">
        <f>IF($A136="","",SUMIFS($E$5:$E$800,$A$5:$A$800,"&gt;="&amp;DATE(YEAR($A136),MONTH($A136),1),$A$5:$A$800,"&lt;="&amp;$A136)+IF(AND(YEAR($A136)=YEAR(Settings!$B$3),MONTH($A136)=MONTH(Settings!$B$3)),Settings!$B$14,0))</f>
        <v/>
      </c>
    </row>
    <row r="137">
      <c r="A137" s="67" t="n"/>
      <c r="B137" s="69" t="n"/>
      <c r="C137" s="69" t="n"/>
      <c r="D137" s="69" t="n"/>
      <c r="E137" s="84">
        <f>IF($A137="","",B137+C137+D137)</f>
        <v/>
      </c>
      <c r="F137" s="85">
        <f>IF($A137="","",SUMIFS($E$5:$E$800,$A$5:$A$800,"&gt;="&amp;DATE(YEAR($A137),MONTH($A137),1),$A$5:$A$800,"&lt;="&amp;$A137)+IF(AND(YEAR($A137)=YEAR(Settings!$B$3),MONTH($A137)=MONTH(Settings!$B$3)),Settings!$B$14,0))</f>
        <v/>
      </c>
    </row>
    <row r="138">
      <c r="A138" s="67" t="n"/>
      <c r="B138" s="69" t="n"/>
      <c r="C138" s="69" t="n"/>
      <c r="D138" s="69" t="n"/>
      <c r="E138" s="84">
        <f>IF($A138="","",B138+C138+D138)</f>
        <v/>
      </c>
      <c r="F138" s="85">
        <f>IF($A138="","",SUMIFS($E$5:$E$800,$A$5:$A$800,"&gt;="&amp;DATE(YEAR($A138),MONTH($A138),1),$A$5:$A$800,"&lt;="&amp;$A138)+IF(AND(YEAR($A138)=YEAR(Settings!$B$3),MONTH($A138)=MONTH(Settings!$B$3)),Settings!$B$14,0))</f>
        <v/>
      </c>
    </row>
    <row r="139">
      <c r="A139" s="67" t="n"/>
      <c r="B139" s="69" t="n"/>
      <c r="C139" s="69" t="n"/>
      <c r="D139" s="69" t="n"/>
      <c r="E139" s="84">
        <f>IF($A139="","",B139+C139+D139)</f>
        <v/>
      </c>
      <c r="F139" s="85">
        <f>IF($A139="","",SUMIFS($E$5:$E$800,$A$5:$A$800,"&gt;="&amp;DATE(YEAR($A139),MONTH($A139),1),$A$5:$A$800,"&lt;="&amp;$A139)+IF(AND(YEAR($A139)=YEAR(Settings!$B$3),MONTH($A139)=MONTH(Settings!$B$3)),Settings!$B$14,0))</f>
        <v/>
      </c>
    </row>
    <row r="140">
      <c r="A140" s="67" t="n"/>
      <c r="B140" s="69" t="n"/>
      <c r="C140" s="69" t="n"/>
      <c r="D140" s="69" t="n"/>
      <c r="E140" s="84">
        <f>IF($A140="","",B140+C140+D140)</f>
        <v/>
      </c>
      <c r="F140" s="85">
        <f>IF($A140="","",SUMIFS($E$5:$E$800,$A$5:$A$800,"&gt;="&amp;DATE(YEAR($A140),MONTH($A140),1),$A$5:$A$800,"&lt;="&amp;$A140)+IF(AND(YEAR($A140)=YEAR(Settings!$B$3),MONTH($A140)=MONTH(Settings!$B$3)),Settings!$B$14,0))</f>
        <v/>
      </c>
    </row>
    <row r="141">
      <c r="A141" s="67" t="n"/>
      <c r="B141" s="69" t="n"/>
      <c r="C141" s="69" t="n"/>
      <c r="D141" s="69" t="n"/>
      <c r="E141" s="84">
        <f>IF($A141="","",B141+C141+D141)</f>
        <v/>
      </c>
      <c r="F141" s="85">
        <f>IF($A141="","",SUMIFS($E$5:$E$800,$A$5:$A$800,"&gt;="&amp;DATE(YEAR($A141),MONTH($A141),1),$A$5:$A$800,"&lt;="&amp;$A141)+IF(AND(YEAR($A141)=YEAR(Settings!$B$3),MONTH($A141)=MONTH(Settings!$B$3)),Settings!$B$14,0))</f>
        <v/>
      </c>
    </row>
    <row r="142">
      <c r="A142" s="67" t="n"/>
      <c r="B142" s="69" t="n"/>
      <c r="C142" s="69" t="n"/>
      <c r="D142" s="69" t="n"/>
      <c r="E142" s="84">
        <f>IF($A142="","",B142+C142+D142)</f>
        <v/>
      </c>
      <c r="F142" s="85">
        <f>IF($A142="","",SUMIFS($E$5:$E$800,$A$5:$A$800,"&gt;="&amp;DATE(YEAR($A142),MONTH($A142),1),$A$5:$A$800,"&lt;="&amp;$A142)+IF(AND(YEAR($A142)=YEAR(Settings!$B$3),MONTH($A142)=MONTH(Settings!$B$3)),Settings!$B$14,0))</f>
        <v/>
      </c>
    </row>
    <row r="143">
      <c r="A143" s="67" t="n"/>
      <c r="B143" s="69" t="n"/>
      <c r="C143" s="69" t="n"/>
      <c r="D143" s="69" t="n"/>
      <c r="E143" s="84">
        <f>IF($A143="","",B143+C143+D143)</f>
        <v/>
      </c>
      <c r="F143" s="85">
        <f>IF($A143="","",SUMIFS($E$5:$E$800,$A$5:$A$800,"&gt;="&amp;DATE(YEAR($A143),MONTH($A143),1),$A$5:$A$800,"&lt;="&amp;$A143)+IF(AND(YEAR($A143)=YEAR(Settings!$B$3),MONTH($A143)=MONTH(Settings!$B$3)),Settings!$B$14,0))</f>
        <v/>
      </c>
    </row>
    <row r="144">
      <c r="A144" s="67" t="n"/>
      <c r="B144" s="69" t="n"/>
      <c r="C144" s="69" t="n"/>
      <c r="D144" s="69" t="n"/>
      <c r="E144" s="84">
        <f>IF($A144="","",B144+C144+D144)</f>
        <v/>
      </c>
      <c r="F144" s="85">
        <f>IF($A144="","",SUMIFS($E$5:$E$800,$A$5:$A$800,"&gt;="&amp;DATE(YEAR($A144),MONTH($A144),1),$A$5:$A$800,"&lt;="&amp;$A144)+IF(AND(YEAR($A144)=YEAR(Settings!$B$3),MONTH($A144)=MONTH(Settings!$B$3)),Settings!$B$14,0))</f>
        <v/>
      </c>
    </row>
    <row r="145">
      <c r="A145" s="67" t="n"/>
      <c r="B145" s="69" t="n"/>
      <c r="C145" s="69" t="n"/>
      <c r="D145" s="69" t="n"/>
      <c r="E145" s="84">
        <f>IF($A145="","",B145+C145+D145)</f>
        <v/>
      </c>
      <c r="F145" s="85">
        <f>IF($A145="","",SUMIFS($E$5:$E$800,$A$5:$A$800,"&gt;="&amp;DATE(YEAR($A145),MONTH($A145),1),$A$5:$A$800,"&lt;="&amp;$A145)+IF(AND(YEAR($A145)=YEAR(Settings!$B$3),MONTH($A145)=MONTH(Settings!$B$3)),Settings!$B$14,0))</f>
        <v/>
      </c>
    </row>
    <row r="146">
      <c r="A146" s="67" t="n"/>
      <c r="B146" s="69" t="n"/>
      <c r="C146" s="69" t="n"/>
      <c r="D146" s="69" t="n"/>
      <c r="E146" s="84">
        <f>IF($A146="","",B146+C146+D146)</f>
        <v/>
      </c>
      <c r="F146" s="85">
        <f>IF($A146="","",SUMIFS($E$5:$E$800,$A$5:$A$800,"&gt;="&amp;DATE(YEAR($A146),MONTH($A146),1),$A$5:$A$800,"&lt;="&amp;$A146)+IF(AND(YEAR($A146)=YEAR(Settings!$B$3),MONTH($A146)=MONTH(Settings!$B$3)),Settings!$B$14,0))</f>
        <v/>
      </c>
    </row>
    <row r="147">
      <c r="A147" s="67" t="n"/>
      <c r="B147" s="69" t="n"/>
      <c r="C147" s="69" t="n"/>
      <c r="D147" s="69" t="n"/>
      <c r="E147" s="84">
        <f>IF($A147="","",B147+C147+D147)</f>
        <v/>
      </c>
      <c r="F147" s="85">
        <f>IF($A147="","",SUMIFS($E$5:$E$800,$A$5:$A$800,"&gt;="&amp;DATE(YEAR($A147),MONTH($A147),1),$A$5:$A$800,"&lt;="&amp;$A147)+IF(AND(YEAR($A147)=YEAR(Settings!$B$3),MONTH($A147)=MONTH(Settings!$B$3)),Settings!$B$14,0))</f>
        <v/>
      </c>
    </row>
    <row r="148">
      <c r="A148" s="67" t="n"/>
      <c r="B148" s="69" t="n"/>
      <c r="C148" s="69" t="n"/>
      <c r="D148" s="69" t="n"/>
      <c r="E148" s="84">
        <f>IF($A148="","",B148+C148+D148)</f>
        <v/>
      </c>
      <c r="F148" s="85">
        <f>IF($A148="","",SUMIFS($E$5:$E$800,$A$5:$A$800,"&gt;="&amp;DATE(YEAR($A148),MONTH($A148),1),$A$5:$A$800,"&lt;="&amp;$A148)+IF(AND(YEAR($A148)=YEAR(Settings!$B$3),MONTH($A148)=MONTH(Settings!$B$3)),Settings!$B$14,0))</f>
        <v/>
      </c>
    </row>
    <row r="149">
      <c r="A149" s="67" t="n"/>
      <c r="B149" s="69" t="n"/>
      <c r="C149" s="69" t="n"/>
      <c r="D149" s="69" t="n"/>
      <c r="E149" s="84">
        <f>IF($A149="","",B149+C149+D149)</f>
        <v/>
      </c>
      <c r="F149" s="85">
        <f>IF($A149="","",SUMIFS($E$5:$E$800,$A$5:$A$800,"&gt;="&amp;DATE(YEAR($A149),MONTH($A149),1),$A$5:$A$800,"&lt;="&amp;$A149)+IF(AND(YEAR($A149)=YEAR(Settings!$B$3),MONTH($A149)=MONTH(Settings!$B$3)),Settings!$B$14,0))</f>
        <v/>
      </c>
    </row>
    <row r="150">
      <c r="A150" s="67" t="n"/>
      <c r="B150" s="69" t="n"/>
      <c r="C150" s="69" t="n"/>
      <c r="D150" s="69" t="n"/>
      <c r="E150" s="84">
        <f>IF($A150="","",B150+C150+D150)</f>
        <v/>
      </c>
      <c r="F150" s="85">
        <f>IF($A150="","",SUMIFS($E$5:$E$800,$A$5:$A$800,"&gt;="&amp;DATE(YEAR($A150),MONTH($A150),1),$A$5:$A$800,"&lt;="&amp;$A150)+IF(AND(YEAR($A150)=YEAR(Settings!$B$3),MONTH($A150)=MONTH(Settings!$B$3)),Settings!$B$14,0))</f>
        <v/>
      </c>
    </row>
    <row r="151">
      <c r="A151" s="67" t="n"/>
      <c r="B151" s="69" t="n"/>
      <c r="C151" s="69" t="n"/>
      <c r="D151" s="69" t="n"/>
      <c r="E151" s="84">
        <f>IF($A151="","",B151+C151+D151)</f>
        <v/>
      </c>
      <c r="F151" s="85">
        <f>IF($A151="","",SUMIFS($E$5:$E$800,$A$5:$A$800,"&gt;="&amp;DATE(YEAR($A151),MONTH($A151),1),$A$5:$A$800,"&lt;="&amp;$A151)+IF(AND(YEAR($A151)=YEAR(Settings!$B$3),MONTH($A151)=MONTH(Settings!$B$3)),Settings!$B$14,0))</f>
        <v/>
      </c>
    </row>
    <row r="152">
      <c r="A152" s="67" t="n"/>
      <c r="B152" s="69" t="n"/>
      <c r="C152" s="69" t="n"/>
      <c r="D152" s="69" t="n"/>
      <c r="E152" s="84">
        <f>IF($A152="","",B152+C152+D152)</f>
        <v/>
      </c>
      <c r="F152" s="85">
        <f>IF($A152="","",SUMIFS($E$5:$E$800,$A$5:$A$800,"&gt;="&amp;DATE(YEAR($A152),MONTH($A152),1),$A$5:$A$800,"&lt;="&amp;$A152)+IF(AND(YEAR($A152)=YEAR(Settings!$B$3),MONTH($A152)=MONTH(Settings!$B$3)),Settings!$B$14,0))</f>
        <v/>
      </c>
    </row>
    <row r="153">
      <c r="A153" s="67" t="n"/>
      <c r="B153" s="69" t="n"/>
      <c r="C153" s="69" t="n"/>
      <c r="D153" s="69" t="n"/>
      <c r="E153" s="84">
        <f>IF($A153="","",B153+C153+D153)</f>
        <v/>
      </c>
      <c r="F153" s="85">
        <f>IF($A153="","",SUMIFS($E$5:$E$800,$A$5:$A$800,"&gt;="&amp;DATE(YEAR($A153),MONTH($A153),1),$A$5:$A$800,"&lt;="&amp;$A153)+IF(AND(YEAR($A153)=YEAR(Settings!$B$3),MONTH($A153)=MONTH(Settings!$B$3)),Settings!$B$14,0))</f>
        <v/>
      </c>
    </row>
    <row r="154">
      <c r="A154" s="67" t="n"/>
      <c r="B154" s="69" t="n"/>
      <c r="C154" s="69" t="n"/>
      <c r="D154" s="69" t="n"/>
      <c r="E154" s="84">
        <f>IF($A154="","",B154+C154+D154)</f>
        <v/>
      </c>
      <c r="F154" s="85">
        <f>IF($A154="","",SUMIFS($E$5:$E$800,$A$5:$A$800,"&gt;="&amp;DATE(YEAR($A154),MONTH($A154),1),$A$5:$A$800,"&lt;="&amp;$A154)+IF(AND(YEAR($A154)=YEAR(Settings!$B$3),MONTH($A154)=MONTH(Settings!$B$3)),Settings!$B$14,0))</f>
        <v/>
      </c>
    </row>
    <row r="155">
      <c r="A155" s="67" t="n"/>
      <c r="B155" s="69" t="n"/>
      <c r="C155" s="69" t="n"/>
      <c r="D155" s="69" t="n"/>
      <c r="E155" s="84">
        <f>IF($A155="","",B155+C155+D155)</f>
        <v/>
      </c>
      <c r="F155" s="85">
        <f>IF($A155="","",SUMIFS($E$5:$E$800,$A$5:$A$800,"&gt;="&amp;DATE(YEAR($A155),MONTH($A155),1),$A$5:$A$800,"&lt;="&amp;$A155)+IF(AND(YEAR($A155)=YEAR(Settings!$B$3),MONTH($A155)=MONTH(Settings!$B$3)),Settings!$B$14,0))</f>
        <v/>
      </c>
    </row>
    <row r="156">
      <c r="A156" s="67" t="n"/>
      <c r="B156" s="69" t="n"/>
      <c r="C156" s="69" t="n"/>
      <c r="D156" s="69" t="n"/>
      <c r="E156" s="84">
        <f>IF($A156="","",B156+C156+D156)</f>
        <v/>
      </c>
      <c r="F156" s="85">
        <f>IF($A156="","",SUMIFS($E$5:$E$800,$A$5:$A$800,"&gt;="&amp;DATE(YEAR($A156),MONTH($A156),1),$A$5:$A$800,"&lt;="&amp;$A156)+IF(AND(YEAR($A156)=YEAR(Settings!$B$3),MONTH($A156)=MONTH(Settings!$B$3)),Settings!$B$14,0))</f>
        <v/>
      </c>
    </row>
    <row r="157">
      <c r="A157" s="67" t="n"/>
      <c r="B157" s="69" t="n"/>
      <c r="C157" s="69" t="n"/>
      <c r="D157" s="69" t="n"/>
      <c r="E157" s="84">
        <f>IF($A157="","",B157+C157+D157)</f>
        <v/>
      </c>
      <c r="F157" s="85">
        <f>IF($A157="","",SUMIFS($E$5:$E$800,$A$5:$A$800,"&gt;="&amp;DATE(YEAR($A157),MONTH($A157),1),$A$5:$A$800,"&lt;="&amp;$A157)+IF(AND(YEAR($A157)=YEAR(Settings!$B$3),MONTH($A157)=MONTH(Settings!$B$3)),Settings!$B$14,0))</f>
        <v/>
      </c>
    </row>
    <row r="158">
      <c r="A158" s="67" t="n"/>
      <c r="B158" s="69" t="n"/>
      <c r="C158" s="69" t="n"/>
      <c r="D158" s="69" t="n"/>
      <c r="E158" s="84">
        <f>IF($A158="","",B158+C158+D158)</f>
        <v/>
      </c>
      <c r="F158" s="85">
        <f>IF($A158="","",SUMIFS($E$5:$E$800,$A$5:$A$800,"&gt;="&amp;DATE(YEAR($A158),MONTH($A158),1),$A$5:$A$800,"&lt;="&amp;$A158)+IF(AND(YEAR($A158)=YEAR(Settings!$B$3),MONTH($A158)=MONTH(Settings!$B$3)),Settings!$B$14,0))</f>
        <v/>
      </c>
    </row>
    <row r="159">
      <c r="A159" s="67" t="n"/>
      <c r="B159" s="69" t="n"/>
      <c r="C159" s="69" t="n"/>
      <c r="D159" s="69" t="n"/>
      <c r="E159" s="84">
        <f>IF($A159="","",B159+C159+D159)</f>
        <v/>
      </c>
      <c r="F159" s="85">
        <f>IF($A159="","",SUMIFS($E$5:$E$800,$A$5:$A$800,"&gt;="&amp;DATE(YEAR($A159),MONTH($A159),1),$A$5:$A$800,"&lt;="&amp;$A159)+IF(AND(YEAR($A159)=YEAR(Settings!$B$3),MONTH($A159)=MONTH(Settings!$B$3)),Settings!$B$14,0))</f>
        <v/>
      </c>
    </row>
    <row r="160">
      <c r="A160" s="67" t="n"/>
      <c r="B160" s="69" t="n"/>
      <c r="C160" s="69" t="n"/>
      <c r="D160" s="69" t="n"/>
      <c r="E160" s="84">
        <f>IF($A160="","",B160+C160+D160)</f>
        <v/>
      </c>
      <c r="F160" s="85">
        <f>IF($A160="","",SUMIFS($E$5:$E$800,$A$5:$A$800,"&gt;="&amp;DATE(YEAR($A160),MONTH($A160),1),$A$5:$A$800,"&lt;="&amp;$A160)+IF(AND(YEAR($A160)=YEAR(Settings!$B$3),MONTH($A160)=MONTH(Settings!$B$3)),Settings!$B$14,0))</f>
        <v/>
      </c>
    </row>
    <row r="161">
      <c r="A161" s="67" t="n"/>
      <c r="B161" s="69" t="n"/>
      <c r="C161" s="69" t="n"/>
      <c r="D161" s="69" t="n"/>
      <c r="E161" s="84">
        <f>IF($A161="","",B161+C161+D161)</f>
        <v/>
      </c>
      <c r="F161" s="85">
        <f>IF($A161="","",SUMIFS($E$5:$E$800,$A$5:$A$800,"&gt;="&amp;DATE(YEAR($A161),MONTH($A161),1),$A$5:$A$800,"&lt;="&amp;$A161)+IF(AND(YEAR($A161)=YEAR(Settings!$B$3),MONTH($A161)=MONTH(Settings!$B$3)),Settings!$B$14,0))</f>
        <v/>
      </c>
    </row>
    <row r="162">
      <c r="A162" s="67" t="n"/>
      <c r="B162" s="69" t="n"/>
      <c r="C162" s="69" t="n"/>
      <c r="D162" s="69" t="n"/>
      <c r="E162" s="84">
        <f>IF($A162="","",B162+C162+D162)</f>
        <v/>
      </c>
      <c r="F162" s="85">
        <f>IF($A162="","",SUMIFS($E$5:$E$800,$A$5:$A$800,"&gt;="&amp;DATE(YEAR($A162),MONTH($A162),1),$A$5:$A$800,"&lt;="&amp;$A162)+IF(AND(YEAR($A162)=YEAR(Settings!$B$3),MONTH($A162)=MONTH(Settings!$B$3)),Settings!$B$14,0))</f>
        <v/>
      </c>
    </row>
    <row r="163">
      <c r="A163" s="67" t="n"/>
      <c r="B163" s="69" t="n"/>
      <c r="C163" s="69" t="n"/>
      <c r="D163" s="69" t="n"/>
      <c r="E163" s="84">
        <f>IF($A163="","",B163+C163+D163)</f>
        <v/>
      </c>
      <c r="F163" s="85">
        <f>IF($A163="","",SUMIFS($E$5:$E$800,$A$5:$A$800,"&gt;="&amp;DATE(YEAR($A163),MONTH($A163),1),$A$5:$A$800,"&lt;="&amp;$A163)+IF(AND(YEAR($A163)=YEAR(Settings!$B$3),MONTH($A163)=MONTH(Settings!$B$3)),Settings!$B$14,0))</f>
        <v/>
      </c>
    </row>
    <row r="164">
      <c r="A164" s="67" t="n"/>
      <c r="B164" s="69" t="n"/>
      <c r="C164" s="69" t="n"/>
      <c r="D164" s="69" t="n"/>
      <c r="E164" s="84">
        <f>IF($A164="","",B164+C164+D164)</f>
        <v/>
      </c>
      <c r="F164" s="85">
        <f>IF($A164="","",SUMIFS($E$5:$E$800,$A$5:$A$800,"&gt;="&amp;DATE(YEAR($A164),MONTH($A164),1),$A$5:$A$800,"&lt;="&amp;$A164)+IF(AND(YEAR($A164)=YEAR(Settings!$B$3),MONTH($A164)=MONTH(Settings!$B$3)),Settings!$B$14,0))</f>
        <v/>
      </c>
    </row>
    <row r="165">
      <c r="A165" s="67" t="n"/>
      <c r="B165" s="69" t="n"/>
      <c r="C165" s="69" t="n"/>
      <c r="D165" s="69" t="n"/>
      <c r="E165" s="84">
        <f>IF($A165="","",B165+C165+D165)</f>
        <v/>
      </c>
      <c r="F165" s="85">
        <f>IF($A165="","",SUMIFS($E$5:$E$800,$A$5:$A$800,"&gt;="&amp;DATE(YEAR($A165),MONTH($A165),1),$A$5:$A$800,"&lt;="&amp;$A165)+IF(AND(YEAR($A165)=YEAR(Settings!$B$3),MONTH($A165)=MONTH(Settings!$B$3)),Settings!$B$14,0))</f>
        <v/>
      </c>
    </row>
    <row r="166">
      <c r="A166" s="67" t="n"/>
      <c r="B166" s="69" t="n"/>
      <c r="C166" s="69" t="n"/>
      <c r="D166" s="69" t="n"/>
      <c r="E166" s="84">
        <f>IF($A166="","",B166+C166+D166)</f>
        <v/>
      </c>
      <c r="F166" s="85">
        <f>IF($A166="","",SUMIFS($E$5:$E$800,$A$5:$A$800,"&gt;="&amp;DATE(YEAR($A166),MONTH($A166),1),$A$5:$A$800,"&lt;="&amp;$A166)+IF(AND(YEAR($A166)=YEAR(Settings!$B$3),MONTH($A166)=MONTH(Settings!$B$3)),Settings!$B$14,0))</f>
        <v/>
      </c>
    </row>
    <row r="167">
      <c r="A167" s="67" t="n"/>
      <c r="B167" s="69" t="n"/>
      <c r="C167" s="69" t="n"/>
      <c r="D167" s="69" t="n"/>
      <c r="E167" s="84">
        <f>IF($A167="","",B167+C167+D167)</f>
        <v/>
      </c>
      <c r="F167" s="85">
        <f>IF($A167="","",SUMIFS($E$5:$E$800,$A$5:$A$800,"&gt;="&amp;DATE(YEAR($A167),MONTH($A167),1),$A$5:$A$800,"&lt;="&amp;$A167)+IF(AND(YEAR($A167)=YEAR(Settings!$B$3),MONTH($A167)=MONTH(Settings!$B$3)),Settings!$B$14,0))</f>
        <v/>
      </c>
    </row>
    <row r="168">
      <c r="A168" s="67" t="n"/>
      <c r="B168" s="69" t="n"/>
      <c r="C168" s="69" t="n"/>
      <c r="D168" s="69" t="n"/>
      <c r="E168" s="84">
        <f>IF($A168="","",B168+C168+D168)</f>
        <v/>
      </c>
      <c r="F168" s="85">
        <f>IF($A168="","",SUMIFS($E$5:$E$800,$A$5:$A$800,"&gt;="&amp;DATE(YEAR($A168),MONTH($A168),1),$A$5:$A$800,"&lt;="&amp;$A168)+IF(AND(YEAR($A168)=YEAR(Settings!$B$3),MONTH($A168)=MONTH(Settings!$B$3)),Settings!$B$14,0))</f>
        <v/>
      </c>
    </row>
    <row r="169">
      <c r="A169" s="67" t="n"/>
      <c r="B169" s="69" t="n"/>
      <c r="C169" s="69" t="n"/>
      <c r="D169" s="69" t="n"/>
      <c r="E169" s="84">
        <f>IF($A169="","",B169+C169+D169)</f>
        <v/>
      </c>
      <c r="F169" s="85">
        <f>IF($A169="","",SUMIFS($E$5:$E$800,$A$5:$A$800,"&gt;="&amp;DATE(YEAR($A169),MONTH($A169),1),$A$5:$A$800,"&lt;="&amp;$A169)+IF(AND(YEAR($A169)=YEAR(Settings!$B$3),MONTH($A169)=MONTH(Settings!$B$3)),Settings!$B$14,0))</f>
        <v/>
      </c>
    </row>
    <row r="170">
      <c r="A170" s="67" t="n"/>
      <c r="B170" s="69" t="n"/>
      <c r="C170" s="69" t="n"/>
      <c r="D170" s="69" t="n"/>
      <c r="E170" s="84">
        <f>IF($A170="","",B170+C170+D170)</f>
        <v/>
      </c>
      <c r="F170" s="85">
        <f>IF($A170="","",SUMIFS($E$5:$E$800,$A$5:$A$800,"&gt;="&amp;DATE(YEAR($A170),MONTH($A170),1),$A$5:$A$800,"&lt;="&amp;$A170)+IF(AND(YEAR($A170)=YEAR(Settings!$B$3),MONTH($A170)=MONTH(Settings!$B$3)),Settings!$B$14,0))</f>
        <v/>
      </c>
    </row>
    <row r="171">
      <c r="A171" s="67" t="n"/>
      <c r="B171" s="69" t="n"/>
      <c r="C171" s="69" t="n"/>
      <c r="D171" s="69" t="n"/>
      <c r="E171" s="84">
        <f>IF($A171="","",B171+C171+D171)</f>
        <v/>
      </c>
      <c r="F171" s="85">
        <f>IF($A171="","",SUMIFS($E$5:$E$800,$A$5:$A$800,"&gt;="&amp;DATE(YEAR($A171),MONTH($A171),1),$A$5:$A$800,"&lt;="&amp;$A171)+IF(AND(YEAR($A171)=YEAR(Settings!$B$3),MONTH($A171)=MONTH(Settings!$B$3)),Settings!$B$14,0))</f>
        <v/>
      </c>
    </row>
    <row r="172">
      <c r="A172" s="67" t="n"/>
      <c r="B172" s="69" t="n"/>
      <c r="C172" s="69" t="n"/>
      <c r="D172" s="69" t="n"/>
      <c r="E172" s="84">
        <f>IF($A172="","",B172+C172+D172)</f>
        <v/>
      </c>
      <c r="F172" s="85">
        <f>IF($A172="","",SUMIFS($E$5:$E$800,$A$5:$A$800,"&gt;="&amp;DATE(YEAR($A172),MONTH($A172),1),$A$5:$A$800,"&lt;="&amp;$A172)+IF(AND(YEAR($A172)=YEAR(Settings!$B$3),MONTH($A172)=MONTH(Settings!$B$3)),Settings!$B$14,0))</f>
        <v/>
      </c>
    </row>
    <row r="173">
      <c r="A173" s="67" t="n"/>
      <c r="B173" s="69" t="n"/>
      <c r="C173" s="69" t="n"/>
      <c r="D173" s="69" t="n"/>
      <c r="E173" s="84">
        <f>IF($A173="","",B173+C173+D173)</f>
        <v/>
      </c>
      <c r="F173" s="85">
        <f>IF($A173="","",SUMIFS($E$5:$E$800,$A$5:$A$800,"&gt;="&amp;DATE(YEAR($A173),MONTH($A173),1),$A$5:$A$800,"&lt;="&amp;$A173)+IF(AND(YEAR($A173)=YEAR(Settings!$B$3),MONTH($A173)=MONTH(Settings!$B$3)),Settings!$B$14,0))</f>
        <v/>
      </c>
    </row>
    <row r="174">
      <c r="A174" s="67" t="n"/>
      <c r="B174" s="69" t="n"/>
      <c r="C174" s="69" t="n"/>
      <c r="D174" s="69" t="n"/>
      <c r="E174" s="84">
        <f>IF($A174="","",B174+C174+D174)</f>
        <v/>
      </c>
      <c r="F174" s="85">
        <f>IF($A174="","",SUMIFS($E$5:$E$800,$A$5:$A$800,"&gt;="&amp;DATE(YEAR($A174),MONTH($A174),1),$A$5:$A$800,"&lt;="&amp;$A174)+IF(AND(YEAR($A174)=YEAR(Settings!$B$3),MONTH($A174)=MONTH(Settings!$B$3)),Settings!$B$14,0))</f>
        <v/>
      </c>
    </row>
    <row r="175">
      <c r="A175" s="67" t="n"/>
      <c r="B175" s="69" t="n"/>
      <c r="C175" s="69" t="n"/>
      <c r="D175" s="69" t="n"/>
      <c r="E175" s="84">
        <f>IF($A175="","",B175+C175+D175)</f>
        <v/>
      </c>
      <c r="F175" s="85">
        <f>IF($A175="","",SUMIFS($E$5:$E$800,$A$5:$A$800,"&gt;="&amp;DATE(YEAR($A175),MONTH($A175),1),$A$5:$A$800,"&lt;="&amp;$A175)+IF(AND(YEAR($A175)=YEAR(Settings!$B$3),MONTH($A175)=MONTH(Settings!$B$3)),Settings!$B$14,0))</f>
        <v/>
      </c>
    </row>
    <row r="176">
      <c r="A176" s="67" t="n"/>
      <c r="B176" s="69" t="n"/>
      <c r="C176" s="69" t="n"/>
      <c r="D176" s="69" t="n"/>
      <c r="E176" s="84">
        <f>IF($A176="","",B176+C176+D176)</f>
        <v/>
      </c>
      <c r="F176" s="85">
        <f>IF($A176="","",SUMIFS($E$5:$E$800,$A$5:$A$800,"&gt;="&amp;DATE(YEAR($A176),MONTH($A176),1),$A$5:$A$800,"&lt;="&amp;$A176)+IF(AND(YEAR($A176)=YEAR(Settings!$B$3),MONTH($A176)=MONTH(Settings!$B$3)),Settings!$B$14,0))</f>
        <v/>
      </c>
    </row>
    <row r="177">
      <c r="A177" s="67" t="n"/>
      <c r="B177" s="69" t="n"/>
      <c r="C177" s="69" t="n"/>
      <c r="D177" s="69" t="n"/>
      <c r="E177" s="84">
        <f>IF($A177="","",B177+C177+D177)</f>
        <v/>
      </c>
      <c r="F177" s="85">
        <f>IF($A177="","",SUMIFS($E$5:$E$800,$A$5:$A$800,"&gt;="&amp;DATE(YEAR($A177),MONTH($A177),1),$A$5:$A$800,"&lt;="&amp;$A177)+IF(AND(YEAR($A177)=YEAR(Settings!$B$3),MONTH($A177)=MONTH(Settings!$B$3)),Settings!$B$14,0))</f>
        <v/>
      </c>
    </row>
    <row r="178">
      <c r="A178" s="67" t="n"/>
      <c r="B178" s="69" t="n"/>
      <c r="C178" s="69" t="n"/>
      <c r="D178" s="69" t="n"/>
      <c r="E178" s="84">
        <f>IF($A178="","",B178+C178+D178)</f>
        <v/>
      </c>
      <c r="F178" s="85">
        <f>IF($A178="","",SUMIFS($E$5:$E$800,$A$5:$A$800,"&gt;="&amp;DATE(YEAR($A178),MONTH($A178),1),$A$5:$A$800,"&lt;="&amp;$A178)+IF(AND(YEAR($A178)=YEAR(Settings!$B$3),MONTH($A178)=MONTH(Settings!$B$3)),Settings!$B$14,0))</f>
        <v/>
      </c>
    </row>
    <row r="179">
      <c r="A179" s="67" t="n"/>
      <c r="B179" s="69" t="n"/>
      <c r="C179" s="69" t="n"/>
      <c r="D179" s="69" t="n"/>
      <c r="E179" s="84">
        <f>IF($A179="","",B179+C179+D179)</f>
        <v/>
      </c>
      <c r="F179" s="85">
        <f>IF($A179="","",SUMIFS($E$5:$E$800,$A$5:$A$800,"&gt;="&amp;DATE(YEAR($A179),MONTH($A179),1),$A$5:$A$800,"&lt;="&amp;$A179)+IF(AND(YEAR($A179)=YEAR(Settings!$B$3),MONTH($A179)=MONTH(Settings!$B$3)),Settings!$B$14,0))</f>
        <v/>
      </c>
    </row>
    <row r="180">
      <c r="A180" s="67" t="n"/>
      <c r="B180" s="69" t="n"/>
      <c r="C180" s="69" t="n"/>
      <c r="D180" s="69" t="n"/>
      <c r="E180" s="84">
        <f>IF($A180="","",B180+C180+D180)</f>
        <v/>
      </c>
      <c r="F180" s="85">
        <f>IF($A180="","",SUMIFS($E$5:$E$800,$A$5:$A$800,"&gt;="&amp;DATE(YEAR($A180),MONTH($A180),1),$A$5:$A$800,"&lt;="&amp;$A180)+IF(AND(YEAR($A180)=YEAR(Settings!$B$3),MONTH($A180)=MONTH(Settings!$B$3)),Settings!$B$14,0))</f>
        <v/>
      </c>
    </row>
    <row r="181">
      <c r="A181" s="67" t="n"/>
      <c r="B181" s="69" t="n"/>
      <c r="C181" s="69" t="n"/>
      <c r="D181" s="69" t="n"/>
      <c r="E181" s="84">
        <f>IF($A181="","",B181+C181+D181)</f>
        <v/>
      </c>
      <c r="F181" s="85">
        <f>IF($A181="","",SUMIFS($E$5:$E$800,$A$5:$A$800,"&gt;="&amp;DATE(YEAR($A181),MONTH($A181),1),$A$5:$A$800,"&lt;="&amp;$A181)+IF(AND(YEAR($A181)=YEAR(Settings!$B$3),MONTH($A181)=MONTH(Settings!$B$3)),Settings!$B$14,0))</f>
        <v/>
      </c>
    </row>
    <row r="182">
      <c r="A182" s="67" t="n"/>
      <c r="B182" s="69" t="n"/>
      <c r="C182" s="69" t="n"/>
      <c r="D182" s="69" t="n"/>
      <c r="E182" s="84">
        <f>IF($A182="","",B182+C182+D182)</f>
        <v/>
      </c>
      <c r="F182" s="85">
        <f>IF($A182="","",SUMIFS($E$5:$E$800,$A$5:$A$800,"&gt;="&amp;DATE(YEAR($A182),MONTH($A182),1),$A$5:$A$800,"&lt;="&amp;$A182)+IF(AND(YEAR($A182)=YEAR(Settings!$B$3),MONTH($A182)=MONTH(Settings!$B$3)),Settings!$B$14,0))</f>
        <v/>
      </c>
    </row>
    <row r="183">
      <c r="A183" s="67" t="n"/>
      <c r="B183" s="69" t="n"/>
      <c r="C183" s="69" t="n"/>
      <c r="D183" s="69" t="n"/>
      <c r="E183" s="84">
        <f>IF($A183="","",B183+C183+D183)</f>
        <v/>
      </c>
      <c r="F183" s="85">
        <f>IF($A183="","",SUMIFS($E$5:$E$800,$A$5:$A$800,"&gt;="&amp;DATE(YEAR($A183),MONTH($A183),1),$A$5:$A$800,"&lt;="&amp;$A183)+IF(AND(YEAR($A183)=YEAR(Settings!$B$3),MONTH($A183)=MONTH(Settings!$B$3)),Settings!$B$14,0))</f>
        <v/>
      </c>
    </row>
    <row r="184">
      <c r="A184" s="67" t="n"/>
      <c r="B184" s="69" t="n"/>
      <c r="C184" s="69" t="n"/>
      <c r="D184" s="69" t="n"/>
      <c r="E184" s="84">
        <f>IF($A184="","",B184+C184+D184)</f>
        <v/>
      </c>
      <c r="F184" s="85">
        <f>IF($A184="","",SUMIFS($E$5:$E$800,$A$5:$A$800,"&gt;="&amp;DATE(YEAR($A184),MONTH($A184),1),$A$5:$A$800,"&lt;="&amp;$A184)+IF(AND(YEAR($A184)=YEAR(Settings!$B$3),MONTH($A184)=MONTH(Settings!$B$3)),Settings!$B$14,0))</f>
        <v/>
      </c>
    </row>
    <row r="185">
      <c r="A185" s="67" t="n"/>
      <c r="B185" s="69" t="n"/>
      <c r="C185" s="69" t="n"/>
      <c r="D185" s="69" t="n"/>
      <c r="E185" s="84">
        <f>IF($A185="","",B185+C185+D185)</f>
        <v/>
      </c>
      <c r="F185" s="85">
        <f>IF($A185="","",SUMIFS($E$5:$E$800,$A$5:$A$800,"&gt;="&amp;DATE(YEAR($A185),MONTH($A185),1),$A$5:$A$800,"&lt;="&amp;$A185)+IF(AND(YEAR($A185)=YEAR(Settings!$B$3),MONTH($A185)=MONTH(Settings!$B$3)),Settings!$B$14,0))</f>
        <v/>
      </c>
    </row>
    <row r="186">
      <c r="A186" s="67" t="n"/>
      <c r="B186" s="69" t="n"/>
      <c r="C186" s="69" t="n"/>
      <c r="D186" s="69" t="n"/>
      <c r="E186" s="84">
        <f>IF($A186="","",B186+C186+D186)</f>
        <v/>
      </c>
      <c r="F186" s="85">
        <f>IF($A186="","",SUMIFS($E$5:$E$800,$A$5:$A$800,"&gt;="&amp;DATE(YEAR($A186),MONTH($A186),1),$A$5:$A$800,"&lt;="&amp;$A186)+IF(AND(YEAR($A186)=YEAR(Settings!$B$3),MONTH($A186)=MONTH(Settings!$B$3)),Settings!$B$14,0))</f>
        <v/>
      </c>
    </row>
    <row r="187">
      <c r="A187" s="67" t="n"/>
      <c r="B187" s="69" t="n"/>
      <c r="C187" s="69" t="n"/>
      <c r="D187" s="69" t="n"/>
      <c r="E187" s="84">
        <f>IF($A187="","",B187+C187+D187)</f>
        <v/>
      </c>
      <c r="F187" s="85">
        <f>IF($A187="","",SUMIFS($E$5:$E$800,$A$5:$A$800,"&gt;="&amp;DATE(YEAR($A187),MONTH($A187),1),$A$5:$A$800,"&lt;="&amp;$A187)+IF(AND(YEAR($A187)=YEAR(Settings!$B$3),MONTH($A187)=MONTH(Settings!$B$3)),Settings!$B$14,0))</f>
        <v/>
      </c>
    </row>
    <row r="188">
      <c r="A188" s="67" t="n"/>
      <c r="B188" s="69" t="n"/>
      <c r="C188" s="69" t="n"/>
      <c r="D188" s="69" t="n"/>
      <c r="E188" s="84">
        <f>IF($A188="","",B188+C188+D188)</f>
        <v/>
      </c>
      <c r="F188" s="85">
        <f>IF($A188="","",SUMIFS($E$5:$E$800,$A$5:$A$800,"&gt;="&amp;DATE(YEAR($A188),MONTH($A188),1),$A$5:$A$800,"&lt;="&amp;$A188)+IF(AND(YEAR($A188)=YEAR(Settings!$B$3),MONTH($A188)=MONTH(Settings!$B$3)),Settings!$B$14,0))</f>
        <v/>
      </c>
    </row>
    <row r="189">
      <c r="A189" s="67" t="n"/>
      <c r="B189" s="69" t="n"/>
      <c r="C189" s="69" t="n"/>
      <c r="D189" s="69" t="n"/>
      <c r="E189" s="84">
        <f>IF($A189="","",B189+C189+D189)</f>
        <v/>
      </c>
      <c r="F189" s="85">
        <f>IF($A189="","",SUMIFS($E$5:$E$800,$A$5:$A$800,"&gt;="&amp;DATE(YEAR($A189),MONTH($A189),1),$A$5:$A$800,"&lt;="&amp;$A189)+IF(AND(YEAR($A189)=YEAR(Settings!$B$3),MONTH($A189)=MONTH(Settings!$B$3)),Settings!$B$14,0))</f>
        <v/>
      </c>
    </row>
    <row r="190">
      <c r="A190" s="67" t="n"/>
      <c r="B190" s="69" t="n"/>
      <c r="C190" s="69" t="n"/>
      <c r="D190" s="69" t="n"/>
      <c r="E190" s="84">
        <f>IF($A190="","",B190+C190+D190)</f>
        <v/>
      </c>
      <c r="F190" s="85">
        <f>IF($A190="","",SUMIFS($E$5:$E$800,$A$5:$A$800,"&gt;="&amp;DATE(YEAR($A190),MONTH($A190),1),$A$5:$A$800,"&lt;="&amp;$A190)+IF(AND(YEAR($A190)=YEAR(Settings!$B$3),MONTH($A190)=MONTH(Settings!$B$3)),Settings!$B$14,0))</f>
        <v/>
      </c>
    </row>
    <row r="191">
      <c r="A191" s="67" t="n"/>
      <c r="B191" s="69" t="n"/>
      <c r="C191" s="69" t="n"/>
      <c r="D191" s="69" t="n"/>
      <c r="E191" s="84">
        <f>IF($A191="","",B191+C191+D191)</f>
        <v/>
      </c>
      <c r="F191" s="85">
        <f>IF($A191="","",SUMIFS($E$5:$E$800,$A$5:$A$800,"&gt;="&amp;DATE(YEAR($A191),MONTH($A191),1),$A$5:$A$800,"&lt;="&amp;$A191)+IF(AND(YEAR($A191)=YEAR(Settings!$B$3),MONTH($A191)=MONTH(Settings!$B$3)),Settings!$B$14,0))</f>
        <v/>
      </c>
    </row>
    <row r="192">
      <c r="A192" s="67" t="n"/>
      <c r="B192" s="69" t="n"/>
      <c r="C192" s="69" t="n"/>
      <c r="D192" s="69" t="n"/>
      <c r="E192" s="84">
        <f>IF($A192="","",B192+C192+D192)</f>
        <v/>
      </c>
      <c r="F192" s="85">
        <f>IF($A192="","",SUMIFS($E$5:$E$800,$A$5:$A$800,"&gt;="&amp;DATE(YEAR($A192),MONTH($A192),1),$A$5:$A$800,"&lt;="&amp;$A192)+IF(AND(YEAR($A192)=YEAR(Settings!$B$3),MONTH($A192)=MONTH(Settings!$B$3)),Settings!$B$14,0))</f>
        <v/>
      </c>
    </row>
    <row r="193">
      <c r="A193" s="67" t="n"/>
      <c r="B193" s="69" t="n"/>
      <c r="C193" s="69" t="n"/>
      <c r="D193" s="69" t="n"/>
      <c r="E193" s="84">
        <f>IF($A193="","",B193+C193+D193)</f>
        <v/>
      </c>
      <c r="F193" s="85">
        <f>IF($A193="","",SUMIFS($E$5:$E$800,$A$5:$A$800,"&gt;="&amp;DATE(YEAR($A193),MONTH($A193),1),$A$5:$A$800,"&lt;="&amp;$A193)+IF(AND(YEAR($A193)=YEAR(Settings!$B$3),MONTH($A193)=MONTH(Settings!$B$3)),Settings!$B$14,0))</f>
        <v/>
      </c>
    </row>
    <row r="194">
      <c r="A194" s="67" t="n"/>
      <c r="B194" s="69" t="n"/>
      <c r="C194" s="69" t="n"/>
      <c r="D194" s="69" t="n"/>
      <c r="E194" s="84">
        <f>IF($A194="","",B194+C194+D194)</f>
        <v/>
      </c>
      <c r="F194" s="85">
        <f>IF($A194="","",SUMIFS($E$5:$E$800,$A$5:$A$800,"&gt;="&amp;DATE(YEAR($A194),MONTH($A194),1),$A$5:$A$800,"&lt;="&amp;$A194)+IF(AND(YEAR($A194)=YEAR(Settings!$B$3),MONTH($A194)=MONTH(Settings!$B$3)),Settings!$B$14,0))</f>
        <v/>
      </c>
    </row>
    <row r="195">
      <c r="A195" s="67" t="n"/>
      <c r="B195" s="69" t="n"/>
      <c r="C195" s="69" t="n"/>
      <c r="D195" s="69" t="n"/>
      <c r="E195" s="84">
        <f>IF($A195="","",B195+C195+D195)</f>
        <v/>
      </c>
      <c r="F195" s="85">
        <f>IF($A195="","",SUMIFS($E$5:$E$800,$A$5:$A$800,"&gt;="&amp;DATE(YEAR($A195),MONTH($A195),1),$A$5:$A$800,"&lt;="&amp;$A195)+IF(AND(YEAR($A195)=YEAR(Settings!$B$3),MONTH($A195)=MONTH(Settings!$B$3)),Settings!$B$14,0))</f>
        <v/>
      </c>
    </row>
    <row r="196">
      <c r="A196" s="67" t="n"/>
      <c r="B196" s="69" t="n"/>
      <c r="C196" s="69" t="n"/>
      <c r="D196" s="69" t="n"/>
      <c r="E196" s="84">
        <f>IF($A196="","",B196+C196+D196)</f>
        <v/>
      </c>
      <c r="F196" s="85">
        <f>IF($A196="","",SUMIFS($E$5:$E$800,$A$5:$A$800,"&gt;="&amp;DATE(YEAR($A196),MONTH($A196),1),$A$5:$A$800,"&lt;="&amp;$A196)+IF(AND(YEAR($A196)=YEAR(Settings!$B$3),MONTH($A196)=MONTH(Settings!$B$3)),Settings!$B$14,0))</f>
        <v/>
      </c>
    </row>
    <row r="197">
      <c r="A197" s="67" t="n"/>
      <c r="B197" s="69" t="n"/>
      <c r="C197" s="69" t="n"/>
      <c r="D197" s="69" t="n"/>
      <c r="E197" s="84">
        <f>IF($A197="","",B197+C197+D197)</f>
        <v/>
      </c>
      <c r="F197" s="85">
        <f>IF($A197="","",SUMIFS($E$5:$E$800,$A$5:$A$800,"&gt;="&amp;DATE(YEAR($A197),MONTH($A197),1),$A$5:$A$800,"&lt;="&amp;$A197)+IF(AND(YEAR($A197)=YEAR(Settings!$B$3),MONTH($A197)=MONTH(Settings!$B$3)),Settings!$B$14,0))</f>
        <v/>
      </c>
    </row>
    <row r="198">
      <c r="A198" s="67" t="n"/>
      <c r="B198" s="69" t="n"/>
      <c r="C198" s="69" t="n"/>
      <c r="D198" s="69" t="n"/>
      <c r="E198" s="84">
        <f>IF($A198="","",B198+C198+D198)</f>
        <v/>
      </c>
      <c r="F198" s="85">
        <f>IF($A198="","",SUMIFS($E$5:$E$800,$A$5:$A$800,"&gt;="&amp;DATE(YEAR($A198),MONTH($A198),1),$A$5:$A$800,"&lt;="&amp;$A198)+IF(AND(YEAR($A198)=YEAR(Settings!$B$3),MONTH($A198)=MONTH(Settings!$B$3)),Settings!$B$14,0))</f>
        <v/>
      </c>
    </row>
    <row r="199">
      <c r="A199" s="67" t="n"/>
      <c r="B199" s="69" t="n"/>
      <c r="C199" s="69" t="n"/>
      <c r="D199" s="69" t="n"/>
      <c r="E199" s="84">
        <f>IF($A199="","",B199+C199+D199)</f>
        <v/>
      </c>
      <c r="F199" s="85">
        <f>IF($A199="","",SUMIFS($E$5:$E$800,$A$5:$A$800,"&gt;="&amp;DATE(YEAR($A199),MONTH($A199),1),$A$5:$A$800,"&lt;="&amp;$A199)+IF(AND(YEAR($A199)=YEAR(Settings!$B$3),MONTH($A199)=MONTH(Settings!$B$3)),Settings!$B$14,0))</f>
        <v/>
      </c>
    </row>
    <row r="200">
      <c r="A200" s="67" t="n"/>
      <c r="B200" s="69" t="n"/>
      <c r="C200" s="69" t="n"/>
      <c r="D200" s="69" t="n"/>
      <c r="E200" s="84">
        <f>IF($A200="","",B200+C200+D200)</f>
        <v/>
      </c>
      <c r="F200" s="85">
        <f>IF($A200="","",SUMIFS($E$5:$E$800,$A$5:$A$800,"&gt;="&amp;DATE(YEAR($A200),MONTH($A200),1),$A$5:$A$800,"&lt;="&amp;$A200)+IF(AND(YEAR($A200)=YEAR(Settings!$B$3),MONTH($A200)=MONTH(Settings!$B$3)),Settings!$B$14,0))</f>
        <v/>
      </c>
    </row>
    <row r="201">
      <c r="A201" s="67" t="n"/>
      <c r="B201" s="69" t="n"/>
      <c r="C201" s="69" t="n"/>
      <c r="D201" s="69" t="n"/>
      <c r="E201" s="84">
        <f>IF($A201="","",B201+C201+D201)</f>
        <v/>
      </c>
      <c r="F201" s="85">
        <f>IF($A201="","",SUMIFS($E$5:$E$800,$A$5:$A$800,"&gt;="&amp;DATE(YEAR($A201),MONTH($A201),1),$A$5:$A$800,"&lt;="&amp;$A201)+IF(AND(YEAR($A201)=YEAR(Settings!$B$3),MONTH($A201)=MONTH(Settings!$B$3)),Settings!$B$14,0))</f>
        <v/>
      </c>
    </row>
    <row r="202">
      <c r="A202" s="67" t="n"/>
      <c r="B202" s="69" t="n"/>
      <c r="C202" s="69" t="n"/>
      <c r="D202" s="69" t="n"/>
      <c r="E202" s="84">
        <f>IF($A202="","",B202+C202+D202)</f>
        <v/>
      </c>
      <c r="F202" s="85">
        <f>IF($A202="","",SUMIFS($E$5:$E$800,$A$5:$A$800,"&gt;="&amp;DATE(YEAR($A202),MONTH($A202),1),$A$5:$A$800,"&lt;="&amp;$A202)+IF(AND(YEAR($A202)=YEAR(Settings!$B$3),MONTH($A202)=MONTH(Settings!$B$3)),Settings!$B$14,0))</f>
        <v/>
      </c>
    </row>
    <row r="203">
      <c r="A203" s="67" t="n"/>
      <c r="B203" s="69" t="n"/>
      <c r="C203" s="69" t="n"/>
      <c r="D203" s="69" t="n"/>
      <c r="E203" s="84">
        <f>IF($A203="","",B203+C203+D203)</f>
        <v/>
      </c>
      <c r="F203" s="85">
        <f>IF($A203="","",SUMIFS($E$5:$E$800,$A$5:$A$800,"&gt;="&amp;DATE(YEAR($A203),MONTH($A203),1),$A$5:$A$800,"&lt;="&amp;$A203)+IF(AND(YEAR($A203)=YEAR(Settings!$B$3),MONTH($A203)=MONTH(Settings!$B$3)),Settings!$B$14,0))</f>
        <v/>
      </c>
    </row>
    <row r="204">
      <c r="A204" s="67" t="n"/>
      <c r="B204" s="69" t="n"/>
      <c r="C204" s="69" t="n"/>
      <c r="D204" s="69" t="n"/>
      <c r="E204" s="84">
        <f>IF($A204="","",B204+C204+D204)</f>
        <v/>
      </c>
      <c r="F204" s="85">
        <f>IF($A204="","",SUMIFS($E$5:$E$800,$A$5:$A$800,"&gt;="&amp;DATE(YEAR($A204),MONTH($A204),1),$A$5:$A$800,"&lt;="&amp;$A204)+IF(AND(YEAR($A204)=YEAR(Settings!$B$3),MONTH($A204)=MONTH(Settings!$B$3)),Settings!$B$14,0))</f>
        <v/>
      </c>
    </row>
    <row r="205">
      <c r="A205" s="67" t="n"/>
      <c r="B205" s="69" t="n"/>
      <c r="C205" s="69" t="n"/>
      <c r="D205" s="69" t="n"/>
      <c r="E205" s="84">
        <f>IF($A205="","",B205+C205+D205)</f>
        <v/>
      </c>
      <c r="F205" s="85">
        <f>IF($A205="","",SUMIFS($E$5:$E$800,$A$5:$A$800,"&gt;="&amp;DATE(YEAR($A205),MONTH($A205),1),$A$5:$A$800,"&lt;="&amp;$A205)+IF(AND(YEAR($A205)=YEAR(Settings!$B$3),MONTH($A205)=MONTH(Settings!$B$3)),Settings!$B$14,0))</f>
        <v/>
      </c>
    </row>
    <row r="206">
      <c r="A206" s="67" t="n"/>
      <c r="B206" s="69" t="n"/>
      <c r="C206" s="69" t="n"/>
      <c r="D206" s="69" t="n"/>
      <c r="E206" s="84">
        <f>IF($A206="","",B206+C206+D206)</f>
        <v/>
      </c>
      <c r="F206" s="85">
        <f>IF($A206="","",SUMIFS($E$5:$E$800,$A$5:$A$800,"&gt;="&amp;DATE(YEAR($A206),MONTH($A206),1),$A$5:$A$800,"&lt;="&amp;$A206)+IF(AND(YEAR($A206)=YEAR(Settings!$B$3),MONTH($A206)=MONTH(Settings!$B$3)),Settings!$B$14,0))</f>
        <v/>
      </c>
    </row>
    <row r="207">
      <c r="A207" s="67" t="n"/>
      <c r="B207" s="69" t="n"/>
      <c r="C207" s="69" t="n"/>
      <c r="D207" s="69" t="n"/>
      <c r="E207" s="84">
        <f>IF($A207="","",B207+C207+D207)</f>
        <v/>
      </c>
      <c r="F207" s="85">
        <f>IF($A207="","",SUMIFS($E$5:$E$800,$A$5:$A$800,"&gt;="&amp;DATE(YEAR($A207),MONTH($A207),1),$A$5:$A$800,"&lt;="&amp;$A207)+IF(AND(YEAR($A207)=YEAR(Settings!$B$3),MONTH($A207)=MONTH(Settings!$B$3)),Settings!$B$14,0))</f>
        <v/>
      </c>
    </row>
    <row r="208">
      <c r="A208" s="67" t="n"/>
      <c r="B208" s="69" t="n"/>
      <c r="C208" s="69" t="n"/>
      <c r="D208" s="69" t="n"/>
      <c r="E208" s="84">
        <f>IF($A208="","",B208+C208+D208)</f>
        <v/>
      </c>
      <c r="F208" s="85">
        <f>IF($A208="","",SUMIFS($E$5:$E$800,$A$5:$A$800,"&gt;="&amp;DATE(YEAR($A208),MONTH($A208),1),$A$5:$A$800,"&lt;="&amp;$A208)+IF(AND(YEAR($A208)=YEAR(Settings!$B$3),MONTH($A208)=MONTH(Settings!$B$3)),Settings!$B$14,0))</f>
        <v/>
      </c>
    </row>
    <row r="209">
      <c r="A209" s="67" t="n"/>
      <c r="B209" s="69" t="n"/>
      <c r="C209" s="69" t="n"/>
      <c r="D209" s="69" t="n"/>
      <c r="E209" s="84">
        <f>IF($A209="","",B209+C209+D209)</f>
        <v/>
      </c>
      <c r="F209" s="85">
        <f>IF($A209="","",SUMIFS($E$5:$E$800,$A$5:$A$800,"&gt;="&amp;DATE(YEAR($A209),MONTH($A209),1),$A$5:$A$800,"&lt;="&amp;$A209)+IF(AND(YEAR($A209)=YEAR(Settings!$B$3),MONTH($A209)=MONTH(Settings!$B$3)),Settings!$B$14,0))</f>
        <v/>
      </c>
    </row>
    <row r="210">
      <c r="A210" s="67" t="n"/>
      <c r="B210" s="69" t="n"/>
      <c r="C210" s="69" t="n"/>
      <c r="D210" s="69" t="n"/>
      <c r="E210" s="84">
        <f>IF($A210="","",B210+C210+D210)</f>
        <v/>
      </c>
      <c r="F210" s="85">
        <f>IF($A210="","",SUMIFS($E$5:$E$800,$A$5:$A$800,"&gt;="&amp;DATE(YEAR($A210),MONTH($A210),1),$A$5:$A$800,"&lt;="&amp;$A210)+IF(AND(YEAR($A210)=YEAR(Settings!$B$3),MONTH($A210)=MONTH(Settings!$B$3)),Settings!$B$14,0))</f>
        <v/>
      </c>
    </row>
    <row r="211">
      <c r="A211" s="67" t="n"/>
      <c r="B211" s="69" t="n"/>
      <c r="C211" s="69" t="n"/>
      <c r="D211" s="69" t="n"/>
      <c r="E211" s="84">
        <f>IF($A211="","",B211+C211+D211)</f>
        <v/>
      </c>
      <c r="F211" s="85">
        <f>IF($A211="","",SUMIFS($E$5:$E$800,$A$5:$A$800,"&gt;="&amp;DATE(YEAR($A211),MONTH($A211),1),$A$5:$A$800,"&lt;="&amp;$A211)+IF(AND(YEAR($A211)=YEAR(Settings!$B$3),MONTH($A211)=MONTH(Settings!$B$3)),Settings!$B$14,0))</f>
        <v/>
      </c>
    </row>
    <row r="212">
      <c r="A212" s="67" t="n"/>
      <c r="B212" s="69" t="n"/>
      <c r="C212" s="69" t="n"/>
      <c r="D212" s="69" t="n"/>
      <c r="E212" s="84">
        <f>IF($A212="","",B212+C212+D212)</f>
        <v/>
      </c>
      <c r="F212" s="85">
        <f>IF($A212="","",SUMIFS($E$5:$E$800,$A$5:$A$800,"&gt;="&amp;DATE(YEAR($A212),MONTH($A212),1),$A$5:$A$800,"&lt;="&amp;$A212)+IF(AND(YEAR($A212)=YEAR(Settings!$B$3),MONTH($A212)=MONTH(Settings!$B$3)),Settings!$B$14,0))</f>
        <v/>
      </c>
    </row>
    <row r="213">
      <c r="A213" s="67" t="n"/>
      <c r="B213" s="69" t="n"/>
      <c r="C213" s="69" t="n"/>
      <c r="D213" s="69" t="n"/>
      <c r="E213" s="84">
        <f>IF($A213="","",B213+C213+D213)</f>
        <v/>
      </c>
      <c r="F213" s="85">
        <f>IF($A213="","",SUMIFS($E$5:$E$800,$A$5:$A$800,"&gt;="&amp;DATE(YEAR($A213),MONTH($A213),1),$A$5:$A$800,"&lt;="&amp;$A213)+IF(AND(YEAR($A213)=YEAR(Settings!$B$3),MONTH($A213)=MONTH(Settings!$B$3)),Settings!$B$14,0))</f>
        <v/>
      </c>
    </row>
    <row r="214">
      <c r="A214" s="67" t="n"/>
      <c r="B214" s="69" t="n"/>
      <c r="C214" s="69" t="n"/>
      <c r="D214" s="69" t="n"/>
      <c r="E214" s="84">
        <f>IF($A214="","",B214+C214+D214)</f>
        <v/>
      </c>
      <c r="F214" s="85">
        <f>IF($A214="","",SUMIFS($E$5:$E$800,$A$5:$A$800,"&gt;="&amp;DATE(YEAR($A214),MONTH($A214),1),$A$5:$A$800,"&lt;="&amp;$A214)+IF(AND(YEAR($A214)=YEAR(Settings!$B$3),MONTH($A214)=MONTH(Settings!$B$3)),Settings!$B$14,0))</f>
        <v/>
      </c>
    </row>
    <row r="215">
      <c r="A215" s="67" t="n"/>
      <c r="B215" s="69" t="n"/>
      <c r="C215" s="69" t="n"/>
      <c r="D215" s="69" t="n"/>
      <c r="E215" s="84">
        <f>IF($A215="","",B215+C215+D215)</f>
        <v/>
      </c>
      <c r="F215" s="85">
        <f>IF($A215="","",SUMIFS($E$5:$E$800,$A$5:$A$800,"&gt;="&amp;DATE(YEAR($A215),MONTH($A215),1),$A$5:$A$800,"&lt;="&amp;$A215)+IF(AND(YEAR($A215)=YEAR(Settings!$B$3),MONTH($A215)=MONTH(Settings!$B$3)),Settings!$B$14,0))</f>
        <v/>
      </c>
    </row>
    <row r="216">
      <c r="A216" s="67" t="n"/>
      <c r="B216" s="69" t="n"/>
      <c r="C216" s="69" t="n"/>
      <c r="D216" s="69" t="n"/>
      <c r="E216" s="84">
        <f>IF($A216="","",B216+C216+D216)</f>
        <v/>
      </c>
      <c r="F216" s="85">
        <f>IF($A216="","",SUMIFS($E$5:$E$800,$A$5:$A$800,"&gt;="&amp;DATE(YEAR($A216),MONTH($A216),1),$A$5:$A$800,"&lt;="&amp;$A216)+IF(AND(YEAR($A216)=YEAR(Settings!$B$3),MONTH($A216)=MONTH(Settings!$B$3)),Settings!$B$14,0))</f>
        <v/>
      </c>
    </row>
    <row r="217">
      <c r="A217" s="67" t="n"/>
      <c r="B217" s="69" t="n"/>
      <c r="C217" s="69" t="n"/>
      <c r="D217" s="69" t="n"/>
      <c r="E217" s="84">
        <f>IF($A217="","",B217+C217+D217)</f>
        <v/>
      </c>
      <c r="F217" s="85">
        <f>IF($A217="","",SUMIFS($E$5:$E$800,$A$5:$A$800,"&gt;="&amp;DATE(YEAR($A217),MONTH($A217),1),$A$5:$A$800,"&lt;="&amp;$A217)+IF(AND(YEAR($A217)=YEAR(Settings!$B$3),MONTH($A217)=MONTH(Settings!$B$3)),Settings!$B$14,0))</f>
        <v/>
      </c>
    </row>
    <row r="218">
      <c r="A218" s="67" t="n"/>
      <c r="B218" s="69" t="n"/>
      <c r="C218" s="69" t="n"/>
      <c r="D218" s="69" t="n"/>
      <c r="E218" s="84">
        <f>IF($A218="","",B218+C218+D218)</f>
        <v/>
      </c>
      <c r="F218" s="85">
        <f>IF($A218="","",SUMIFS($E$5:$E$800,$A$5:$A$800,"&gt;="&amp;DATE(YEAR($A218),MONTH($A218),1),$A$5:$A$800,"&lt;="&amp;$A218)+IF(AND(YEAR($A218)=YEAR(Settings!$B$3),MONTH($A218)=MONTH(Settings!$B$3)),Settings!$B$14,0))</f>
        <v/>
      </c>
    </row>
    <row r="219">
      <c r="A219" s="67" t="n"/>
      <c r="B219" s="69" t="n"/>
      <c r="C219" s="69" t="n"/>
      <c r="D219" s="69" t="n"/>
      <c r="E219" s="84">
        <f>IF($A219="","",B219+C219+D219)</f>
        <v/>
      </c>
      <c r="F219" s="85">
        <f>IF($A219="","",SUMIFS($E$5:$E$800,$A$5:$A$800,"&gt;="&amp;DATE(YEAR($A219),MONTH($A219),1),$A$5:$A$800,"&lt;="&amp;$A219)+IF(AND(YEAR($A219)=YEAR(Settings!$B$3),MONTH($A219)=MONTH(Settings!$B$3)),Settings!$B$14,0))</f>
        <v/>
      </c>
    </row>
    <row r="220">
      <c r="A220" s="67" t="n"/>
      <c r="B220" s="69" t="n"/>
      <c r="C220" s="69" t="n"/>
      <c r="D220" s="69" t="n"/>
      <c r="E220" s="84">
        <f>IF($A220="","",B220+C220+D220)</f>
        <v/>
      </c>
      <c r="F220" s="85">
        <f>IF($A220="","",SUMIFS($E$5:$E$800,$A$5:$A$800,"&gt;="&amp;DATE(YEAR($A220),MONTH($A220),1),$A$5:$A$800,"&lt;="&amp;$A220)+IF(AND(YEAR($A220)=YEAR(Settings!$B$3),MONTH($A220)=MONTH(Settings!$B$3)),Settings!$B$14,0))</f>
        <v/>
      </c>
    </row>
    <row r="221">
      <c r="A221" s="67" t="n"/>
      <c r="B221" s="69" t="n"/>
      <c r="C221" s="69" t="n"/>
      <c r="D221" s="69" t="n"/>
      <c r="E221" s="84">
        <f>IF($A221="","",B221+C221+D221)</f>
        <v/>
      </c>
      <c r="F221" s="85">
        <f>IF($A221="","",SUMIFS($E$5:$E$800,$A$5:$A$800,"&gt;="&amp;DATE(YEAR($A221),MONTH($A221),1),$A$5:$A$800,"&lt;="&amp;$A221)+IF(AND(YEAR($A221)=YEAR(Settings!$B$3),MONTH($A221)=MONTH(Settings!$B$3)),Settings!$B$14,0))</f>
        <v/>
      </c>
    </row>
    <row r="222">
      <c r="A222" s="67" t="n"/>
      <c r="B222" s="69" t="n"/>
      <c r="C222" s="69" t="n"/>
      <c r="D222" s="69" t="n"/>
      <c r="E222" s="84">
        <f>IF($A222="","",B222+C222+D222)</f>
        <v/>
      </c>
      <c r="F222" s="85">
        <f>IF($A222="","",SUMIFS($E$5:$E$800,$A$5:$A$800,"&gt;="&amp;DATE(YEAR($A222),MONTH($A222),1),$A$5:$A$800,"&lt;="&amp;$A222)+IF(AND(YEAR($A222)=YEAR(Settings!$B$3),MONTH($A222)=MONTH(Settings!$B$3)),Settings!$B$14,0))</f>
        <v/>
      </c>
    </row>
    <row r="223">
      <c r="A223" s="67" t="n"/>
      <c r="B223" s="69" t="n"/>
      <c r="C223" s="69" t="n"/>
      <c r="D223" s="69" t="n"/>
      <c r="E223" s="84">
        <f>IF($A223="","",B223+C223+D223)</f>
        <v/>
      </c>
      <c r="F223" s="85">
        <f>IF($A223="","",SUMIFS($E$5:$E$800,$A$5:$A$800,"&gt;="&amp;DATE(YEAR($A223),MONTH($A223),1),$A$5:$A$800,"&lt;="&amp;$A223)+IF(AND(YEAR($A223)=YEAR(Settings!$B$3),MONTH($A223)=MONTH(Settings!$B$3)),Settings!$B$14,0))</f>
        <v/>
      </c>
    </row>
    <row r="224">
      <c r="A224" s="67" t="n"/>
      <c r="B224" s="69" t="n"/>
      <c r="C224" s="69" t="n"/>
      <c r="D224" s="69" t="n"/>
      <c r="E224" s="84">
        <f>IF($A224="","",B224+C224+D224)</f>
        <v/>
      </c>
      <c r="F224" s="85">
        <f>IF($A224="","",SUMIFS($E$5:$E$800,$A$5:$A$800,"&gt;="&amp;DATE(YEAR($A224),MONTH($A224),1),$A$5:$A$800,"&lt;="&amp;$A224)+IF(AND(YEAR($A224)=YEAR(Settings!$B$3),MONTH($A224)=MONTH(Settings!$B$3)),Settings!$B$14,0))</f>
        <v/>
      </c>
    </row>
    <row r="225">
      <c r="A225" s="67" t="n"/>
      <c r="B225" s="69" t="n"/>
      <c r="C225" s="69" t="n"/>
      <c r="D225" s="69" t="n"/>
      <c r="E225" s="84">
        <f>IF($A225="","",B225+C225+D225)</f>
        <v/>
      </c>
      <c r="F225" s="85">
        <f>IF($A225="","",SUMIFS($E$5:$E$800,$A$5:$A$800,"&gt;="&amp;DATE(YEAR($A225),MONTH($A225),1),$A$5:$A$800,"&lt;="&amp;$A225)+IF(AND(YEAR($A225)=YEAR(Settings!$B$3),MONTH($A225)=MONTH(Settings!$B$3)),Settings!$B$14,0))</f>
        <v/>
      </c>
    </row>
    <row r="226">
      <c r="A226" s="67" t="n"/>
      <c r="B226" s="69" t="n"/>
      <c r="C226" s="69" t="n"/>
      <c r="D226" s="69" t="n"/>
      <c r="E226" s="84">
        <f>IF($A226="","",B226+C226+D226)</f>
        <v/>
      </c>
      <c r="F226" s="85">
        <f>IF($A226="","",SUMIFS($E$5:$E$800,$A$5:$A$800,"&gt;="&amp;DATE(YEAR($A226),MONTH($A226),1),$A$5:$A$800,"&lt;="&amp;$A226)+IF(AND(YEAR($A226)=YEAR(Settings!$B$3),MONTH($A226)=MONTH(Settings!$B$3)),Settings!$B$14,0))</f>
        <v/>
      </c>
    </row>
    <row r="227">
      <c r="A227" s="67" t="n"/>
      <c r="B227" s="69" t="n"/>
      <c r="C227" s="69" t="n"/>
      <c r="D227" s="69" t="n"/>
      <c r="E227" s="84">
        <f>IF($A227="","",B227+C227+D227)</f>
        <v/>
      </c>
      <c r="F227" s="85">
        <f>IF($A227="","",SUMIFS($E$5:$E$800,$A$5:$A$800,"&gt;="&amp;DATE(YEAR($A227),MONTH($A227),1),$A$5:$A$800,"&lt;="&amp;$A227)+IF(AND(YEAR($A227)=YEAR(Settings!$B$3),MONTH($A227)=MONTH(Settings!$B$3)),Settings!$B$14,0))</f>
        <v/>
      </c>
    </row>
    <row r="228">
      <c r="A228" s="67" t="n"/>
      <c r="B228" s="69" t="n"/>
      <c r="C228" s="69" t="n"/>
      <c r="D228" s="69" t="n"/>
      <c r="E228" s="84">
        <f>IF($A228="","",B228+C228+D228)</f>
        <v/>
      </c>
      <c r="F228" s="85">
        <f>IF($A228="","",SUMIFS($E$5:$E$800,$A$5:$A$800,"&gt;="&amp;DATE(YEAR($A228),MONTH($A228),1),$A$5:$A$800,"&lt;="&amp;$A228)+IF(AND(YEAR($A228)=YEAR(Settings!$B$3),MONTH($A228)=MONTH(Settings!$B$3)),Settings!$B$14,0))</f>
        <v/>
      </c>
    </row>
    <row r="229">
      <c r="A229" s="67" t="n"/>
      <c r="B229" s="69" t="n"/>
      <c r="C229" s="69" t="n"/>
      <c r="D229" s="69" t="n"/>
      <c r="E229" s="84">
        <f>IF($A229="","",B229+C229+D229)</f>
        <v/>
      </c>
      <c r="F229" s="85">
        <f>IF($A229="","",SUMIFS($E$5:$E$800,$A$5:$A$800,"&gt;="&amp;DATE(YEAR($A229),MONTH($A229),1),$A$5:$A$800,"&lt;="&amp;$A229)+IF(AND(YEAR($A229)=YEAR(Settings!$B$3),MONTH($A229)=MONTH(Settings!$B$3)),Settings!$B$14,0))</f>
        <v/>
      </c>
    </row>
    <row r="230">
      <c r="A230" s="67" t="n"/>
      <c r="B230" s="69" t="n"/>
      <c r="C230" s="69" t="n"/>
      <c r="D230" s="69" t="n"/>
      <c r="E230" s="84">
        <f>IF($A230="","",B230+C230+D230)</f>
        <v/>
      </c>
      <c r="F230" s="85">
        <f>IF($A230="","",SUMIFS($E$5:$E$800,$A$5:$A$800,"&gt;="&amp;DATE(YEAR($A230),MONTH($A230),1),$A$5:$A$800,"&lt;="&amp;$A230)+IF(AND(YEAR($A230)=YEAR(Settings!$B$3),MONTH($A230)=MONTH(Settings!$B$3)),Settings!$B$14,0))</f>
        <v/>
      </c>
    </row>
    <row r="231">
      <c r="A231" s="67" t="n"/>
      <c r="B231" s="69" t="n"/>
      <c r="C231" s="69" t="n"/>
      <c r="D231" s="69" t="n"/>
      <c r="E231" s="84">
        <f>IF($A231="","",B231+C231+D231)</f>
        <v/>
      </c>
      <c r="F231" s="85">
        <f>IF($A231="","",SUMIFS($E$5:$E$800,$A$5:$A$800,"&gt;="&amp;DATE(YEAR($A231),MONTH($A231),1),$A$5:$A$800,"&lt;="&amp;$A231)+IF(AND(YEAR($A231)=YEAR(Settings!$B$3),MONTH($A231)=MONTH(Settings!$B$3)),Settings!$B$14,0))</f>
        <v/>
      </c>
    </row>
    <row r="232">
      <c r="A232" s="67" t="n"/>
      <c r="B232" s="69" t="n"/>
      <c r="C232" s="69" t="n"/>
      <c r="D232" s="69" t="n"/>
      <c r="E232" s="84">
        <f>IF($A232="","",B232+C232+D232)</f>
        <v/>
      </c>
      <c r="F232" s="85">
        <f>IF($A232="","",SUMIFS($E$5:$E$800,$A$5:$A$800,"&gt;="&amp;DATE(YEAR($A232),MONTH($A232),1),$A$5:$A$800,"&lt;="&amp;$A232)+IF(AND(YEAR($A232)=YEAR(Settings!$B$3),MONTH($A232)=MONTH(Settings!$B$3)),Settings!$B$14,0))</f>
        <v/>
      </c>
    </row>
    <row r="233">
      <c r="A233" s="67" t="n"/>
      <c r="B233" s="69" t="n"/>
      <c r="C233" s="69" t="n"/>
      <c r="D233" s="69" t="n"/>
      <c r="E233" s="84">
        <f>IF($A233="","",B233+C233+D233)</f>
        <v/>
      </c>
      <c r="F233" s="85">
        <f>IF($A233="","",SUMIFS($E$5:$E$800,$A$5:$A$800,"&gt;="&amp;DATE(YEAR($A233),MONTH($A233),1),$A$5:$A$800,"&lt;="&amp;$A233)+IF(AND(YEAR($A233)=YEAR(Settings!$B$3),MONTH($A233)=MONTH(Settings!$B$3)),Settings!$B$14,0))</f>
        <v/>
      </c>
    </row>
    <row r="234">
      <c r="A234" s="67" t="n"/>
      <c r="B234" s="69" t="n"/>
      <c r="C234" s="69" t="n"/>
      <c r="D234" s="69" t="n"/>
      <c r="E234" s="84">
        <f>IF($A234="","",B234+C234+D234)</f>
        <v/>
      </c>
      <c r="F234" s="85">
        <f>IF($A234="","",SUMIFS($E$5:$E$800,$A$5:$A$800,"&gt;="&amp;DATE(YEAR($A234),MONTH($A234),1),$A$5:$A$800,"&lt;="&amp;$A234)+IF(AND(YEAR($A234)=YEAR(Settings!$B$3),MONTH($A234)=MONTH(Settings!$B$3)),Settings!$B$14,0))</f>
        <v/>
      </c>
    </row>
    <row r="235">
      <c r="A235" s="67" t="n"/>
      <c r="B235" s="69" t="n"/>
      <c r="C235" s="69" t="n"/>
      <c r="D235" s="69" t="n"/>
      <c r="E235" s="84">
        <f>IF($A235="","",B235+C235+D235)</f>
        <v/>
      </c>
      <c r="F235" s="85">
        <f>IF($A235="","",SUMIFS($E$5:$E$800,$A$5:$A$800,"&gt;="&amp;DATE(YEAR($A235),MONTH($A235),1),$A$5:$A$800,"&lt;="&amp;$A235)+IF(AND(YEAR($A235)=YEAR(Settings!$B$3),MONTH($A235)=MONTH(Settings!$B$3)),Settings!$B$14,0))</f>
        <v/>
      </c>
    </row>
    <row r="236">
      <c r="A236" s="67" t="n"/>
      <c r="B236" s="69" t="n"/>
      <c r="C236" s="69" t="n"/>
      <c r="D236" s="69" t="n"/>
      <c r="E236" s="84">
        <f>IF($A236="","",B236+C236+D236)</f>
        <v/>
      </c>
      <c r="F236" s="85">
        <f>IF($A236="","",SUMIFS($E$5:$E$800,$A$5:$A$800,"&gt;="&amp;DATE(YEAR($A236),MONTH($A236),1),$A$5:$A$800,"&lt;="&amp;$A236)+IF(AND(YEAR($A236)=YEAR(Settings!$B$3),MONTH($A236)=MONTH(Settings!$B$3)),Settings!$B$14,0))</f>
        <v/>
      </c>
    </row>
    <row r="237">
      <c r="A237" s="67" t="n"/>
      <c r="B237" s="69" t="n"/>
      <c r="C237" s="69" t="n"/>
      <c r="D237" s="69" t="n"/>
      <c r="E237" s="84">
        <f>IF($A237="","",B237+C237+D237)</f>
        <v/>
      </c>
      <c r="F237" s="85">
        <f>IF($A237="","",SUMIFS($E$5:$E$800,$A$5:$A$800,"&gt;="&amp;DATE(YEAR($A237),MONTH($A237),1),$A$5:$A$800,"&lt;="&amp;$A237)+IF(AND(YEAR($A237)=YEAR(Settings!$B$3),MONTH($A237)=MONTH(Settings!$B$3)),Settings!$B$14,0))</f>
        <v/>
      </c>
    </row>
    <row r="238">
      <c r="A238" s="67" t="n"/>
      <c r="B238" s="69" t="n"/>
      <c r="C238" s="69" t="n"/>
      <c r="D238" s="69" t="n"/>
      <c r="E238" s="84">
        <f>IF($A238="","",B238+C238+D238)</f>
        <v/>
      </c>
      <c r="F238" s="85">
        <f>IF($A238="","",SUMIFS($E$5:$E$800,$A$5:$A$800,"&gt;="&amp;DATE(YEAR($A238),MONTH($A238),1),$A$5:$A$800,"&lt;="&amp;$A238)+IF(AND(YEAR($A238)=YEAR(Settings!$B$3),MONTH($A238)=MONTH(Settings!$B$3)),Settings!$B$14,0))</f>
        <v/>
      </c>
    </row>
    <row r="239">
      <c r="A239" s="67" t="n"/>
      <c r="B239" s="69" t="n"/>
      <c r="C239" s="69" t="n"/>
      <c r="D239" s="69" t="n"/>
      <c r="E239" s="84">
        <f>IF($A239="","",B239+C239+D239)</f>
        <v/>
      </c>
      <c r="F239" s="85">
        <f>IF($A239="","",SUMIFS($E$5:$E$800,$A$5:$A$800,"&gt;="&amp;DATE(YEAR($A239),MONTH($A239),1),$A$5:$A$800,"&lt;="&amp;$A239)+IF(AND(YEAR($A239)=YEAR(Settings!$B$3),MONTH($A239)=MONTH(Settings!$B$3)),Settings!$B$14,0))</f>
        <v/>
      </c>
    </row>
    <row r="240">
      <c r="A240" s="67" t="n"/>
      <c r="B240" s="69" t="n"/>
      <c r="C240" s="69" t="n"/>
      <c r="D240" s="69" t="n"/>
      <c r="E240" s="84">
        <f>IF($A240="","",B240+C240+D240)</f>
        <v/>
      </c>
      <c r="F240" s="85">
        <f>IF($A240="","",SUMIFS($E$5:$E$800,$A$5:$A$800,"&gt;="&amp;DATE(YEAR($A240),MONTH($A240),1),$A$5:$A$800,"&lt;="&amp;$A240)+IF(AND(YEAR($A240)=YEAR(Settings!$B$3),MONTH($A240)=MONTH(Settings!$B$3)),Settings!$B$14,0))</f>
        <v/>
      </c>
    </row>
    <row r="241">
      <c r="A241" s="67" t="n"/>
      <c r="B241" s="69" t="n"/>
      <c r="C241" s="69" t="n"/>
      <c r="D241" s="69" t="n"/>
      <c r="E241" s="84">
        <f>IF($A241="","",B241+C241+D241)</f>
        <v/>
      </c>
      <c r="F241" s="85">
        <f>IF($A241="","",SUMIFS($E$5:$E$800,$A$5:$A$800,"&gt;="&amp;DATE(YEAR($A241),MONTH($A241),1),$A$5:$A$800,"&lt;="&amp;$A241)+IF(AND(YEAR($A241)=YEAR(Settings!$B$3),MONTH($A241)=MONTH(Settings!$B$3)),Settings!$B$14,0))</f>
        <v/>
      </c>
    </row>
    <row r="242">
      <c r="A242" s="67" t="n"/>
      <c r="B242" s="69" t="n"/>
      <c r="C242" s="69" t="n"/>
      <c r="D242" s="69" t="n"/>
      <c r="E242" s="84">
        <f>IF($A242="","",B242+C242+D242)</f>
        <v/>
      </c>
      <c r="F242" s="85">
        <f>IF($A242="","",SUMIFS($E$5:$E$800,$A$5:$A$800,"&gt;="&amp;DATE(YEAR($A242),MONTH($A242),1),$A$5:$A$800,"&lt;="&amp;$A242)+IF(AND(YEAR($A242)=YEAR(Settings!$B$3),MONTH($A242)=MONTH(Settings!$B$3)),Settings!$B$14,0))</f>
        <v/>
      </c>
    </row>
    <row r="243">
      <c r="A243" s="67" t="n"/>
      <c r="B243" s="69" t="n"/>
      <c r="C243" s="69" t="n"/>
      <c r="D243" s="69" t="n"/>
      <c r="E243" s="84">
        <f>IF($A243="","",B243+C243+D243)</f>
        <v/>
      </c>
      <c r="F243" s="85">
        <f>IF($A243="","",SUMIFS($E$5:$E$800,$A$5:$A$800,"&gt;="&amp;DATE(YEAR($A243),MONTH($A243),1),$A$5:$A$800,"&lt;="&amp;$A243)+IF(AND(YEAR($A243)=YEAR(Settings!$B$3),MONTH($A243)=MONTH(Settings!$B$3)),Settings!$B$14,0))</f>
        <v/>
      </c>
    </row>
    <row r="244">
      <c r="A244" s="67" t="n"/>
      <c r="B244" s="69" t="n"/>
      <c r="C244" s="69" t="n"/>
      <c r="D244" s="69" t="n"/>
      <c r="E244" s="84">
        <f>IF($A244="","",B244+C244+D244)</f>
        <v/>
      </c>
      <c r="F244" s="85">
        <f>IF($A244="","",SUMIFS($E$5:$E$800,$A$5:$A$800,"&gt;="&amp;DATE(YEAR($A244),MONTH($A244),1),$A$5:$A$800,"&lt;="&amp;$A244)+IF(AND(YEAR($A244)=YEAR(Settings!$B$3),MONTH($A244)=MONTH(Settings!$B$3)),Settings!$B$14,0))</f>
        <v/>
      </c>
    </row>
    <row r="245">
      <c r="A245" s="67" t="n"/>
      <c r="B245" s="69" t="n"/>
      <c r="C245" s="69" t="n"/>
      <c r="D245" s="69" t="n"/>
      <c r="E245" s="84">
        <f>IF($A245="","",B245+C245+D245)</f>
        <v/>
      </c>
      <c r="F245" s="85">
        <f>IF($A245="","",SUMIFS($E$5:$E$800,$A$5:$A$800,"&gt;="&amp;DATE(YEAR($A245),MONTH($A245),1),$A$5:$A$800,"&lt;="&amp;$A245)+IF(AND(YEAR($A245)=YEAR(Settings!$B$3),MONTH($A245)=MONTH(Settings!$B$3)),Settings!$B$14,0))</f>
        <v/>
      </c>
    </row>
    <row r="246">
      <c r="A246" s="67" t="n"/>
      <c r="B246" s="69" t="n"/>
      <c r="C246" s="69" t="n"/>
      <c r="D246" s="69" t="n"/>
      <c r="E246" s="84">
        <f>IF($A246="","",B246+C246+D246)</f>
        <v/>
      </c>
      <c r="F246" s="85">
        <f>IF($A246="","",SUMIFS($E$5:$E$800,$A$5:$A$800,"&gt;="&amp;DATE(YEAR($A246),MONTH($A246),1),$A$5:$A$800,"&lt;="&amp;$A246)+IF(AND(YEAR($A246)=YEAR(Settings!$B$3),MONTH($A246)=MONTH(Settings!$B$3)),Settings!$B$14,0))</f>
        <v/>
      </c>
    </row>
    <row r="247">
      <c r="A247" s="67" t="n"/>
      <c r="B247" s="69" t="n"/>
      <c r="C247" s="69" t="n"/>
      <c r="D247" s="69" t="n"/>
      <c r="E247" s="84">
        <f>IF($A247="","",B247+C247+D247)</f>
        <v/>
      </c>
      <c r="F247" s="85">
        <f>IF($A247="","",SUMIFS($E$5:$E$800,$A$5:$A$800,"&gt;="&amp;DATE(YEAR($A247),MONTH($A247),1),$A$5:$A$800,"&lt;="&amp;$A247)+IF(AND(YEAR($A247)=YEAR(Settings!$B$3),MONTH($A247)=MONTH(Settings!$B$3)),Settings!$B$14,0))</f>
        <v/>
      </c>
    </row>
    <row r="248">
      <c r="A248" s="67" t="n"/>
      <c r="B248" s="69" t="n"/>
      <c r="C248" s="69" t="n"/>
      <c r="D248" s="69" t="n"/>
      <c r="E248" s="84">
        <f>IF($A248="","",B248+C248+D248)</f>
        <v/>
      </c>
      <c r="F248" s="85">
        <f>IF($A248="","",SUMIFS($E$5:$E$800,$A$5:$A$800,"&gt;="&amp;DATE(YEAR($A248),MONTH($A248),1),$A$5:$A$800,"&lt;="&amp;$A248)+IF(AND(YEAR($A248)=YEAR(Settings!$B$3),MONTH($A248)=MONTH(Settings!$B$3)),Settings!$B$14,0))</f>
        <v/>
      </c>
    </row>
    <row r="249">
      <c r="A249" s="67" t="n"/>
      <c r="B249" s="69" t="n"/>
      <c r="C249" s="69" t="n"/>
      <c r="D249" s="69" t="n"/>
      <c r="E249" s="84">
        <f>IF($A249="","",B249+C249+D249)</f>
        <v/>
      </c>
      <c r="F249" s="85">
        <f>IF($A249="","",SUMIFS($E$5:$E$800,$A$5:$A$800,"&gt;="&amp;DATE(YEAR($A249),MONTH($A249),1),$A$5:$A$800,"&lt;="&amp;$A249)+IF(AND(YEAR($A249)=YEAR(Settings!$B$3),MONTH($A249)=MONTH(Settings!$B$3)),Settings!$B$14,0))</f>
        <v/>
      </c>
    </row>
    <row r="250">
      <c r="A250" s="67" t="n"/>
      <c r="B250" s="69" t="n"/>
      <c r="C250" s="69" t="n"/>
      <c r="D250" s="69" t="n"/>
      <c r="E250" s="84">
        <f>IF($A250="","",B250+C250+D250)</f>
        <v/>
      </c>
      <c r="F250" s="85">
        <f>IF($A250="","",SUMIFS($E$5:$E$800,$A$5:$A$800,"&gt;="&amp;DATE(YEAR($A250),MONTH($A250),1),$A$5:$A$800,"&lt;="&amp;$A250)+IF(AND(YEAR($A250)=YEAR(Settings!$B$3),MONTH($A250)=MONTH(Settings!$B$3)),Settings!$B$14,0))</f>
        <v/>
      </c>
    </row>
    <row r="251">
      <c r="A251" s="67" t="n"/>
      <c r="B251" s="69" t="n"/>
      <c r="C251" s="69" t="n"/>
      <c r="D251" s="69" t="n"/>
      <c r="E251" s="84">
        <f>IF($A251="","",B251+C251+D251)</f>
        <v/>
      </c>
      <c r="F251" s="85">
        <f>IF($A251="","",SUMIFS($E$5:$E$800,$A$5:$A$800,"&gt;="&amp;DATE(YEAR($A251),MONTH($A251),1),$A$5:$A$800,"&lt;="&amp;$A251)+IF(AND(YEAR($A251)=YEAR(Settings!$B$3),MONTH($A251)=MONTH(Settings!$B$3)),Settings!$B$14,0))</f>
        <v/>
      </c>
    </row>
    <row r="252">
      <c r="A252" s="67" t="n"/>
      <c r="B252" s="69" t="n"/>
      <c r="C252" s="69" t="n"/>
      <c r="D252" s="69" t="n"/>
      <c r="E252" s="84">
        <f>IF($A252="","",B252+C252+D252)</f>
        <v/>
      </c>
      <c r="F252" s="85">
        <f>IF($A252="","",SUMIFS($E$5:$E$800,$A$5:$A$800,"&gt;="&amp;DATE(YEAR($A252),MONTH($A252),1),$A$5:$A$800,"&lt;="&amp;$A252)+IF(AND(YEAR($A252)=YEAR(Settings!$B$3),MONTH($A252)=MONTH(Settings!$B$3)),Settings!$B$14,0))</f>
        <v/>
      </c>
    </row>
    <row r="253">
      <c r="A253" s="67" t="n"/>
      <c r="B253" s="69" t="n"/>
      <c r="C253" s="69" t="n"/>
      <c r="D253" s="69" t="n"/>
      <c r="E253" s="84">
        <f>IF($A253="","",B253+C253+D253)</f>
        <v/>
      </c>
      <c r="F253" s="85">
        <f>IF($A253="","",SUMIFS($E$5:$E$800,$A$5:$A$800,"&gt;="&amp;DATE(YEAR($A253),MONTH($A253),1),$A$5:$A$800,"&lt;="&amp;$A253)+IF(AND(YEAR($A253)=YEAR(Settings!$B$3),MONTH($A253)=MONTH(Settings!$B$3)),Settings!$B$14,0))</f>
        <v/>
      </c>
    </row>
    <row r="254">
      <c r="A254" s="67" t="n"/>
      <c r="B254" s="69" t="n"/>
      <c r="C254" s="69" t="n"/>
      <c r="D254" s="69" t="n"/>
      <c r="E254" s="84">
        <f>IF($A254="","",B254+C254+D254)</f>
        <v/>
      </c>
      <c r="F254" s="85">
        <f>IF($A254="","",SUMIFS($E$5:$E$800,$A$5:$A$800,"&gt;="&amp;DATE(YEAR($A254),MONTH($A254),1),$A$5:$A$800,"&lt;="&amp;$A254)+IF(AND(YEAR($A254)=YEAR(Settings!$B$3),MONTH($A254)=MONTH(Settings!$B$3)),Settings!$B$14,0))</f>
        <v/>
      </c>
    </row>
    <row r="255">
      <c r="A255" s="67" t="n"/>
      <c r="B255" s="69" t="n"/>
      <c r="C255" s="69" t="n"/>
      <c r="D255" s="69" t="n"/>
      <c r="E255" s="84">
        <f>IF($A255="","",B255+C255+D255)</f>
        <v/>
      </c>
      <c r="F255" s="85">
        <f>IF($A255="","",SUMIFS($E$5:$E$800,$A$5:$A$800,"&gt;="&amp;DATE(YEAR($A255),MONTH($A255),1),$A$5:$A$800,"&lt;="&amp;$A255)+IF(AND(YEAR($A255)=YEAR(Settings!$B$3),MONTH($A255)=MONTH(Settings!$B$3)),Settings!$B$14,0))</f>
        <v/>
      </c>
    </row>
    <row r="256">
      <c r="A256" s="67" t="n"/>
      <c r="B256" s="69" t="n"/>
      <c r="C256" s="69" t="n"/>
      <c r="D256" s="69" t="n"/>
      <c r="E256" s="84">
        <f>IF($A256="","",B256+C256+D256)</f>
        <v/>
      </c>
      <c r="F256" s="85">
        <f>IF($A256="","",SUMIFS($E$5:$E$800,$A$5:$A$800,"&gt;="&amp;DATE(YEAR($A256),MONTH($A256),1),$A$5:$A$800,"&lt;="&amp;$A256)+IF(AND(YEAR($A256)=YEAR(Settings!$B$3),MONTH($A256)=MONTH(Settings!$B$3)),Settings!$B$14,0))</f>
        <v/>
      </c>
    </row>
    <row r="257">
      <c r="A257" s="67" t="n"/>
      <c r="B257" s="69" t="n"/>
      <c r="C257" s="69" t="n"/>
      <c r="D257" s="69" t="n"/>
      <c r="E257" s="84">
        <f>IF($A257="","",B257+C257+D257)</f>
        <v/>
      </c>
      <c r="F257" s="85">
        <f>IF($A257="","",SUMIFS($E$5:$E$800,$A$5:$A$800,"&gt;="&amp;DATE(YEAR($A257),MONTH($A257),1),$A$5:$A$800,"&lt;="&amp;$A257)+IF(AND(YEAR($A257)=YEAR(Settings!$B$3),MONTH($A257)=MONTH(Settings!$B$3)),Settings!$B$14,0))</f>
        <v/>
      </c>
    </row>
    <row r="258">
      <c r="A258" s="67" t="n"/>
      <c r="B258" s="69" t="n"/>
      <c r="C258" s="69" t="n"/>
      <c r="D258" s="69" t="n"/>
      <c r="E258" s="84">
        <f>IF($A258="","",B258+C258+D258)</f>
        <v/>
      </c>
      <c r="F258" s="85">
        <f>IF($A258="","",SUMIFS($E$5:$E$800,$A$5:$A$800,"&gt;="&amp;DATE(YEAR($A258),MONTH($A258),1),$A$5:$A$800,"&lt;="&amp;$A258)+IF(AND(YEAR($A258)=YEAR(Settings!$B$3),MONTH($A258)=MONTH(Settings!$B$3)),Settings!$B$14,0))</f>
        <v/>
      </c>
    </row>
    <row r="259">
      <c r="A259" s="67" t="n"/>
      <c r="B259" s="69" t="n"/>
      <c r="C259" s="69" t="n"/>
      <c r="D259" s="69" t="n"/>
      <c r="E259" s="84">
        <f>IF($A259="","",B259+C259+D259)</f>
        <v/>
      </c>
      <c r="F259" s="85">
        <f>IF($A259="","",SUMIFS($E$5:$E$800,$A$5:$A$800,"&gt;="&amp;DATE(YEAR($A259),MONTH($A259),1),$A$5:$A$800,"&lt;="&amp;$A259)+IF(AND(YEAR($A259)=YEAR(Settings!$B$3),MONTH($A259)=MONTH(Settings!$B$3)),Settings!$B$14,0))</f>
        <v/>
      </c>
    </row>
    <row r="260">
      <c r="A260" s="67" t="n"/>
      <c r="B260" s="69" t="n"/>
      <c r="C260" s="69" t="n"/>
      <c r="D260" s="69" t="n"/>
      <c r="E260" s="84">
        <f>IF($A260="","",B260+C260+D260)</f>
        <v/>
      </c>
      <c r="F260" s="85">
        <f>IF($A260="","",SUMIFS($E$5:$E$800,$A$5:$A$800,"&gt;="&amp;DATE(YEAR($A260),MONTH($A260),1),$A$5:$A$800,"&lt;="&amp;$A260)+IF(AND(YEAR($A260)=YEAR(Settings!$B$3),MONTH($A260)=MONTH(Settings!$B$3)),Settings!$B$14,0))</f>
        <v/>
      </c>
    </row>
    <row r="261">
      <c r="A261" s="67" t="n"/>
      <c r="B261" s="69" t="n"/>
      <c r="C261" s="69" t="n"/>
      <c r="D261" s="69" t="n"/>
      <c r="E261" s="84">
        <f>IF($A261="","",B261+C261+D261)</f>
        <v/>
      </c>
      <c r="F261" s="85">
        <f>IF($A261="","",SUMIFS($E$5:$E$800,$A$5:$A$800,"&gt;="&amp;DATE(YEAR($A261),MONTH($A261),1),$A$5:$A$800,"&lt;="&amp;$A261)+IF(AND(YEAR($A261)=YEAR(Settings!$B$3),MONTH($A261)=MONTH(Settings!$B$3)),Settings!$B$14,0))</f>
        <v/>
      </c>
    </row>
    <row r="262">
      <c r="A262" s="67" t="n"/>
      <c r="B262" s="69" t="n"/>
      <c r="C262" s="69" t="n"/>
      <c r="D262" s="69" t="n"/>
      <c r="E262" s="84">
        <f>IF($A262="","",B262+C262+D262)</f>
        <v/>
      </c>
      <c r="F262" s="85">
        <f>IF($A262="","",SUMIFS($E$5:$E$800,$A$5:$A$800,"&gt;="&amp;DATE(YEAR($A262),MONTH($A262),1),$A$5:$A$800,"&lt;="&amp;$A262)+IF(AND(YEAR($A262)=YEAR(Settings!$B$3),MONTH($A262)=MONTH(Settings!$B$3)),Settings!$B$14,0))</f>
        <v/>
      </c>
    </row>
    <row r="263">
      <c r="A263" s="67" t="n"/>
      <c r="B263" s="69" t="n"/>
      <c r="C263" s="69" t="n"/>
      <c r="D263" s="69" t="n"/>
      <c r="E263" s="84">
        <f>IF($A263="","",B263+C263+D263)</f>
        <v/>
      </c>
      <c r="F263" s="85">
        <f>IF($A263="","",SUMIFS($E$5:$E$800,$A$5:$A$800,"&gt;="&amp;DATE(YEAR($A263),MONTH($A263),1),$A$5:$A$800,"&lt;="&amp;$A263)+IF(AND(YEAR($A263)=YEAR(Settings!$B$3),MONTH($A263)=MONTH(Settings!$B$3)),Settings!$B$14,0))</f>
        <v/>
      </c>
    </row>
    <row r="264">
      <c r="A264" s="67" t="n"/>
      <c r="B264" s="69" t="n"/>
      <c r="C264" s="69" t="n"/>
      <c r="D264" s="69" t="n"/>
      <c r="E264" s="84">
        <f>IF($A264="","",B264+C264+D264)</f>
        <v/>
      </c>
      <c r="F264" s="85">
        <f>IF($A264="","",SUMIFS($E$5:$E$800,$A$5:$A$800,"&gt;="&amp;DATE(YEAR($A264),MONTH($A264),1),$A$5:$A$800,"&lt;="&amp;$A264)+IF(AND(YEAR($A264)=YEAR(Settings!$B$3),MONTH($A264)=MONTH(Settings!$B$3)),Settings!$B$14,0))</f>
        <v/>
      </c>
    </row>
    <row r="265">
      <c r="A265" s="67" t="n"/>
      <c r="B265" s="69" t="n"/>
      <c r="C265" s="69" t="n"/>
      <c r="D265" s="69" t="n"/>
      <c r="E265" s="84">
        <f>IF($A265="","",B265+C265+D265)</f>
        <v/>
      </c>
      <c r="F265" s="85">
        <f>IF($A265="","",SUMIFS($E$5:$E$800,$A$5:$A$800,"&gt;="&amp;DATE(YEAR($A265),MONTH($A265),1),$A$5:$A$800,"&lt;="&amp;$A265)+IF(AND(YEAR($A265)=YEAR(Settings!$B$3),MONTH($A265)=MONTH(Settings!$B$3)),Settings!$B$14,0))</f>
        <v/>
      </c>
    </row>
    <row r="266">
      <c r="A266" s="67" t="n"/>
      <c r="B266" s="69" t="n"/>
      <c r="C266" s="69" t="n"/>
      <c r="D266" s="69" t="n"/>
      <c r="E266" s="84">
        <f>IF($A266="","",B266+C266+D266)</f>
        <v/>
      </c>
      <c r="F266" s="85">
        <f>IF($A266="","",SUMIFS($E$5:$E$800,$A$5:$A$800,"&gt;="&amp;DATE(YEAR($A266),MONTH($A266),1),$A$5:$A$800,"&lt;="&amp;$A266)+IF(AND(YEAR($A266)=YEAR(Settings!$B$3),MONTH($A266)=MONTH(Settings!$B$3)),Settings!$B$14,0))</f>
        <v/>
      </c>
    </row>
    <row r="267">
      <c r="A267" s="67" t="n"/>
      <c r="B267" s="69" t="n"/>
      <c r="C267" s="69" t="n"/>
      <c r="D267" s="69" t="n"/>
      <c r="E267" s="84">
        <f>IF($A267="","",B267+C267+D267)</f>
        <v/>
      </c>
      <c r="F267" s="85">
        <f>IF($A267="","",SUMIFS($E$5:$E$800,$A$5:$A$800,"&gt;="&amp;DATE(YEAR($A267),MONTH($A267),1),$A$5:$A$800,"&lt;="&amp;$A267)+IF(AND(YEAR($A267)=YEAR(Settings!$B$3),MONTH($A267)=MONTH(Settings!$B$3)),Settings!$B$14,0))</f>
        <v/>
      </c>
    </row>
    <row r="268">
      <c r="A268" s="67" t="n"/>
      <c r="B268" s="69" t="n"/>
      <c r="C268" s="69" t="n"/>
      <c r="D268" s="69" t="n"/>
      <c r="E268" s="84">
        <f>IF($A268="","",B268+C268+D268)</f>
        <v/>
      </c>
      <c r="F268" s="85">
        <f>IF($A268="","",SUMIFS($E$5:$E$800,$A$5:$A$800,"&gt;="&amp;DATE(YEAR($A268),MONTH($A268),1),$A$5:$A$800,"&lt;="&amp;$A268)+IF(AND(YEAR($A268)=YEAR(Settings!$B$3),MONTH($A268)=MONTH(Settings!$B$3)),Settings!$B$14,0))</f>
        <v/>
      </c>
    </row>
    <row r="269">
      <c r="A269" s="67" t="n"/>
      <c r="B269" s="69" t="n"/>
      <c r="C269" s="69" t="n"/>
      <c r="D269" s="69" t="n"/>
      <c r="E269" s="84">
        <f>IF($A269="","",B269+C269+D269)</f>
        <v/>
      </c>
      <c r="F269" s="85">
        <f>IF($A269="","",SUMIFS($E$5:$E$800,$A$5:$A$800,"&gt;="&amp;DATE(YEAR($A269),MONTH($A269),1),$A$5:$A$800,"&lt;="&amp;$A269)+IF(AND(YEAR($A269)=YEAR(Settings!$B$3),MONTH($A269)=MONTH(Settings!$B$3)),Settings!$B$14,0))</f>
        <v/>
      </c>
    </row>
    <row r="270">
      <c r="A270" s="67" t="n"/>
      <c r="B270" s="69" t="n"/>
      <c r="C270" s="69" t="n"/>
      <c r="D270" s="69" t="n"/>
      <c r="E270" s="84">
        <f>IF($A270="","",B270+C270+D270)</f>
        <v/>
      </c>
      <c r="F270" s="85">
        <f>IF($A270="","",SUMIFS($E$5:$E$800,$A$5:$A$800,"&gt;="&amp;DATE(YEAR($A270),MONTH($A270),1),$A$5:$A$800,"&lt;="&amp;$A270)+IF(AND(YEAR($A270)=YEAR(Settings!$B$3),MONTH($A270)=MONTH(Settings!$B$3)),Settings!$B$14,0))</f>
        <v/>
      </c>
    </row>
    <row r="271">
      <c r="A271" s="67" t="n"/>
      <c r="B271" s="69" t="n"/>
      <c r="C271" s="69" t="n"/>
      <c r="D271" s="69" t="n"/>
      <c r="E271" s="84">
        <f>IF($A271="","",B271+C271+D271)</f>
        <v/>
      </c>
      <c r="F271" s="85">
        <f>IF($A271="","",SUMIFS($E$5:$E$800,$A$5:$A$800,"&gt;="&amp;DATE(YEAR($A271),MONTH($A271),1),$A$5:$A$800,"&lt;="&amp;$A271)+IF(AND(YEAR($A271)=YEAR(Settings!$B$3),MONTH($A271)=MONTH(Settings!$B$3)),Settings!$B$14,0))</f>
        <v/>
      </c>
    </row>
    <row r="272">
      <c r="A272" s="67" t="n"/>
      <c r="B272" s="69" t="n"/>
      <c r="C272" s="69" t="n"/>
      <c r="D272" s="69" t="n"/>
      <c r="E272" s="84">
        <f>IF($A272="","",B272+C272+D272)</f>
        <v/>
      </c>
      <c r="F272" s="85">
        <f>IF($A272="","",SUMIFS($E$5:$E$800,$A$5:$A$800,"&gt;="&amp;DATE(YEAR($A272),MONTH($A272),1),$A$5:$A$800,"&lt;="&amp;$A272)+IF(AND(YEAR($A272)=YEAR(Settings!$B$3),MONTH($A272)=MONTH(Settings!$B$3)),Settings!$B$14,0))</f>
        <v/>
      </c>
    </row>
    <row r="273">
      <c r="A273" s="67" t="n"/>
      <c r="B273" s="69" t="n"/>
      <c r="C273" s="69" t="n"/>
      <c r="D273" s="69" t="n"/>
      <c r="E273" s="84">
        <f>IF($A273="","",B273+C273+D273)</f>
        <v/>
      </c>
      <c r="F273" s="85">
        <f>IF($A273="","",SUMIFS($E$5:$E$800,$A$5:$A$800,"&gt;="&amp;DATE(YEAR($A273),MONTH($A273),1),$A$5:$A$800,"&lt;="&amp;$A273)+IF(AND(YEAR($A273)=YEAR(Settings!$B$3),MONTH($A273)=MONTH(Settings!$B$3)),Settings!$B$14,0))</f>
        <v/>
      </c>
    </row>
    <row r="274">
      <c r="A274" s="67" t="n"/>
      <c r="B274" s="69" t="n"/>
      <c r="C274" s="69" t="n"/>
      <c r="D274" s="69" t="n"/>
      <c r="E274" s="84">
        <f>IF($A274="","",B274+C274+D274)</f>
        <v/>
      </c>
      <c r="F274" s="85">
        <f>IF($A274="","",SUMIFS($E$5:$E$800,$A$5:$A$800,"&gt;="&amp;DATE(YEAR($A274),MONTH($A274),1),$A$5:$A$800,"&lt;="&amp;$A274)+IF(AND(YEAR($A274)=YEAR(Settings!$B$3),MONTH($A274)=MONTH(Settings!$B$3)),Settings!$B$14,0))</f>
        <v/>
      </c>
    </row>
    <row r="275">
      <c r="A275" s="67" t="n"/>
      <c r="B275" s="69" t="n"/>
      <c r="C275" s="69" t="n"/>
      <c r="D275" s="69" t="n"/>
      <c r="E275" s="84">
        <f>IF($A275="","",B275+C275+D275)</f>
        <v/>
      </c>
      <c r="F275" s="85">
        <f>IF($A275="","",SUMIFS($E$5:$E$800,$A$5:$A$800,"&gt;="&amp;DATE(YEAR($A275),MONTH($A275),1),$A$5:$A$800,"&lt;="&amp;$A275)+IF(AND(YEAR($A275)=YEAR(Settings!$B$3),MONTH($A275)=MONTH(Settings!$B$3)),Settings!$B$14,0))</f>
        <v/>
      </c>
    </row>
    <row r="276">
      <c r="A276" s="67" t="n"/>
      <c r="B276" s="69" t="n"/>
      <c r="C276" s="69" t="n"/>
      <c r="D276" s="69" t="n"/>
      <c r="E276" s="84">
        <f>IF($A276="","",B276+C276+D276)</f>
        <v/>
      </c>
      <c r="F276" s="85">
        <f>IF($A276="","",SUMIFS($E$5:$E$800,$A$5:$A$800,"&gt;="&amp;DATE(YEAR($A276),MONTH($A276),1),$A$5:$A$800,"&lt;="&amp;$A276)+IF(AND(YEAR($A276)=YEAR(Settings!$B$3),MONTH($A276)=MONTH(Settings!$B$3)),Settings!$B$14,0))</f>
        <v/>
      </c>
    </row>
    <row r="277">
      <c r="A277" s="67" t="n"/>
      <c r="B277" s="69" t="n"/>
      <c r="C277" s="69" t="n"/>
      <c r="D277" s="69" t="n"/>
      <c r="E277" s="84">
        <f>IF($A277="","",B277+C277+D277)</f>
        <v/>
      </c>
      <c r="F277" s="85">
        <f>IF($A277="","",SUMIFS($E$5:$E$800,$A$5:$A$800,"&gt;="&amp;DATE(YEAR($A277),MONTH($A277),1),$A$5:$A$800,"&lt;="&amp;$A277)+IF(AND(YEAR($A277)=YEAR(Settings!$B$3),MONTH($A277)=MONTH(Settings!$B$3)),Settings!$B$14,0))</f>
        <v/>
      </c>
    </row>
    <row r="278">
      <c r="A278" s="67" t="n"/>
      <c r="B278" s="69" t="n"/>
      <c r="C278" s="69" t="n"/>
      <c r="D278" s="69" t="n"/>
      <c r="E278" s="84">
        <f>IF($A278="","",B278+C278+D278)</f>
        <v/>
      </c>
      <c r="F278" s="85">
        <f>IF($A278="","",SUMIFS($E$5:$E$800,$A$5:$A$800,"&gt;="&amp;DATE(YEAR($A278),MONTH($A278),1),$A$5:$A$800,"&lt;="&amp;$A278)+IF(AND(YEAR($A278)=YEAR(Settings!$B$3),MONTH($A278)=MONTH(Settings!$B$3)),Settings!$B$14,0))</f>
        <v/>
      </c>
    </row>
    <row r="279">
      <c r="A279" s="67" t="n"/>
      <c r="B279" s="69" t="n"/>
      <c r="C279" s="69" t="n"/>
      <c r="D279" s="69" t="n"/>
      <c r="E279" s="84">
        <f>IF($A279="","",B279+C279+D279)</f>
        <v/>
      </c>
      <c r="F279" s="85">
        <f>IF($A279="","",SUMIFS($E$5:$E$800,$A$5:$A$800,"&gt;="&amp;DATE(YEAR($A279),MONTH($A279),1),$A$5:$A$800,"&lt;="&amp;$A279)+IF(AND(YEAR($A279)=YEAR(Settings!$B$3),MONTH($A279)=MONTH(Settings!$B$3)),Settings!$B$14,0))</f>
        <v/>
      </c>
    </row>
    <row r="280">
      <c r="A280" s="67" t="n"/>
      <c r="B280" s="69" t="n"/>
      <c r="C280" s="69" t="n"/>
      <c r="D280" s="69" t="n"/>
      <c r="E280" s="84">
        <f>IF($A280="","",B280+C280+D280)</f>
        <v/>
      </c>
      <c r="F280" s="85">
        <f>IF($A280="","",SUMIFS($E$5:$E$800,$A$5:$A$800,"&gt;="&amp;DATE(YEAR($A280),MONTH($A280),1),$A$5:$A$800,"&lt;="&amp;$A280)+IF(AND(YEAR($A280)=YEAR(Settings!$B$3),MONTH($A280)=MONTH(Settings!$B$3)),Settings!$B$14,0))</f>
        <v/>
      </c>
    </row>
    <row r="281">
      <c r="A281" s="67" t="n"/>
      <c r="B281" s="69" t="n"/>
      <c r="C281" s="69" t="n"/>
      <c r="D281" s="69" t="n"/>
      <c r="E281" s="84">
        <f>IF($A281="","",B281+C281+D281)</f>
        <v/>
      </c>
      <c r="F281" s="85">
        <f>IF($A281="","",SUMIFS($E$5:$E$800,$A$5:$A$800,"&gt;="&amp;DATE(YEAR($A281),MONTH($A281),1),$A$5:$A$800,"&lt;="&amp;$A281)+IF(AND(YEAR($A281)=YEAR(Settings!$B$3),MONTH($A281)=MONTH(Settings!$B$3)),Settings!$B$14,0))</f>
        <v/>
      </c>
    </row>
    <row r="282">
      <c r="A282" s="67" t="n"/>
      <c r="B282" s="69" t="n"/>
      <c r="C282" s="69" t="n"/>
      <c r="D282" s="69" t="n"/>
      <c r="E282" s="84">
        <f>IF($A282="","",B282+C282+D282)</f>
        <v/>
      </c>
      <c r="F282" s="85">
        <f>IF($A282="","",SUMIFS($E$5:$E$800,$A$5:$A$800,"&gt;="&amp;DATE(YEAR($A282),MONTH($A282),1),$A$5:$A$800,"&lt;="&amp;$A282)+IF(AND(YEAR($A282)=YEAR(Settings!$B$3),MONTH($A282)=MONTH(Settings!$B$3)),Settings!$B$14,0))</f>
        <v/>
      </c>
    </row>
    <row r="283">
      <c r="A283" s="67" t="n"/>
      <c r="B283" s="69" t="n"/>
      <c r="C283" s="69" t="n"/>
      <c r="D283" s="69" t="n"/>
      <c r="E283" s="84">
        <f>IF($A283="","",B283+C283+D283)</f>
        <v/>
      </c>
      <c r="F283" s="85">
        <f>IF($A283="","",SUMIFS($E$5:$E$800,$A$5:$A$800,"&gt;="&amp;DATE(YEAR($A283),MONTH($A283),1),$A$5:$A$800,"&lt;="&amp;$A283)+IF(AND(YEAR($A283)=YEAR(Settings!$B$3),MONTH($A283)=MONTH(Settings!$B$3)),Settings!$B$14,0))</f>
        <v/>
      </c>
    </row>
    <row r="284">
      <c r="A284" s="67" t="n"/>
      <c r="B284" s="69" t="n"/>
      <c r="C284" s="69" t="n"/>
      <c r="D284" s="69" t="n"/>
      <c r="E284" s="84">
        <f>IF($A284="","",B284+C284+D284)</f>
        <v/>
      </c>
      <c r="F284" s="85">
        <f>IF($A284="","",SUMIFS($E$5:$E$800,$A$5:$A$800,"&gt;="&amp;DATE(YEAR($A284),MONTH($A284),1),$A$5:$A$800,"&lt;="&amp;$A284)+IF(AND(YEAR($A284)=YEAR(Settings!$B$3),MONTH($A284)=MONTH(Settings!$B$3)),Settings!$B$14,0))</f>
        <v/>
      </c>
    </row>
    <row r="285">
      <c r="A285" s="67" t="n"/>
      <c r="B285" s="69" t="n"/>
      <c r="C285" s="69" t="n"/>
      <c r="D285" s="69" t="n"/>
      <c r="E285" s="84">
        <f>IF($A285="","",B285+C285+D285)</f>
        <v/>
      </c>
      <c r="F285" s="85">
        <f>IF($A285="","",SUMIFS($E$5:$E$800,$A$5:$A$800,"&gt;="&amp;DATE(YEAR($A285),MONTH($A285),1),$A$5:$A$800,"&lt;="&amp;$A285)+IF(AND(YEAR($A285)=YEAR(Settings!$B$3),MONTH($A285)=MONTH(Settings!$B$3)),Settings!$B$14,0))</f>
        <v/>
      </c>
    </row>
    <row r="286">
      <c r="A286" s="67" t="n"/>
      <c r="B286" s="69" t="n"/>
      <c r="C286" s="69" t="n"/>
      <c r="D286" s="69" t="n"/>
      <c r="E286" s="84">
        <f>IF($A286="","",B286+C286+D286)</f>
        <v/>
      </c>
      <c r="F286" s="85">
        <f>IF($A286="","",SUMIFS($E$5:$E$800,$A$5:$A$800,"&gt;="&amp;DATE(YEAR($A286),MONTH($A286),1),$A$5:$A$800,"&lt;="&amp;$A286)+IF(AND(YEAR($A286)=YEAR(Settings!$B$3),MONTH($A286)=MONTH(Settings!$B$3)),Settings!$B$14,0))</f>
        <v/>
      </c>
    </row>
    <row r="287">
      <c r="A287" s="67" t="n"/>
      <c r="B287" s="69" t="n"/>
      <c r="C287" s="69" t="n"/>
      <c r="D287" s="69" t="n"/>
      <c r="E287" s="84">
        <f>IF($A287="","",B287+C287+D287)</f>
        <v/>
      </c>
      <c r="F287" s="85">
        <f>IF($A287="","",SUMIFS($E$5:$E$800,$A$5:$A$800,"&gt;="&amp;DATE(YEAR($A287),MONTH($A287),1),$A$5:$A$800,"&lt;="&amp;$A287)+IF(AND(YEAR($A287)=YEAR(Settings!$B$3),MONTH($A287)=MONTH(Settings!$B$3)),Settings!$B$14,0))</f>
        <v/>
      </c>
    </row>
    <row r="288">
      <c r="A288" s="67" t="n"/>
      <c r="B288" s="69" t="n"/>
      <c r="C288" s="69" t="n"/>
      <c r="D288" s="69" t="n"/>
      <c r="E288" s="84">
        <f>IF($A288="","",B288+C288+D288)</f>
        <v/>
      </c>
      <c r="F288" s="85">
        <f>IF($A288="","",SUMIFS($E$5:$E$800,$A$5:$A$800,"&gt;="&amp;DATE(YEAR($A288),MONTH($A288),1),$A$5:$A$800,"&lt;="&amp;$A288)+IF(AND(YEAR($A288)=YEAR(Settings!$B$3),MONTH($A288)=MONTH(Settings!$B$3)),Settings!$B$14,0))</f>
        <v/>
      </c>
    </row>
    <row r="289">
      <c r="A289" s="67" t="n"/>
      <c r="B289" s="69" t="n"/>
      <c r="C289" s="69" t="n"/>
      <c r="D289" s="69" t="n"/>
      <c r="E289" s="84">
        <f>IF($A289="","",B289+C289+D289)</f>
        <v/>
      </c>
      <c r="F289" s="85">
        <f>IF($A289="","",SUMIFS($E$5:$E$800,$A$5:$A$800,"&gt;="&amp;DATE(YEAR($A289),MONTH($A289),1),$A$5:$A$800,"&lt;="&amp;$A289)+IF(AND(YEAR($A289)=YEAR(Settings!$B$3),MONTH($A289)=MONTH(Settings!$B$3)),Settings!$B$14,0))</f>
        <v/>
      </c>
    </row>
    <row r="290">
      <c r="A290" s="67" t="n"/>
      <c r="B290" s="69" t="n"/>
      <c r="C290" s="69" t="n"/>
      <c r="D290" s="69" t="n"/>
      <c r="E290" s="84">
        <f>IF($A290="","",B290+C290+D290)</f>
        <v/>
      </c>
      <c r="F290" s="85">
        <f>IF($A290="","",SUMIFS($E$5:$E$800,$A$5:$A$800,"&gt;="&amp;DATE(YEAR($A290),MONTH($A290),1),$A$5:$A$800,"&lt;="&amp;$A290)+IF(AND(YEAR($A290)=YEAR(Settings!$B$3),MONTH($A290)=MONTH(Settings!$B$3)),Settings!$B$14,0))</f>
        <v/>
      </c>
    </row>
    <row r="291">
      <c r="A291" s="67" t="n"/>
      <c r="B291" s="69" t="n"/>
      <c r="C291" s="69" t="n"/>
      <c r="D291" s="69" t="n"/>
      <c r="E291" s="84">
        <f>IF($A291="","",B291+C291+D291)</f>
        <v/>
      </c>
      <c r="F291" s="85">
        <f>IF($A291="","",SUMIFS($E$5:$E$800,$A$5:$A$800,"&gt;="&amp;DATE(YEAR($A291),MONTH($A291),1),$A$5:$A$800,"&lt;="&amp;$A291)+IF(AND(YEAR($A291)=YEAR(Settings!$B$3),MONTH($A291)=MONTH(Settings!$B$3)),Settings!$B$14,0))</f>
        <v/>
      </c>
    </row>
    <row r="292">
      <c r="A292" s="67" t="n"/>
      <c r="B292" s="69" t="n"/>
      <c r="C292" s="69" t="n"/>
      <c r="D292" s="69" t="n"/>
      <c r="E292" s="84">
        <f>IF($A292="","",B292+C292+D292)</f>
        <v/>
      </c>
      <c r="F292" s="85">
        <f>IF($A292="","",SUMIFS($E$5:$E$800,$A$5:$A$800,"&gt;="&amp;DATE(YEAR($A292),MONTH($A292),1),$A$5:$A$800,"&lt;="&amp;$A292)+IF(AND(YEAR($A292)=YEAR(Settings!$B$3),MONTH($A292)=MONTH(Settings!$B$3)),Settings!$B$14,0))</f>
        <v/>
      </c>
    </row>
    <row r="293">
      <c r="A293" s="67" t="n"/>
      <c r="B293" s="69" t="n"/>
      <c r="C293" s="69" t="n"/>
      <c r="D293" s="69" t="n"/>
      <c r="E293" s="84">
        <f>IF($A293="","",B293+C293+D293)</f>
        <v/>
      </c>
      <c r="F293" s="85">
        <f>IF($A293="","",SUMIFS($E$5:$E$800,$A$5:$A$800,"&gt;="&amp;DATE(YEAR($A293),MONTH($A293),1),$A$5:$A$800,"&lt;="&amp;$A293)+IF(AND(YEAR($A293)=YEAR(Settings!$B$3),MONTH($A293)=MONTH(Settings!$B$3)),Settings!$B$14,0))</f>
        <v/>
      </c>
    </row>
    <row r="294">
      <c r="A294" s="67" t="n"/>
      <c r="B294" s="69" t="n"/>
      <c r="C294" s="69" t="n"/>
      <c r="D294" s="69" t="n"/>
      <c r="E294" s="84">
        <f>IF($A294="","",B294+C294+D294)</f>
        <v/>
      </c>
      <c r="F294" s="85">
        <f>IF($A294="","",SUMIFS($E$5:$E$800,$A$5:$A$800,"&gt;="&amp;DATE(YEAR($A294),MONTH($A294),1),$A$5:$A$800,"&lt;="&amp;$A294)+IF(AND(YEAR($A294)=YEAR(Settings!$B$3),MONTH($A294)=MONTH(Settings!$B$3)),Settings!$B$14,0))</f>
        <v/>
      </c>
    </row>
    <row r="295">
      <c r="A295" s="67" t="n"/>
      <c r="B295" s="69" t="n"/>
      <c r="C295" s="69" t="n"/>
      <c r="D295" s="69" t="n"/>
      <c r="E295" s="84">
        <f>IF($A295="","",B295+C295+D295)</f>
        <v/>
      </c>
      <c r="F295" s="85">
        <f>IF($A295="","",SUMIFS($E$5:$E$800,$A$5:$A$800,"&gt;="&amp;DATE(YEAR($A295),MONTH($A295),1),$A$5:$A$800,"&lt;="&amp;$A295)+IF(AND(YEAR($A295)=YEAR(Settings!$B$3),MONTH($A295)=MONTH(Settings!$B$3)),Settings!$B$14,0))</f>
        <v/>
      </c>
    </row>
    <row r="296">
      <c r="A296" s="67" t="n"/>
      <c r="B296" s="69" t="n"/>
      <c r="C296" s="69" t="n"/>
      <c r="D296" s="69" t="n"/>
      <c r="E296" s="84">
        <f>IF($A296="","",B296+C296+D296)</f>
        <v/>
      </c>
      <c r="F296" s="85">
        <f>IF($A296="","",SUMIFS($E$5:$E$800,$A$5:$A$800,"&gt;="&amp;DATE(YEAR($A296),MONTH($A296),1),$A$5:$A$800,"&lt;="&amp;$A296)+IF(AND(YEAR($A296)=YEAR(Settings!$B$3),MONTH($A296)=MONTH(Settings!$B$3)),Settings!$B$14,0))</f>
        <v/>
      </c>
    </row>
    <row r="297">
      <c r="A297" s="67" t="n"/>
      <c r="B297" s="69" t="n"/>
      <c r="C297" s="69" t="n"/>
      <c r="D297" s="69" t="n"/>
      <c r="E297" s="84">
        <f>IF($A297="","",B297+C297+D297)</f>
        <v/>
      </c>
      <c r="F297" s="85">
        <f>IF($A297="","",SUMIFS($E$5:$E$800,$A$5:$A$800,"&gt;="&amp;DATE(YEAR($A297),MONTH($A297),1),$A$5:$A$800,"&lt;="&amp;$A297)+IF(AND(YEAR($A297)=YEAR(Settings!$B$3),MONTH($A297)=MONTH(Settings!$B$3)),Settings!$B$14,0))</f>
        <v/>
      </c>
    </row>
    <row r="298">
      <c r="A298" s="67" t="n"/>
      <c r="B298" s="69" t="n"/>
      <c r="C298" s="69" t="n"/>
      <c r="D298" s="69" t="n"/>
      <c r="E298" s="84">
        <f>IF($A298="","",B298+C298+D298)</f>
        <v/>
      </c>
      <c r="F298" s="85">
        <f>IF($A298="","",SUMIFS($E$5:$E$800,$A$5:$A$800,"&gt;="&amp;DATE(YEAR($A298),MONTH($A298),1),$A$5:$A$800,"&lt;="&amp;$A298)+IF(AND(YEAR($A298)=YEAR(Settings!$B$3),MONTH($A298)=MONTH(Settings!$B$3)),Settings!$B$14,0))</f>
        <v/>
      </c>
    </row>
    <row r="299">
      <c r="A299" s="67" t="n"/>
      <c r="B299" s="69" t="n"/>
      <c r="C299" s="69" t="n"/>
      <c r="D299" s="69" t="n"/>
      <c r="E299" s="84">
        <f>IF($A299="","",B299+C299+D299)</f>
        <v/>
      </c>
      <c r="F299" s="85">
        <f>IF($A299="","",SUMIFS($E$5:$E$800,$A$5:$A$800,"&gt;="&amp;DATE(YEAR($A299),MONTH($A299),1),$A$5:$A$800,"&lt;="&amp;$A299)+IF(AND(YEAR($A299)=YEAR(Settings!$B$3),MONTH($A299)=MONTH(Settings!$B$3)),Settings!$B$14,0))</f>
        <v/>
      </c>
    </row>
    <row r="300">
      <c r="A300" s="67" t="n"/>
      <c r="B300" s="69" t="n"/>
      <c r="C300" s="69" t="n"/>
      <c r="D300" s="69" t="n"/>
      <c r="E300" s="84">
        <f>IF($A300="","",B300+C300+D300)</f>
        <v/>
      </c>
      <c r="F300" s="85">
        <f>IF($A300="","",SUMIFS($E$5:$E$800,$A$5:$A$800,"&gt;="&amp;DATE(YEAR($A300),MONTH($A300),1),$A$5:$A$800,"&lt;="&amp;$A300)+IF(AND(YEAR($A300)=YEAR(Settings!$B$3),MONTH($A300)=MONTH(Settings!$B$3)),Settings!$B$14,0))</f>
        <v/>
      </c>
    </row>
    <row r="301">
      <c r="A301" s="67" t="n"/>
      <c r="B301" s="69" t="n"/>
      <c r="C301" s="69" t="n"/>
      <c r="D301" s="69" t="n"/>
      <c r="E301" s="84">
        <f>IF($A301="","",B301+C301+D301)</f>
        <v/>
      </c>
      <c r="F301" s="85">
        <f>IF($A301="","",SUMIFS($E$5:$E$800,$A$5:$A$800,"&gt;="&amp;DATE(YEAR($A301),MONTH($A301),1),$A$5:$A$800,"&lt;="&amp;$A301)+IF(AND(YEAR($A301)=YEAR(Settings!$B$3),MONTH($A301)=MONTH(Settings!$B$3)),Settings!$B$14,0))</f>
        <v/>
      </c>
    </row>
    <row r="302">
      <c r="A302" s="67" t="n"/>
      <c r="B302" s="69" t="n"/>
      <c r="C302" s="69" t="n"/>
      <c r="D302" s="69" t="n"/>
      <c r="E302" s="84">
        <f>IF($A302="","",B302+C302+D302)</f>
        <v/>
      </c>
      <c r="F302" s="85">
        <f>IF($A302="","",SUMIFS($E$5:$E$800,$A$5:$A$800,"&gt;="&amp;DATE(YEAR($A302),MONTH($A302),1),$A$5:$A$800,"&lt;="&amp;$A302)+IF(AND(YEAR($A302)=YEAR(Settings!$B$3),MONTH($A302)=MONTH(Settings!$B$3)),Settings!$B$14,0))</f>
        <v/>
      </c>
    </row>
    <row r="303">
      <c r="A303" s="67" t="n"/>
      <c r="B303" s="69" t="n"/>
      <c r="C303" s="69" t="n"/>
      <c r="D303" s="69" t="n"/>
      <c r="E303" s="84">
        <f>IF($A303="","",B303+C303+D303)</f>
        <v/>
      </c>
      <c r="F303" s="85">
        <f>IF($A303="","",SUMIFS($E$5:$E$800,$A$5:$A$800,"&gt;="&amp;DATE(YEAR($A303),MONTH($A303),1),$A$5:$A$800,"&lt;="&amp;$A303)+IF(AND(YEAR($A303)=YEAR(Settings!$B$3),MONTH($A303)=MONTH(Settings!$B$3)),Settings!$B$14,0))</f>
        <v/>
      </c>
    </row>
    <row r="304">
      <c r="A304" s="67" t="n"/>
      <c r="B304" s="69" t="n"/>
      <c r="C304" s="69" t="n"/>
      <c r="D304" s="69" t="n"/>
      <c r="E304" s="84">
        <f>IF($A304="","",B304+C304+D304)</f>
        <v/>
      </c>
      <c r="F304" s="85">
        <f>IF($A304="","",SUMIFS($E$5:$E$800,$A$5:$A$800,"&gt;="&amp;DATE(YEAR($A304),MONTH($A304),1),$A$5:$A$800,"&lt;="&amp;$A304)+IF(AND(YEAR($A304)=YEAR(Settings!$B$3),MONTH($A304)=MONTH(Settings!$B$3)),Settings!$B$14,0))</f>
        <v/>
      </c>
    </row>
    <row r="305">
      <c r="A305" s="67" t="n"/>
      <c r="B305" s="69" t="n"/>
      <c r="C305" s="69" t="n"/>
      <c r="D305" s="69" t="n"/>
      <c r="E305" s="84">
        <f>IF($A305="","",B305+C305+D305)</f>
        <v/>
      </c>
      <c r="F305" s="85">
        <f>IF($A305="","",SUMIFS($E$5:$E$800,$A$5:$A$800,"&gt;="&amp;DATE(YEAR($A305),MONTH($A305),1),$A$5:$A$800,"&lt;="&amp;$A305)+IF(AND(YEAR($A305)=YEAR(Settings!$B$3),MONTH($A305)=MONTH(Settings!$B$3)),Settings!$B$14,0))</f>
        <v/>
      </c>
    </row>
    <row r="306">
      <c r="A306" s="67" t="n"/>
      <c r="B306" s="69" t="n"/>
      <c r="C306" s="69" t="n"/>
      <c r="D306" s="69" t="n"/>
      <c r="E306" s="84">
        <f>IF($A306="","",B306+C306+D306)</f>
        <v/>
      </c>
      <c r="F306" s="85">
        <f>IF($A306="","",SUMIFS($E$5:$E$800,$A$5:$A$800,"&gt;="&amp;DATE(YEAR($A306),MONTH($A306),1),$A$5:$A$800,"&lt;="&amp;$A306)+IF(AND(YEAR($A306)=YEAR(Settings!$B$3),MONTH($A306)=MONTH(Settings!$B$3)),Settings!$B$14,0))</f>
        <v/>
      </c>
    </row>
    <row r="307">
      <c r="A307" s="67" t="n"/>
      <c r="B307" s="69" t="n"/>
      <c r="C307" s="69" t="n"/>
      <c r="D307" s="69" t="n"/>
      <c r="E307" s="84">
        <f>IF($A307="","",B307+C307+D307)</f>
        <v/>
      </c>
      <c r="F307" s="85">
        <f>IF($A307="","",SUMIFS($E$5:$E$800,$A$5:$A$800,"&gt;="&amp;DATE(YEAR($A307),MONTH($A307),1),$A$5:$A$800,"&lt;="&amp;$A307)+IF(AND(YEAR($A307)=YEAR(Settings!$B$3),MONTH($A307)=MONTH(Settings!$B$3)),Settings!$B$14,0))</f>
        <v/>
      </c>
    </row>
    <row r="308">
      <c r="A308" s="67" t="n"/>
      <c r="B308" s="69" t="n"/>
      <c r="C308" s="69" t="n"/>
      <c r="D308" s="69" t="n"/>
      <c r="E308" s="84">
        <f>IF($A308="","",B308+C308+D308)</f>
        <v/>
      </c>
      <c r="F308" s="85">
        <f>IF($A308="","",SUMIFS($E$5:$E$800,$A$5:$A$800,"&gt;="&amp;DATE(YEAR($A308),MONTH($A308),1),$A$5:$A$800,"&lt;="&amp;$A308)+IF(AND(YEAR($A308)=YEAR(Settings!$B$3),MONTH($A308)=MONTH(Settings!$B$3)),Settings!$B$14,0))</f>
        <v/>
      </c>
    </row>
    <row r="309">
      <c r="A309" s="67" t="n"/>
      <c r="B309" s="69" t="n"/>
      <c r="C309" s="69" t="n"/>
      <c r="D309" s="69" t="n"/>
      <c r="E309" s="84">
        <f>IF($A309="","",B309+C309+D309)</f>
        <v/>
      </c>
      <c r="F309" s="85">
        <f>IF($A309="","",SUMIFS($E$5:$E$800,$A$5:$A$800,"&gt;="&amp;DATE(YEAR($A309),MONTH($A309),1),$A$5:$A$800,"&lt;="&amp;$A309)+IF(AND(YEAR($A309)=YEAR(Settings!$B$3),MONTH($A309)=MONTH(Settings!$B$3)),Settings!$B$14,0))</f>
        <v/>
      </c>
    </row>
    <row r="310">
      <c r="A310" s="67" t="n"/>
      <c r="B310" s="69" t="n"/>
      <c r="C310" s="69" t="n"/>
      <c r="D310" s="69" t="n"/>
      <c r="E310" s="84">
        <f>IF($A310="","",B310+C310+D310)</f>
        <v/>
      </c>
      <c r="F310" s="85">
        <f>IF($A310="","",SUMIFS($E$5:$E$800,$A$5:$A$800,"&gt;="&amp;DATE(YEAR($A310),MONTH($A310),1),$A$5:$A$800,"&lt;="&amp;$A310)+IF(AND(YEAR($A310)=YEAR(Settings!$B$3),MONTH($A310)=MONTH(Settings!$B$3)),Settings!$B$14,0))</f>
        <v/>
      </c>
    </row>
    <row r="311">
      <c r="A311" s="67" t="n"/>
      <c r="B311" s="69" t="n"/>
      <c r="C311" s="69" t="n"/>
      <c r="D311" s="69" t="n"/>
      <c r="E311" s="84">
        <f>IF($A311="","",B311+C311+D311)</f>
        <v/>
      </c>
      <c r="F311" s="85">
        <f>IF($A311="","",SUMIFS($E$5:$E$800,$A$5:$A$800,"&gt;="&amp;DATE(YEAR($A311),MONTH($A311),1),$A$5:$A$800,"&lt;="&amp;$A311)+IF(AND(YEAR($A311)=YEAR(Settings!$B$3),MONTH($A311)=MONTH(Settings!$B$3)),Settings!$B$14,0))</f>
        <v/>
      </c>
    </row>
    <row r="312">
      <c r="A312" s="67" t="n"/>
      <c r="B312" s="69" t="n"/>
      <c r="C312" s="69" t="n"/>
      <c r="D312" s="69" t="n"/>
      <c r="E312" s="84">
        <f>IF($A312="","",B312+C312+D312)</f>
        <v/>
      </c>
      <c r="F312" s="85">
        <f>IF($A312="","",SUMIFS($E$5:$E$800,$A$5:$A$800,"&gt;="&amp;DATE(YEAR($A312),MONTH($A312),1),$A$5:$A$800,"&lt;="&amp;$A312)+IF(AND(YEAR($A312)=YEAR(Settings!$B$3),MONTH($A312)=MONTH(Settings!$B$3)),Settings!$B$14,0))</f>
        <v/>
      </c>
    </row>
    <row r="313">
      <c r="A313" s="67" t="n"/>
      <c r="B313" s="69" t="n"/>
      <c r="C313" s="69" t="n"/>
      <c r="D313" s="69" t="n"/>
      <c r="E313" s="84">
        <f>IF($A313="","",B313+C313+D313)</f>
        <v/>
      </c>
      <c r="F313" s="85">
        <f>IF($A313="","",SUMIFS($E$5:$E$800,$A$5:$A$800,"&gt;="&amp;DATE(YEAR($A313),MONTH($A313),1),$A$5:$A$800,"&lt;="&amp;$A313)+IF(AND(YEAR($A313)=YEAR(Settings!$B$3),MONTH($A313)=MONTH(Settings!$B$3)),Settings!$B$14,0))</f>
        <v/>
      </c>
    </row>
    <row r="314">
      <c r="A314" s="67" t="n"/>
      <c r="B314" s="69" t="n"/>
      <c r="C314" s="69" t="n"/>
      <c r="D314" s="69" t="n"/>
      <c r="E314" s="84">
        <f>IF($A314="","",B314+C314+D314)</f>
        <v/>
      </c>
      <c r="F314" s="85">
        <f>IF($A314="","",SUMIFS($E$5:$E$800,$A$5:$A$800,"&gt;="&amp;DATE(YEAR($A314),MONTH($A314),1),$A$5:$A$800,"&lt;="&amp;$A314)+IF(AND(YEAR($A314)=YEAR(Settings!$B$3),MONTH($A314)=MONTH(Settings!$B$3)),Settings!$B$14,0))</f>
        <v/>
      </c>
    </row>
    <row r="315">
      <c r="A315" s="67" t="n"/>
      <c r="B315" s="69" t="n"/>
      <c r="C315" s="69" t="n"/>
      <c r="D315" s="69" t="n"/>
      <c r="E315" s="84">
        <f>IF($A315="","",B315+C315+D315)</f>
        <v/>
      </c>
      <c r="F315" s="85">
        <f>IF($A315="","",SUMIFS($E$5:$E$800,$A$5:$A$800,"&gt;="&amp;DATE(YEAR($A315),MONTH($A315),1),$A$5:$A$800,"&lt;="&amp;$A315)+IF(AND(YEAR($A315)=YEAR(Settings!$B$3),MONTH($A315)=MONTH(Settings!$B$3)),Settings!$B$14,0))</f>
        <v/>
      </c>
    </row>
    <row r="316">
      <c r="A316" s="67" t="n"/>
      <c r="B316" s="69" t="n"/>
      <c r="C316" s="69" t="n"/>
      <c r="D316" s="69" t="n"/>
      <c r="E316" s="84">
        <f>IF($A316="","",B316+C316+D316)</f>
        <v/>
      </c>
      <c r="F316" s="85">
        <f>IF($A316="","",SUMIFS($E$5:$E$800,$A$5:$A$800,"&gt;="&amp;DATE(YEAR($A316),MONTH($A316),1),$A$5:$A$800,"&lt;="&amp;$A316)+IF(AND(YEAR($A316)=YEAR(Settings!$B$3),MONTH($A316)=MONTH(Settings!$B$3)),Settings!$B$14,0))</f>
        <v/>
      </c>
    </row>
    <row r="317">
      <c r="A317" s="67" t="n"/>
      <c r="B317" s="69" t="n"/>
      <c r="C317" s="69" t="n"/>
      <c r="D317" s="69" t="n"/>
      <c r="E317" s="84">
        <f>IF($A317="","",B317+C317+D317)</f>
        <v/>
      </c>
      <c r="F317" s="85">
        <f>IF($A317="","",SUMIFS($E$5:$E$800,$A$5:$A$800,"&gt;="&amp;DATE(YEAR($A317),MONTH($A317),1),$A$5:$A$800,"&lt;="&amp;$A317)+IF(AND(YEAR($A317)=YEAR(Settings!$B$3),MONTH($A317)=MONTH(Settings!$B$3)),Settings!$B$14,0))</f>
        <v/>
      </c>
    </row>
    <row r="318">
      <c r="A318" s="67" t="n"/>
      <c r="B318" s="69" t="n"/>
      <c r="C318" s="69" t="n"/>
      <c r="D318" s="69" t="n"/>
      <c r="E318" s="84">
        <f>IF($A318="","",B318+C318+D318)</f>
        <v/>
      </c>
      <c r="F318" s="85">
        <f>IF($A318="","",SUMIFS($E$5:$E$800,$A$5:$A$800,"&gt;="&amp;DATE(YEAR($A318),MONTH($A318),1),$A$5:$A$800,"&lt;="&amp;$A318)+IF(AND(YEAR($A318)=YEAR(Settings!$B$3),MONTH($A318)=MONTH(Settings!$B$3)),Settings!$B$14,0))</f>
        <v/>
      </c>
    </row>
    <row r="319">
      <c r="A319" s="67" t="n"/>
      <c r="B319" s="69" t="n"/>
      <c r="C319" s="69" t="n"/>
      <c r="D319" s="69" t="n"/>
      <c r="E319" s="84">
        <f>IF($A319="","",B319+C319+D319)</f>
        <v/>
      </c>
      <c r="F319" s="85">
        <f>IF($A319="","",SUMIFS($E$5:$E$800,$A$5:$A$800,"&gt;="&amp;DATE(YEAR($A319),MONTH($A319),1),$A$5:$A$800,"&lt;="&amp;$A319)+IF(AND(YEAR($A319)=YEAR(Settings!$B$3),MONTH($A319)=MONTH(Settings!$B$3)),Settings!$B$14,0))</f>
        <v/>
      </c>
    </row>
    <row r="320">
      <c r="A320" s="67" t="n"/>
      <c r="B320" s="69" t="n"/>
      <c r="C320" s="69" t="n"/>
      <c r="D320" s="69" t="n"/>
      <c r="E320" s="84">
        <f>IF($A320="","",B320+C320+D320)</f>
        <v/>
      </c>
      <c r="F320" s="85">
        <f>IF($A320="","",SUMIFS($E$5:$E$800,$A$5:$A$800,"&gt;="&amp;DATE(YEAR($A320),MONTH($A320),1),$A$5:$A$800,"&lt;="&amp;$A320)+IF(AND(YEAR($A320)=YEAR(Settings!$B$3),MONTH($A320)=MONTH(Settings!$B$3)),Settings!$B$14,0))</f>
        <v/>
      </c>
    </row>
    <row r="321">
      <c r="A321" s="67" t="n"/>
      <c r="B321" s="69" t="n"/>
      <c r="C321" s="69" t="n"/>
      <c r="D321" s="69" t="n"/>
      <c r="E321" s="84">
        <f>IF($A321="","",B321+C321+D321)</f>
        <v/>
      </c>
      <c r="F321" s="85">
        <f>IF($A321="","",SUMIFS($E$5:$E$800,$A$5:$A$800,"&gt;="&amp;DATE(YEAR($A321),MONTH($A321),1),$A$5:$A$800,"&lt;="&amp;$A321)+IF(AND(YEAR($A321)=YEAR(Settings!$B$3),MONTH($A321)=MONTH(Settings!$B$3)),Settings!$B$14,0))</f>
        <v/>
      </c>
    </row>
    <row r="322">
      <c r="A322" s="67" t="n"/>
      <c r="B322" s="69" t="n"/>
      <c r="C322" s="69" t="n"/>
      <c r="D322" s="69" t="n"/>
      <c r="E322" s="84">
        <f>IF($A322="","",B322+C322+D322)</f>
        <v/>
      </c>
      <c r="F322" s="85">
        <f>IF($A322="","",SUMIFS($E$5:$E$800,$A$5:$A$800,"&gt;="&amp;DATE(YEAR($A322),MONTH($A322),1),$A$5:$A$800,"&lt;="&amp;$A322)+IF(AND(YEAR($A322)=YEAR(Settings!$B$3),MONTH($A322)=MONTH(Settings!$B$3)),Settings!$B$14,0))</f>
        <v/>
      </c>
    </row>
    <row r="323">
      <c r="A323" s="67" t="n"/>
      <c r="B323" s="69" t="n"/>
      <c r="C323" s="69" t="n"/>
      <c r="D323" s="69" t="n"/>
      <c r="E323" s="84">
        <f>IF($A323="","",B323+C323+D323)</f>
        <v/>
      </c>
      <c r="F323" s="85">
        <f>IF($A323="","",SUMIFS($E$5:$E$800,$A$5:$A$800,"&gt;="&amp;DATE(YEAR($A323),MONTH($A323),1),$A$5:$A$800,"&lt;="&amp;$A323)+IF(AND(YEAR($A323)=YEAR(Settings!$B$3),MONTH($A323)=MONTH(Settings!$B$3)),Settings!$B$14,0))</f>
        <v/>
      </c>
    </row>
    <row r="324">
      <c r="A324" s="67" t="n"/>
      <c r="B324" s="69" t="n"/>
      <c r="C324" s="69" t="n"/>
      <c r="D324" s="69" t="n"/>
      <c r="E324" s="84">
        <f>IF($A324="","",B324+C324+D324)</f>
        <v/>
      </c>
      <c r="F324" s="85">
        <f>IF($A324="","",SUMIFS($E$5:$E$800,$A$5:$A$800,"&gt;="&amp;DATE(YEAR($A324),MONTH($A324),1),$A$5:$A$800,"&lt;="&amp;$A324)+IF(AND(YEAR($A324)=YEAR(Settings!$B$3),MONTH($A324)=MONTH(Settings!$B$3)),Settings!$B$14,0))</f>
        <v/>
      </c>
    </row>
    <row r="325">
      <c r="A325" s="67" t="n"/>
      <c r="B325" s="69" t="n"/>
      <c r="C325" s="69" t="n"/>
      <c r="D325" s="69" t="n"/>
      <c r="E325" s="84">
        <f>IF($A325="","",B325+C325+D325)</f>
        <v/>
      </c>
      <c r="F325" s="85">
        <f>IF($A325="","",SUMIFS($E$5:$E$800,$A$5:$A$800,"&gt;="&amp;DATE(YEAR($A325),MONTH($A325),1),$A$5:$A$800,"&lt;="&amp;$A325)+IF(AND(YEAR($A325)=YEAR(Settings!$B$3),MONTH($A325)=MONTH(Settings!$B$3)),Settings!$B$14,0))</f>
        <v/>
      </c>
    </row>
    <row r="326">
      <c r="A326" s="67" t="n"/>
      <c r="B326" s="69" t="n"/>
      <c r="C326" s="69" t="n"/>
      <c r="D326" s="69" t="n"/>
      <c r="E326" s="84">
        <f>IF($A326="","",B326+C326+D326)</f>
        <v/>
      </c>
      <c r="F326" s="85">
        <f>IF($A326="","",SUMIFS($E$5:$E$800,$A$5:$A$800,"&gt;="&amp;DATE(YEAR($A326),MONTH($A326),1),$A$5:$A$800,"&lt;="&amp;$A326)+IF(AND(YEAR($A326)=YEAR(Settings!$B$3),MONTH($A326)=MONTH(Settings!$B$3)),Settings!$B$14,0))</f>
        <v/>
      </c>
    </row>
    <row r="327">
      <c r="A327" s="67" t="n"/>
      <c r="B327" s="69" t="n"/>
      <c r="C327" s="69" t="n"/>
      <c r="D327" s="69" t="n"/>
      <c r="E327" s="84">
        <f>IF($A327="","",B327+C327+D327)</f>
        <v/>
      </c>
      <c r="F327" s="85">
        <f>IF($A327="","",SUMIFS($E$5:$E$800,$A$5:$A$800,"&gt;="&amp;DATE(YEAR($A327),MONTH($A327),1),$A$5:$A$800,"&lt;="&amp;$A327)+IF(AND(YEAR($A327)=YEAR(Settings!$B$3),MONTH($A327)=MONTH(Settings!$B$3)),Settings!$B$14,0))</f>
        <v/>
      </c>
    </row>
    <row r="328">
      <c r="A328" s="67" t="n"/>
      <c r="B328" s="69" t="n"/>
      <c r="C328" s="69" t="n"/>
      <c r="D328" s="69" t="n"/>
      <c r="E328" s="84">
        <f>IF($A328="","",B328+C328+D328)</f>
        <v/>
      </c>
      <c r="F328" s="85">
        <f>IF($A328="","",SUMIFS($E$5:$E$800,$A$5:$A$800,"&gt;="&amp;DATE(YEAR($A328),MONTH($A328),1),$A$5:$A$800,"&lt;="&amp;$A328)+IF(AND(YEAR($A328)=YEAR(Settings!$B$3),MONTH($A328)=MONTH(Settings!$B$3)),Settings!$B$14,0))</f>
        <v/>
      </c>
    </row>
    <row r="329">
      <c r="A329" s="67" t="n"/>
      <c r="B329" s="69" t="n"/>
      <c r="C329" s="69" t="n"/>
      <c r="D329" s="69" t="n"/>
      <c r="E329" s="84">
        <f>IF($A329="","",B329+C329+D329)</f>
        <v/>
      </c>
      <c r="F329" s="85">
        <f>IF($A329="","",SUMIFS($E$5:$E$800,$A$5:$A$800,"&gt;="&amp;DATE(YEAR($A329),MONTH($A329),1),$A$5:$A$800,"&lt;="&amp;$A329)+IF(AND(YEAR($A329)=YEAR(Settings!$B$3),MONTH($A329)=MONTH(Settings!$B$3)),Settings!$B$14,0))</f>
        <v/>
      </c>
    </row>
    <row r="330">
      <c r="A330" s="67" t="n"/>
      <c r="B330" s="69" t="n"/>
      <c r="C330" s="69" t="n"/>
      <c r="D330" s="69" t="n"/>
      <c r="E330" s="84">
        <f>IF($A330="","",B330+C330+D330)</f>
        <v/>
      </c>
      <c r="F330" s="85">
        <f>IF($A330="","",SUMIFS($E$5:$E$800,$A$5:$A$800,"&gt;="&amp;DATE(YEAR($A330),MONTH($A330),1),$A$5:$A$800,"&lt;="&amp;$A330)+IF(AND(YEAR($A330)=YEAR(Settings!$B$3),MONTH($A330)=MONTH(Settings!$B$3)),Settings!$B$14,0))</f>
        <v/>
      </c>
    </row>
    <row r="331">
      <c r="A331" s="67" t="n"/>
      <c r="B331" s="69" t="n"/>
      <c r="C331" s="69" t="n"/>
      <c r="D331" s="69" t="n"/>
      <c r="E331" s="84">
        <f>IF($A331="","",B331+C331+D331)</f>
        <v/>
      </c>
      <c r="F331" s="85">
        <f>IF($A331="","",SUMIFS($E$5:$E$800,$A$5:$A$800,"&gt;="&amp;DATE(YEAR($A331),MONTH($A331),1),$A$5:$A$800,"&lt;="&amp;$A331)+IF(AND(YEAR($A331)=YEAR(Settings!$B$3),MONTH($A331)=MONTH(Settings!$B$3)),Settings!$B$14,0))</f>
        <v/>
      </c>
    </row>
    <row r="332">
      <c r="A332" s="67" t="n"/>
      <c r="B332" s="69" t="n"/>
      <c r="C332" s="69" t="n"/>
      <c r="D332" s="69" t="n"/>
      <c r="E332" s="84">
        <f>IF($A332="","",B332+C332+D332)</f>
        <v/>
      </c>
      <c r="F332" s="85">
        <f>IF($A332="","",SUMIFS($E$5:$E$800,$A$5:$A$800,"&gt;="&amp;DATE(YEAR($A332),MONTH($A332),1),$A$5:$A$800,"&lt;="&amp;$A332)+IF(AND(YEAR($A332)=YEAR(Settings!$B$3),MONTH($A332)=MONTH(Settings!$B$3)),Settings!$B$14,0))</f>
        <v/>
      </c>
    </row>
    <row r="333">
      <c r="A333" s="67" t="n"/>
      <c r="B333" s="69" t="n"/>
      <c r="C333" s="69" t="n"/>
      <c r="D333" s="69" t="n"/>
      <c r="E333" s="84">
        <f>IF($A333="","",B333+C333+D333)</f>
        <v/>
      </c>
      <c r="F333" s="85">
        <f>IF($A333="","",SUMIFS($E$5:$E$800,$A$5:$A$800,"&gt;="&amp;DATE(YEAR($A333),MONTH($A333),1),$A$5:$A$800,"&lt;="&amp;$A333)+IF(AND(YEAR($A333)=YEAR(Settings!$B$3),MONTH($A333)=MONTH(Settings!$B$3)),Settings!$B$14,0))</f>
        <v/>
      </c>
    </row>
    <row r="334">
      <c r="A334" s="67" t="n"/>
      <c r="B334" s="69" t="n"/>
      <c r="C334" s="69" t="n"/>
      <c r="D334" s="69" t="n"/>
      <c r="E334" s="84">
        <f>IF($A334="","",B334+C334+D334)</f>
        <v/>
      </c>
      <c r="F334" s="85">
        <f>IF($A334="","",SUMIFS($E$5:$E$800,$A$5:$A$800,"&gt;="&amp;DATE(YEAR($A334),MONTH($A334),1),$A$5:$A$800,"&lt;="&amp;$A334)+IF(AND(YEAR($A334)=YEAR(Settings!$B$3),MONTH($A334)=MONTH(Settings!$B$3)),Settings!$B$14,0))</f>
        <v/>
      </c>
    </row>
    <row r="335">
      <c r="A335" s="67" t="n"/>
      <c r="B335" s="69" t="n"/>
      <c r="C335" s="69" t="n"/>
      <c r="D335" s="69" t="n"/>
      <c r="E335" s="84">
        <f>IF($A335="","",B335+C335+D335)</f>
        <v/>
      </c>
      <c r="F335" s="85">
        <f>IF($A335="","",SUMIFS($E$5:$E$800,$A$5:$A$800,"&gt;="&amp;DATE(YEAR($A335),MONTH($A335),1),$A$5:$A$800,"&lt;="&amp;$A335)+IF(AND(YEAR($A335)=YEAR(Settings!$B$3),MONTH($A335)=MONTH(Settings!$B$3)),Settings!$B$14,0))</f>
        <v/>
      </c>
    </row>
    <row r="336">
      <c r="A336" s="67" t="n"/>
      <c r="B336" s="69" t="n"/>
      <c r="C336" s="69" t="n"/>
      <c r="D336" s="69" t="n"/>
      <c r="E336" s="84">
        <f>IF($A336="","",B336+C336+D336)</f>
        <v/>
      </c>
      <c r="F336" s="85">
        <f>IF($A336="","",SUMIFS($E$5:$E$800,$A$5:$A$800,"&gt;="&amp;DATE(YEAR($A336),MONTH($A336),1),$A$5:$A$800,"&lt;="&amp;$A336)+IF(AND(YEAR($A336)=YEAR(Settings!$B$3),MONTH($A336)=MONTH(Settings!$B$3)),Settings!$B$14,0))</f>
        <v/>
      </c>
    </row>
    <row r="337">
      <c r="A337" s="67" t="n"/>
      <c r="B337" s="69" t="n"/>
      <c r="C337" s="69" t="n"/>
      <c r="D337" s="69" t="n"/>
      <c r="E337" s="84">
        <f>IF($A337="","",B337+C337+D337)</f>
        <v/>
      </c>
      <c r="F337" s="85">
        <f>IF($A337="","",SUMIFS($E$5:$E$800,$A$5:$A$800,"&gt;="&amp;DATE(YEAR($A337),MONTH($A337),1),$A$5:$A$800,"&lt;="&amp;$A337)+IF(AND(YEAR($A337)=YEAR(Settings!$B$3),MONTH($A337)=MONTH(Settings!$B$3)),Settings!$B$14,0))</f>
        <v/>
      </c>
    </row>
    <row r="338">
      <c r="A338" s="67" t="n"/>
      <c r="B338" s="69" t="n"/>
      <c r="C338" s="69" t="n"/>
      <c r="D338" s="69" t="n"/>
      <c r="E338" s="84">
        <f>IF($A338="","",B338+C338+D338)</f>
        <v/>
      </c>
      <c r="F338" s="85">
        <f>IF($A338="","",SUMIFS($E$5:$E$800,$A$5:$A$800,"&gt;="&amp;DATE(YEAR($A338),MONTH($A338),1),$A$5:$A$800,"&lt;="&amp;$A338)+IF(AND(YEAR($A338)=YEAR(Settings!$B$3),MONTH($A338)=MONTH(Settings!$B$3)),Settings!$B$14,0))</f>
        <v/>
      </c>
    </row>
    <row r="339">
      <c r="A339" s="67" t="n"/>
      <c r="B339" s="69" t="n"/>
      <c r="C339" s="69" t="n"/>
      <c r="D339" s="69" t="n"/>
      <c r="E339" s="84">
        <f>IF($A339="","",B339+C339+D339)</f>
        <v/>
      </c>
      <c r="F339" s="85">
        <f>IF($A339="","",SUMIFS($E$5:$E$800,$A$5:$A$800,"&gt;="&amp;DATE(YEAR($A339),MONTH($A339),1),$A$5:$A$800,"&lt;="&amp;$A339)+IF(AND(YEAR($A339)=YEAR(Settings!$B$3),MONTH($A339)=MONTH(Settings!$B$3)),Settings!$B$14,0))</f>
        <v/>
      </c>
    </row>
    <row r="340">
      <c r="A340" s="67" t="n"/>
      <c r="B340" s="69" t="n"/>
      <c r="C340" s="69" t="n"/>
      <c r="D340" s="69" t="n"/>
      <c r="E340" s="84">
        <f>IF($A340="","",B340+C340+D340)</f>
        <v/>
      </c>
      <c r="F340" s="85">
        <f>IF($A340="","",SUMIFS($E$5:$E$800,$A$5:$A$800,"&gt;="&amp;DATE(YEAR($A340),MONTH($A340),1),$A$5:$A$800,"&lt;="&amp;$A340)+IF(AND(YEAR($A340)=YEAR(Settings!$B$3),MONTH($A340)=MONTH(Settings!$B$3)),Settings!$B$14,0))</f>
        <v/>
      </c>
    </row>
    <row r="341">
      <c r="A341" s="67" t="n"/>
      <c r="B341" s="69" t="n"/>
      <c r="C341" s="69" t="n"/>
      <c r="D341" s="69" t="n"/>
      <c r="E341" s="84">
        <f>IF($A341="","",B341+C341+D341)</f>
        <v/>
      </c>
      <c r="F341" s="85">
        <f>IF($A341="","",SUMIFS($E$5:$E$800,$A$5:$A$800,"&gt;="&amp;DATE(YEAR($A341),MONTH($A341),1),$A$5:$A$800,"&lt;="&amp;$A341)+IF(AND(YEAR($A341)=YEAR(Settings!$B$3),MONTH($A341)=MONTH(Settings!$B$3)),Settings!$B$14,0))</f>
        <v/>
      </c>
    </row>
    <row r="342">
      <c r="A342" s="67" t="n"/>
      <c r="B342" s="69" t="n"/>
      <c r="C342" s="69" t="n"/>
      <c r="D342" s="69" t="n"/>
      <c r="E342" s="84">
        <f>IF($A342="","",B342+C342+D342)</f>
        <v/>
      </c>
      <c r="F342" s="85">
        <f>IF($A342="","",SUMIFS($E$5:$E$800,$A$5:$A$800,"&gt;="&amp;DATE(YEAR($A342),MONTH($A342),1),$A$5:$A$800,"&lt;="&amp;$A342)+IF(AND(YEAR($A342)=YEAR(Settings!$B$3),MONTH($A342)=MONTH(Settings!$B$3)),Settings!$B$14,0))</f>
        <v/>
      </c>
    </row>
    <row r="343">
      <c r="A343" s="67" t="n"/>
      <c r="B343" s="69" t="n"/>
      <c r="C343" s="69" t="n"/>
      <c r="D343" s="69" t="n"/>
      <c r="E343" s="84">
        <f>IF($A343="","",B343+C343+D343)</f>
        <v/>
      </c>
      <c r="F343" s="85">
        <f>IF($A343="","",SUMIFS($E$5:$E$800,$A$5:$A$800,"&gt;="&amp;DATE(YEAR($A343),MONTH($A343),1),$A$5:$A$800,"&lt;="&amp;$A343)+IF(AND(YEAR($A343)=YEAR(Settings!$B$3),MONTH($A343)=MONTH(Settings!$B$3)),Settings!$B$14,0))</f>
        <v/>
      </c>
    </row>
    <row r="344">
      <c r="A344" s="67" t="n"/>
      <c r="B344" s="69" t="n"/>
      <c r="C344" s="69" t="n"/>
      <c r="D344" s="69" t="n"/>
      <c r="E344" s="84">
        <f>IF($A344="","",B344+C344+D344)</f>
        <v/>
      </c>
      <c r="F344" s="85">
        <f>IF($A344="","",SUMIFS($E$5:$E$800,$A$5:$A$800,"&gt;="&amp;DATE(YEAR($A344),MONTH($A344),1),$A$5:$A$800,"&lt;="&amp;$A344)+IF(AND(YEAR($A344)=YEAR(Settings!$B$3),MONTH($A344)=MONTH(Settings!$B$3)),Settings!$B$14,0))</f>
        <v/>
      </c>
    </row>
    <row r="345">
      <c r="A345" s="67" t="n"/>
      <c r="B345" s="69" t="n"/>
      <c r="C345" s="69" t="n"/>
      <c r="D345" s="69" t="n"/>
      <c r="E345" s="84">
        <f>IF($A345="","",B345+C345+D345)</f>
        <v/>
      </c>
      <c r="F345" s="85">
        <f>IF($A345="","",SUMIFS($E$5:$E$800,$A$5:$A$800,"&gt;="&amp;DATE(YEAR($A345),MONTH($A345),1),$A$5:$A$800,"&lt;="&amp;$A345)+IF(AND(YEAR($A345)=YEAR(Settings!$B$3),MONTH($A345)=MONTH(Settings!$B$3)),Settings!$B$14,0))</f>
        <v/>
      </c>
    </row>
    <row r="346">
      <c r="A346" s="67" t="n"/>
      <c r="B346" s="69" t="n"/>
      <c r="C346" s="69" t="n"/>
      <c r="D346" s="69" t="n"/>
      <c r="E346" s="84">
        <f>IF($A346="","",B346+C346+D346)</f>
        <v/>
      </c>
      <c r="F346" s="85">
        <f>IF($A346="","",SUMIFS($E$5:$E$800,$A$5:$A$800,"&gt;="&amp;DATE(YEAR($A346),MONTH($A346),1),$A$5:$A$800,"&lt;="&amp;$A346)+IF(AND(YEAR($A346)=YEAR(Settings!$B$3),MONTH($A346)=MONTH(Settings!$B$3)),Settings!$B$14,0))</f>
        <v/>
      </c>
    </row>
    <row r="347">
      <c r="A347" s="67" t="n"/>
      <c r="B347" s="69" t="n"/>
      <c r="C347" s="69" t="n"/>
      <c r="D347" s="69" t="n"/>
      <c r="E347" s="84">
        <f>IF($A347="","",B347+C347+D347)</f>
        <v/>
      </c>
      <c r="F347" s="85">
        <f>IF($A347="","",SUMIFS($E$5:$E$800,$A$5:$A$800,"&gt;="&amp;DATE(YEAR($A347),MONTH($A347),1),$A$5:$A$800,"&lt;="&amp;$A347)+IF(AND(YEAR($A347)=YEAR(Settings!$B$3),MONTH($A347)=MONTH(Settings!$B$3)),Settings!$B$14,0))</f>
        <v/>
      </c>
    </row>
    <row r="348">
      <c r="A348" s="67" t="n"/>
      <c r="B348" s="69" t="n"/>
      <c r="C348" s="69" t="n"/>
      <c r="D348" s="69" t="n"/>
      <c r="E348" s="84">
        <f>IF($A348="","",B348+C348+D348)</f>
        <v/>
      </c>
      <c r="F348" s="85">
        <f>IF($A348="","",SUMIFS($E$5:$E$800,$A$5:$A$800,"&gt;="&amp;DATE(YEAR($A348),MONTH($A348),1),$A$5:$A$800,"&lt;="&amp;$A348)+IF(AND(YEAR($A348)=YEAR(Settings!$B$3),MONTH($A348)=MONTH(Settings!$B$3)),Settings!$B$14,0))</f>
        <v/>
      </c>
    </row>
    <row r="349">
      <c r="A349" s="67" t="n"/>
      <c r="B349" s="69" t="n"/>
      <c r="C349" s="69" t="n"/>
      <c r="D349" s="69" t="n"/>
      <c r="E349" s="84">
        <f>IF($A349="","",B349+C349+D349)</f>
        <v/>
      </c>
      <c r="F349" s="85">
        <f>IF($A349="","",SUMIFS($E$5:$E$800,$A$5:$A$800,"&gt;="&amp;DATE(YEAR($A349),MONTH($A349),1),$A$5:$A$800,"&lt;="&amp;$A349)+IF(AND(YEAR($A349)=YEAR(Settings!$B$3),MONTH($A349)=MONTH(Settings!$B$3)),Settings!$B$14,0))</f>
        <v/>
      </c>
    </row>
    <row r="350">
      <c r="A350" s="67" t="n"/>
      <c r="B350" s="69" t="n"/>
      <c r="C350" s="69" t="n"/>
      <c r="D350" s="69" t="n"/>
      <c r="E350" s="84">
        <f>IF($A350="","",B350+C350+D350)</f>
        <v/>
      </c>
      <c r="F350" s="85">
        <f>IF($A350="","",SUMIFS($E$5:$E$800,$A$5:$A$800,"&gt;="&amp;DATE(YEAR($A350),MONTH($A350),1),$A$5:$A$800,"&lt;="&amp;$A350)+IF(AND(YEAR($A350)=YEAR(Settings!$B$3),MONTH($A350)=MONTH(Settings!$B$3)),Settings!$B$14,0))</f>
        <v/>
      </c>
    </row>
    <row r="351">
      <c r="A351" s="67" t="n"/>
      <c r="B351" s="69" t="n"/>
      <c r="C351" s="69" t="n"/>
      <c r="D351" s="69" t="n"/>
      <c r="E351" s="84">
        <f>IF($A351="","",B351+C351+D351)</f>
        <v/>
      </c>
      <c r="F351" s="85">
        <f>IF($A351="","",SUMIFS($E$5:$E$800,$A$5:$A$800,"&gt;="&amp;DATE(YEAR($A351),MONTH($A351),1),$A$5:$A$800,"&lt;="&amp;$A351)+IF(AND(YEAR($A351)=YEAR(Settings!$B$3),MONTH($A351)=MONTH(Settings!$B$3)),Settings!$B$14,0))</f>
        <v/>
      </c>
    </row>
    <row r="352">
      <c r="A352" s="67" t="n"/>
      <c r="B352" s="69" t="n"/>
      <c r="C352" s="69" t="n"/>
      <c r="D352" s="69" t="n"/>
      <c r="E352" s="84">
        <f>IF($A352="","",B352+C352+D352)</f>
        <v/>
      </c>
      <c r="F352" s="85">
        <f>IF($A352="","",SUMIFS($E$5:$E$800,$A$5:$A$800,"&gt;="&amp;DATE(YEAR($A352),MONTH($A352),1),$A$5:$A$800,"&lt;="&amp;$A352)+IF(AND(YEAR($A352)=YEAR(Settings!$B$3),MONTH($A352)=MONTH(Settings!$B$3)),Settings!$B$14,0))</f>
        <v/>
      </c>
    </row>
    <row r="353">
      <c r="A353" s="67" t="n"/>
      <c r="B353" s="69" t="n"/>
      <c r="C353" s="69" t="n"/>
      <c r="D353" s="69" t="n"/>
      <c r="E353" s="84">
        <f>IF($A353="","",B353+C353+D353)</f>
        <v/>
      </c>
      <c r="F353" s="85">
        <f>IF($A353="","",SUMIFS($E$5:$E$800,$A$5:$A$800,"&gt;="&amp;DATE(YEAR($A353),MONTH($A353),1),$A$5:$A$800,"&lt;="&amp;$A353)+IF(AND(YEAR($A353)=YEAR(Settings!$B$3),MONTH($A353)=MONTH(Settings!$B$3)),Settings!$B$14,0))</f>
        <v/>
      </c>
    </row>
    <row r="354">
      <c r="A354" s="67" t="n"/>
      <c r="B354" s="69" t="n"/>
      <c r="C354" s="69" t="n"/>
      <c r="D354" s="69" t="n"/>
      <c r="E354" s="84">
        <f>IF($A354="","",B354+C354+D354)</f>
        <v/>
      </c>
      <c r="F354" s="85">
        <f>IF($A354="","",SUMIFS($E$5:$E$800,$A$5:$A$800,"&gt;="&amp;DATE(YEAR($A354),MONTH($A354),1),$A$5:$A$800,"&lt;="&amp;$A354)+IF(AND(YEAR($A354)=YEAR(Settings!$B$3),MONTH($A354)=MONTH(Settings!$B$3)),Settings!$B$14,0))</f>
        <v/>
      </c>
    </row>
    <row r="355">
      <c r="A355" s="67" t="n"/>
      <c r="B355" s="69" t="n"/>
      <c r="C355" s="69" t="n"/>
      <c r="D355" s="69" t="n"/>
      <c r="E355" s="84">
        <f>IF($A355="","",B355+C355+D355)</f>
        <v/>
      </c>
      <c r="F355" s="85">
        <f>IF($A355="","",SUMIFS($E$5:$E$800,$A$5:$A$800,"&gt;="&amp;DATE(YEAR($A355),MONTH($A355),1),$A$5:$A$800,"&lt;="&amp;$A355)+IF(AND(YEAR($A355)=YEAR(Settings!$B$3),MONTH($A355)=MONTH(Settings!$B$3)),Settings!$B$14,0))</f>
        <v/>
      </c>
    </row>
    <row r="356">
      <c r="A356" s="67" t="n"/>
      <c r="B356" s="69" t="n"/>
      <c r="C356" s="69" t="n"/>
      <c r="D356" s="69" t="n"/>
      <c r="E356" s="84">
        <f>IF($A356="","",B356+C356+D356)</f>
        <v/>
      </c>
      <c r="F356" s="85">
        <f>IF($A356="","",SUMIFS($E$5:$E$800,$A$5:$A$800,"&gt;="&amp;DATE(YEAR($A356),MONTH($A356),1),$A$5:$A$800,"&lt;="&amp;$A356)+IF(AND(YEAR($A356)=YEAR(Settings!$B$3),MONTH($A356)=MONTH(Settings!$B$3)),Settings!$B$14,0))</f>
        <v/>
      </c>
    </row>
    <row r="357">
      <c r="A357" s="67" t="n"/>
      <c r="B357" s="69" t="n"/>
      <c r="C357" s="69" t="n"/>
      <c r="D357" s="69" t="n"/>
      <c r="E357" s="84">
        <f>IF($A357="","",B357+C357+D357)</f>
        <v/>
      </c>
      <c r="F357" s="85">
        <f>IF($A357="","",SUMIFS($E$5:$E$800,$A$5:$A$800,"&gt;="&amp;DATE(YEAR($A357),MONTH($A357),1),$A$5:$A$800,"&lt;="&amp;$A357)+IF(AND(YEAR($A357)=YEAR(Settings!$B$3),MONTH($A357)=MONTH(Settings!$B$3)),Settings!$B$14,0))</f>
        <v/>
      </c>
    </row>
    <row r="358">
      <c r="A358" s="67" t="n"/>
      <c r="B358" s="69" t="n"/>
      <c r="C358" s="69" t="n"/>
      <c r="D358" s="69" t="n"/>
      <c r="E358" s="84">
        <f>IF($A358="","",B358+C358+D358)</f>
        <v/>
      </c>
      <c r="F358" s="85">
        <f>IF($A358="","",SUMIFS($E$5:$E$800,$A$5:$A$800,"&gt;="&amp;DATE(YEAR($A358),MONTH($A358),1),$A$5:$A$800,"&lt;="&amp;$A358)+IF(AND(YEAR($A358)=YEAR(Settings!$B$3),MONTH($A358)=MONTH(Settings!$B$3)),Settings!$B$14,0))</f>
        <v/>
      </c>
    </row>
    <row r="359">
      <c r="A359" s="67" t="n"/>
      <c r="B359" s="69" t="n"/>
      <c r="C359" s="69" t="n"/>
      <c r="D359" s="69" t="n"/>
      <c r="E359" s="84">
        <f>IF($A359="","",B359+C359+D359)</f>
        <v/>
      </c>
      <c r="F359" s="85">
        <f>IF($A359="","",SUMIFS($E$5:$E$800,$A$5:$A$800,"&gt;="&amp;DATE(YEAR($A359),MONTH($A359),1),$A$5:$A$800,"&lt;="&amp;$A359)+IF(AND(YEAR($A359)=YEAR(Settings!$B$3),MONTH($A359)=MONTH(Settings!$B$3)),Settings!$B$14,0))</f>
        <v/>
      </c>
    </row>
    <row r="360">
      <c r="A360" s="67" t="n"/>
      <c r="B360" s="69" t="n"/>
      <c r="C360" s="69" t="n"/>
      <c r="D360" s="69" t="n"/>
      <c r="E360" s="84">
        <f>IF($A360="","",B360+C360+D360)</f>
        <v/>
      </c>
      <c r="F360" s="85">
        <f>IF($A360="","",SUMIFS($E$5:$E$800,$A$5:$A$800,"&gt;="&amp;DATE(YEAR($A360),MONTH($A360),1),$A$5:$A$800,"&lt;="&amp;$A360)+IF(AND(YEAR($A360)=YEAR(Settings!$B$3),MONTH($A360)=MONTH(Settings!$B$3)),Settings!$B$14,0))</f>
        <v/>
      </c>
    </row>
    <row r="361">
      <c r="A361" s="67" t="n"/>
      <c r="B361" s="69" t="n"/>
      <c r="C361" s="69" t="n"/>
      <c r="D361" s="69" t="n"/>
      <c r="E361" s="84">
        <f>IF($A361="","",B361+C361+D361)</f>
        <v/>
      </c>
      <c r="F361" s="85">
        <f>IF($A361="","",SUMIFS($E$5:$E$800,$A$5:$A$800,"&gt;="&amp;DATE(YEAR($A361),MONTH($A361),1),$A$5:$A$800,"&lt;="&amp;$A361)+IF(AND(YEAR($A361)=YEAR(Settings!$B$3),MONTH($A361)=MONTH(Settings!$B$3)),Settings!$B$14,0))</f>
        <v/>
      </c>
    </row>
    <row r="362">
      <c r="A362" s="67" t="n"/>
      <c r="B362" s="69" t="n"/>
      <c r="C362" s="69" t="n"/>
      <c r="D362" s="69" t="n"/>
      <c r="E362" s="84">
        <f>IF($A362="","",B362+C362+D362)</f>
        <v/>
      </c>
      <c r="F362" s="85">
        <f>IF($A362="","",SUMIFS($E$5:$E$800,$A$5:$A$800,"&gt;="&amp;DATE(YEAR($A362),MONTH($A362),1),$A$5:$A$800,"&lt;="&amp;$A362)+IF(AND(YEAR($A362)=YEAR(Settings!$B$3),MONTH($A362)=MONTH(Settings!$B$3)),Settings!$B$14,0))</f>
        <v/>
      </c>
    </row>
    <row r="363">
      <c r="A363" s="67" t="n"/>
      <c r="B363" s="69" t="n"/>
      <c r="C363" s="69" t="n"/>
      <c r="D363" s="69" t="n"/>
      <c r="E363" s="84">
        <f>IF($A363="","",B363+C363+D363)</f>
        <v/>
      </c>
      <c r="F363" s="85">
        <f>IF($A363="","",SUMIFS($E$5:$E$800,$A$5:$A$800,"&gt;="&amp;DATE(YEAR($A363),MONTH($A363),1),$A$5:$A$800,"&lt;="&amp;$A363)+IF(AND(YEAR($A363)=YEAR(Settings!$B$3),MONTH($A363)=MONTH(Settings!$B$3)),Settings!$B$14,0))</f>
        <v/>
      </c>
    </row>
    <row r="364">
      <c r="A364" s="67" t="n"/>
      <c r="B364" s="69" t="n"/>
      <c r="C364" s="69" t="n"/>
      <c r="D364" s="69" t="n"/>
      <c r="E364" s="84">
        <f>IF($A364="","",B364+C364+D364)</f>
        <v/>
      </c>
      <c r="F364" s="85">
        <f>IF($A364="","",SUMIFS($E$5:$E$800,$A$5:$A$800,"&gt;="&amp;DATE(YEAR($A364),MONTH($A364),1),$A$5:$A$800,"&lt;="&amp;$A364)+IF(AND(YEAR($A364)=YEAR(Settings!$B$3),MONTH($A364)=MONTH(Settings!$B$3)),Settings!$B$14,0))</f>
        <v/>
      </c>
    </row>
    <row r="365">
      <c r="A365" s="67" t="n"/>
      <c r="B365" s="69" t="n"/>
      <c r="C365" s="69" t="n"/>
      <c r="D365" s="69" t="n"/>
      <c r="E365" s="84">
        <f>IF($A365="","",B365+C365+D365)</f>
        <v/>
      </c>
      <c r="F365" s="85">
        <f>IF($A365="","",SUMIFS($E$5:$E$800,$A$5:$A$800,"&gt;="&amp;DATE(YEAR($A365),MONTH($A365),1),$A$5:$A$800,"&lt;="&amp;$A365)+IF(AND(YEAR($A365)=YEAR(Settings!$B$3),MONTH($A365)=MONTH(Settings!$B$3)),Settings!$B$14,0))</f>
        <v/>
      </c>
    </row>
    <row r="366">
      <c r="A366" s="67" t="n"/>
      <c r="B366" s="69" t="n"/>
      <c r="C366" s="69" t="n"/>
      <c r="D366" s="69" t="n"/>
      <c r="E366" s="84">
        <f>IF($A366="","",B366+C366+D366)</f>
        <v/>
      </c>
      <c r="F366" s="85">
        <f>IF($A366="","",SUMIFS($E$5:$E$800,$A$5:$A$800,"&gt;="&amp;DATE(YEAR($A366),MONTH($A366),1),$A$5:$A$800,"&lt;="&amp;$A366)+IF(AND(YEAR($A366)=YEAR(Settings!$B$3),MONTH($A366)=MONTH(Settings!$B$3)),Settings!$B$14,0))</f>
        <v/>
      </c>
    </row>
    <row r="367">
      <c r="A367" s="67" t="n"/>
      <c r="B367" s="69" t="n"/>
      <c r="C367" s="69" t="n"/>
      <c r="D367" s="69" t="n"/>
      <c r="E367" s="84">
        <f>IF($A367="","",B367+C367+D367)</f>
        <v/>
      </c>
      <c r="F367" s="85">
        <f>IF($A367="","",SUMIFS($E$5:$E$800,$A$5:$A$800,"&gt;="&amp;DATE(YEAR($A367),MONTH($A367),1),$A$5:$A$800,"&lt;="&amp;$A367)+IF(AND(YEAR($A367)=YEAR(Settings!$B$3),MONTH($A367)=MONTH(Settings!$B$3)),Settings!$B$14,0))</f>
        <v/>
      </c>
    </row>
    <row r="368">
      <c r="A368" s="67" t="n"/>
      <c r="B368" s="69" t="n"/>
      <c r="C368" s="69" t="n"/>
      <c r="D368" s="69" t="n"/>
      <c r="E368" s="84">
        <f>IF($A368="","",B368+C368+D368)</f>
        <v/>
      </c>
      <c r="F368" s="85">
        <f>IF($A368="","",SUMIFS($E$5:$E$800,$A$5:$A$800,"&gt;="&amp;DATE(YEAR($A368),MONTH($A368),1),$A$5:$A$800,"&lt;="&amp;$A368)+IF(AND(YEAR($A368)=YEAR(Settings!$B$3),MONTH($A368)=MONTH(Settings!$B$3)),Settings!$B$14,0))</f>
        <v/>
      </c>
    </row>
    <row r="369">
      <c r="A369" s="67" t="n"/>
      <c r="B369" s="69" t="n"/>
      <c r="C369" s="69" t="n"/>
      <c r="D369" s="69" t="n"/>
      <c r="E369" s="84">
        <f>IF($A369="","",B369+C369+D369)</f>
        <v/>
      </c>
      <c r="F369" s="85">
        <f>IF($A369="","",SUMIFS($E$5:$E$800,$A$5:$A$800,"&gt;="&amp;DATE(YEAR($A369),MONTH($A369),1),$A$5:$A$800,"&lt;="&amp;$A369)+IF(AND(YEAR($A369)=YEAR(Settings!$B$3),MONTH($A369)=MONTH(Settings!$B$3)),Settings!$B$14,0))</f>
        <v/>
      </c>
    </row>
    <row r="370">
      <c r="A370" s="67" t="n"/>
      <c r="B370" s="69" t="n"/>
      <c r="C370" s="69" t="n"/>
      <c r="D370" s="69" t="n"/>
      <c r="E370" s="84">
        <f>IF($A370="","",B370+C370+D370)</f>
        <v/>
      </c>
      <c r="F370" s="85">
        <f>IF($A370="","",SUMIFS($E$5:$E$800,$A$5:$A$800,"&gt;="&amp;DATE(YEAR($A370),MONTH($A370),1),$A$5:$A$800,"&lt;="&amp;$A370)+IF(AND(YEAR($A370)=YEAR(Settings!$B$3),MONTH($A370)=MONTH(Settings!$B$3)),Settings!$B$14,0))</f>
        <v/>
      </c>
    </row>
    <row r="371">
      <c r="A371" s="67" t="n"/>
      <c r="B371" s="69" t="n"/>
      <c r="C371" s="69" t="n"/>
      <c r="D371" s="69" t="n"/>
      <c r="E371" s="84">
        <f>IF($A371="","",B371+C371+D371)</f>
        <v/>
      </c>
      <c r="F371" s="85">
        <f>IF($A371="","",SUMIFS($E$5:$E$800,$A$5:$A$800,"&gt;="&amp;DATE(YEAR($A371),MONTH($A371),1),$A$5:$A$800,"&lt;="&amp;$A371)+IF(AND(YEAR($A371)=YEAR(Settings!$B$3),MONTH($A371)=MONTH(Settings!$B$3)),Settings!$B$14,0))</f>
        <v/>
      </c>
    </row>
    <row r="372">
      <c r="A372" s="67" t="n"/>
      <c r="B372" s="69" t="n"/>
      <c r="C372" s="69" t="n"/>
      <c r="D372" s="69" t="n"/>
      <c r="E372" s="84">
        <f>IF($A372="","",B372+C372+D372)</f>
        <v/>
      </c>
      <c r="F372" s="85">
        <f>IF($A372="","",SUMIFS($E$5:$E$800,$A$5:$A$800,"&gt;="&amp;DATE(YEAR($A372),MONTH($A372),1),$A$5:$A$800,"&lt;="&amp;$A372)+IF(AND(YEAR($A372)=YEAR(Settings!$B$3),MONTH($A372)=MONTH(Settings!$B$3)),Settings!$B$14,0))</f>
        <v/>
      </c>
    </row>
    <row r="373">
      <c r="A373" s="67" t="n"/>
      <c r="B373" s="69" t="n"/>
      <c r="C373" s="69" t="n"/>
      <c r="D373" s="69" t="n"/>
      <c r="E373" s="84">
        <f>IF($A373="","",B373+C373+D373)</f>
        <v/>
      </c>
      <c r="F373" s="85">
        <f>IF($A373="","",SUMIFS($E$5:$E$800,$A$5:$A$800,"&gt;="&amp;DATE(YEAR($A373),MONTH($A373),1),$A$5:$A$800,"&lt;="&amp;$A373)+IF(AND(YEAR($A373)=YEAR(Settings!$B$3),MONTH($A373)=MONTH(Settings!$B$3)),Settings!$B$14,0))</f>
        <v/>
      </c>
    </row>
    <row r="374">
      <c r="A374" s="67" t="n"/>
      <c r="B374" s="69" t="n"/>
      <c r="C374" s="69" t="n"/>
      <c r="D374" s="69" t="n"/>
      <c r="E374" s="84">
        <f>IF($A374="","",B374+C374+D374)</f>
        <v/>
      </c>
      <c r="F374" s="85">
        <f>IF($A374="","",SUMIFS($E$5:$E$800,$A$5:$A$800,"&gt;="&amp;DATE(YEAR($A374),MONTH($A374),1),$A$5:$A$800,"&lt;="&amp;$A374)+IF(AND(YEAR($A374)=YEAR(Settings!$B$3),MONTH($A374)=MONTH(Settings!$B$3)),Settings!$B$14,0))</f>
        <v/>
      </c>
    </row>
    <row r="375">
      <c r="A375" s="67" t="n"/>
      <c r="B375" s="69" t="n"/>
      <c r="C375" s="69" t="n"/>
      <c r="D375" s="69" t="n"/>
      <c r="E375" s="84">
        <f>IF($A375="","",B375+C375+D375)</f>
        <v/>
      </c>
      <c r="F375" s="85">
        <f>IF($A375="","",SUMIFS($E$5:$E$800,$A$5:$A$800,"&gt;="&amp;DATE(YEAR($A375),MONTH($A375),1),$A$5:$A$800,"&lt;="&amp;$A375)+IF(AND(YEAR($A375)=YEAR(Settings!$B$3),MONTH($A375)=MONTH(Settings!$B$3)),Settings!$B$14,0))</f>
        <v/>
      </c>
    </row>
    <row r="376">
      <c r="A376" s="67" t="n"/>
      <c r="B376" s="69" t="n"/>
      <c r="C376" s="69" t="n"/>
      <c r="D376" s="69" t="n"/>
      <c r="E376" s="84">
        <f>IF($A376="","",B376+C376+D376)</f>
        <v/>
      </c>
      <c r="F376" s="85">
        <f>IF($A376="","",SUMIFS($E$5:$E$800,$A$5:$A$800,"&gt;="&amp;DATE(YEAR($A376),MONTH($A376),1),$A$5:$A$800,"&lt;="&amp;$A376)+IF(AND(YEAR($A376)=YEAR(Settings!$B$3),MONTH($A376)=MONTH(Settings!$B$3)),Settings!$B$14,0))</f>
        <v/>
      </c>
    </row>
    <row r="377">
      <c r="A377" s="67" t="n"/>
      <c r="B377" s="69" t="n"/>
      <c r="C377" s="69" t="n"/>
      <c r="D377" s="69" t="n"/>
      <c r="E377" s="84">
        <f>IF($A377="","",B377+C377+D377)</f>
        <v/>
      </c>
      <c r="F377" s="85">
        <f>IF($A377="","",SUMIFS($E$5:$E$800,$A$5:$A$800,"&gt;="&amp;DATE(YEAR($A377),MONTH($A377),1),$A$5:$A$800,"&lt;="&amp;$A377)+IF(AND(YEAR($A377)=YEAR(Settings!$B$3),MONTH($A377)=MONTH(Settings!$B$3)),Settings!$B$14,0))</f>
        <v/>
      </c>
    </row>
    <row r="378">
      <c r="A378" s="67" t="n"/>
      <c r="B378" s="69" t="n"/>
      <c r="C378" s="69" t="n"/>
      <c r="D378" s="69" t="n"/>
      <c r="E378" s="84">
        <f>IF($A378="","",B378+C378+D378)</f>
        <v/>
      </c>
      <c r="F378" s="85">
        <f>IF($A378="","",SUMIFS($E$5:$E$800,$A$5:$A$800,"&gt;="&amp;DATE(YEAR($A378),MONTH($A378),1),$A$5:$A$800,"&lt;="&amp;$A378)+IF(AND(YEAR($A378)=YEAR(Settings!$B$3),MONTH($A378)=MONTH(Settings!$B$3)),Settings!$B$14,0))</f>
        <v/>
      </c>
    </row>
    <row r="379">
      <c r="A379" s="67" t="n"/>
      <c r="B379" s="69" t="n"/>
      <c r="C379" s="69" t="n"/>
      <c r="D379" s="69" t="n"/>
      <c r="E379" s="84">
        <f>IF($A379="","",B379+C379+D379)</f>
        <v/>
      </c>
      <c r="F379" s="85">
        <f>IF($A379="","",SUMIFS($E$5:$E$800,$A$5:$A$800,"&gt;="&amp;DATE(YEAR($A379),MONTH($A379),1),$A$5:$A$800,"&lt;="&amp;$A379)+IF(AND(YEAR($A379)=YEAR(Settings!$B$3),MONTH($A379)=MONTH(Settings!$B$3)),Settings!$B$14,0))</f>
        <v/>
      </c>
    </row>
    <row r="380">
      <c r="A380" s="67" t="n"/>
      <c r="B380" s="69" t="n"/>
      <c r="C380" s="69" t="n"/>
      <c r="D380" s="69" t="n"/>
      <c r="E380" s="84">
        <f>IF($A380="","",B380+C380+D380)</f>
        <v/>
      </c>
      <c r="F380" s="85">
        <f>IF($A380="","",SUMIFS($E$5:$E$800,$A$5:$A$800,"&gt;="&amp;DATE(YEAR($A380),MONTH($A380),1),$A$5:$A$800,"&lt;="&amp;$A380)+IF(AND(YEAR($A380)=YEAR(Settings!$B$3),MONTH($A380)=MONTH(Settings!$B$3)),Settings!$B$14,0))</f>
        <v/>
      </c>
    </row>
    <row r="381">
      <c r="A381" s="67" t="n"/>
      <c r="B381" s="69" t="n"/>
      <c r="C381" s="69" t="n"/>
      <c r="D381" s="69" t="n"/>
      <c r="E381" s="84">
        <f>IF($A381="","",B381+C381+D381)</f>
        <v/>
      </c>
      <c r="F381" s="85">
        <f>IF($A381="","",SUMIFS($E$5:$E$800,$A$5:$A$800,"&gt;="&amp;DATE(YEAR($A381),MONTH($A381),1),$A$5:$A$800,"&lt;="&amp;$A381)+IF(AND(YEAR($A381)=YEAR(Settings!$B$3),MONTH($A381)=MONTH(Settings!$B$3)),Settings!$B$14,0))</f>
        <v/>
      </c>
    </row>
    <row r="382">
      <c r="A382" s="67" t="n"/>
      <c r="B382" s="69" t="n"/>
      <c r="C382" s="69" t="n"/>
      <c r="D382" s="69" t="n"/>
      <c r="E382" s="84">
        <f>IF($A382="","",B382+C382+D382)</f>
        <v/>
      </c>
      <c r="F382" s="85">
        <f>IF($A382="","",SUMIFS($E$5:$E$800,$A$5:$A$800,"&gt;="&amp;DATE(YEAR($A382),MONTH($A382),1),$A$5:$A$800,"&lt;="&amp;$A382)+IF(AND(YEAR($A382)=YEAR(Settings!$B$3),MONTH($A382)=MONTH(Settings!$B$3)),Settings!$B$14,0))</f>
        <v/>
      </c>
    </row>
    <row r="383">
      <c r="A383" s="67" t="n"/>
      <c r="B383" s="69" t="n"/>
      <c r="C383" s="69" t="n"/>
      <c r="D383" s="69" t="n"/>
      <c r="E383" s="84">
        <f>IF($A383="","",B383+C383+D383)</f>
        <v/>
      </c>
      <c r="F383" s="85">
        <f>IF($A383="","",SUMIFS($E$5:$E$800,$A$5:$A$800,"&gt;="&amp;DATE(YEAR($A383),MONTH($A383),1),$A$5:$A$800,"&lt;="&amp;$A383)+IF(AND(YEAR($A383)=YEAR(Settings!$B$3),MONTH($A383)=MONTH(Settings!$B$3)),Settings!$B$14,0))</f>
        <v/>
      </c>
    </row>
    <row r="384">
      <c r="A384" s="67" t="n"/>
      <c r="B384" s="69" t="n"/>
      <c r="C384" s="69" t="n"/>
      <c r="D384" s="69" t="n"/>
      <c r="E384" s="84">
        <f>IF($A384="","",B384+C384+D384)</f>
        <v/>
      </c>
      <c r="F384" s="85">
        <f>IF($A384="","",SUMIFS($E$5:$E$800,$A$5:$A$800,"&gt;="&amp;DATE(YEAR($A384),MONTH($A384),1),$A$5:$A$800,"&lt;="&amp;$A384)+IF(AND(YEAR($A384)=YEAR(Settings!$B$3),MONTH($A384)=MONTH(Settings!$B$3)),Settings!$B$14,0))</f>
        <v/>
      </c>
    </row>
    <row r="385">
      <c r="A385" s="67" t="n"/>
      <c r="B385" s="69" t="n"/>
      <c r="C385" s="69" t="n"/>
      <c r="D385" s="69" t="n"/>
      <c r="E385" s="84">
        <f>IF($A385="","",B385+C385+D385)</f>
        <v/>
      </c>
      <c r="F385" s="85">
        <f>IF($A385="","",SUMIFS($E$5:$E$800,$A$5:$A$800,"&gt;="&amp;DATE(YEAR($A385),MONTH($A385),1),$A$5:$A$800,"&lt;="&amp;$A385)+IF(AND(YEAR($A385)=YEAR(Settings!$B$3),MONTH($A385)=MONTH(Settings!$B$3)),Settings!$B$14,0))</f>
        <v/>
      </c>
    </row>
    <row r="386">
      <c r="A386" s="67" t="n"/>
      <c r="B386" s="69" t="n"/>
      <c r="C386" s="69" t="n"/>
      <c r="D386" s="69" t="n"/>
      <c r="E386" s="84">
        <f>IF($A386="","",B386+C386+D386)</f>
        <v/>
      </c>
      <c r="F386" s="85">
        <f>IF($A386="","",SUMIFS($E$5:$E$800,$A$5:$A$800,"&gt;="&amp;DATE(YEAR($A386),MONTH($A386),1),$A$5:$A$800,"&lt;="&amp;$A386)+IF(AND(YEAR($A386)=YEAR(Settings!$B$3),MONTH($A386)=MONTH(Settings!$B$3)),Settings!$B$14,0))</f>
        <v/>
      </c>
    </row>
    <row r="387">
      <c r="A387" s="67" t="n"/>
      <c r="B387" s="69" t="n"/>
      <c r="C387" s="69" t="n"/>
      <c r="D387" s="69" t="n"/>
      <c r="E387" s="84">
        <f>IF($A387="","",B387+C387+D387)</f>
        <v/>
      </c>
      <c r="F387" s="85">
        <f>IF($A387="","",SUMIFS($E$5:$E$800,$A$5:$A$800,"&gt;="&amp;DATE(YEAR($A387),MONTH($A387),1),$A$5:$A$800,"&lt;="&amp;$A387)+IF(AND(YEAR($A387)=YEAR(Settings!$B$3),MONTH($A387)=MONTH(Settings!$B$3)),Settings!$B$14,0))</f>
        <v/>
      </c>
    </row>
    <row r="388">
      <c r="A388" s="67" t="n"/>
      <c r="B388" s="69" t="n"/>
      <c r="C388" s="69" t="n"/>
      <c r="D388" s="69" t="n"/>
      <c r="E388" s="84">
        <f>IF($A388="","",B388+C388+D388)</f>
        <v/>
      </c>
      <c r="F388" s="85">
        <f>IF($A388="","",SUMIFS($E$5:$E$800,$A$5:$A$800,"&gt;="&amp;DATE(YEAR($A388),MONTH($A388),1),$A$5:$A$800,"&lt;="&amp;$A388)+IF(AND(YEAR($A388)=YEAR(Settings!$B$3),MONTH($A388)=MONTH(Settings!$B$3)),Settings!$B$14,0))</f>
        <v/>
      </c>
    </row>
    <row r="389">
      <c r="A389" s="67" t="n"/>
      <c r="B389" s="69" t="n"/>
      <c r="C389" s="69" t="n"/>
      <c r="D389" s="69" t="n"/>
      <c r="E389" s="84">
        <f>IF($A389="","",B389+C389+D389)</f>
        <v/>
      </c>
      <c r="F389" s="85">
        <f>IF($A389="","",SUMIFS($E$5:$E$800,$A$5:$A$800,"&gt;="&amp;DATE(YEAR($A389),MONTH($A389),1),$A$5:$A$800,"&lt;="&amp;$A389)+IF(AND(YEAR($A389)=YEAR(Settings!$B$3),MONTH($A389)=MONTH(Settings!$B$3)),Settings!$B$14,0))</f>
        <v/>
      </c>
    </row>
    <row r="390">
      <c r="A390" s="67" t="n"/>
      <c r="B390" s="69" t="n"/>
      <c r="C390" s="69" t="n"/>
      <c r="D390" s="69" t="n"/>
      <c r="E390" s="84">
        <f>IF($A390="","",B390+C390+D390)</f>
        <v/>
      </c>
      <c r="F390" s="85">
        <f>IF($A390="","",SUMIFS($E$5:$E$800,$A$5:$A$800,"&gt;="&amp;DATE(YEAR($A390),MONTH($A390),1),$A$5:$A$800,"&lt;="&amp;$A390)+IF(AND(YEAR($A390)=YEAR(Settings!$B$3),MONTH($A390)=MONTH(Settings!$B$3)),Settings!$B$14,0))</f>
        <v/>
      </c>
    </row>
    <row r="391">
      <c r="A391" s="67" t="n"/>
      <c r="B391" s="69" t="n"/>
      <c r="C391" s="69" t="n"/>
      <c r="D391" s="69" t="n"/>
      <c r="E391" s="84">
        <f>IF($A391="","",B391+C391+D391)</f>
        <v/>
      </c>
      <c r="F391" s="85">
        <f>IF($A391="","",SUMIFS($E$5:$E$800,$A$5:$A$800,"&gt;="&amp;DATE(YEAR($A391),MONTH($A391),1),$A$5:$A$800,"&lt;="&amp;$A391)+IF(AND(YEAR($A391)=YEAR(Settings!$B$3),MONTH($A391)=MONTH(Settings!$B$3)),Settings!$B$14,0))</f>
        <v/>
      </c>
    </row>
    <row r="392">
      <c r="A392" s="67" t="n"/>
      <c r="B392" s="69" t="n"/>
      <c r="C392" s="69" t="n"/>
      <c r="D392" s="69" t="n"/>
      <c r="E392" s="84">
        <f>IF($A392="","",B392+C392+D392)</f>
        <v/>
      </c>
      <c r="F392" s="85">
        <f>IF($A392="","",SUMIFS($E$5:$E$800,$A$5:$A$800,"&gt;="&amp;DATE(YEAR($A392),MONTH($A392),1),$A$5:$A$800,"&lt;="&amp;$A392)+IF(AND(YEAR($A392)=YEAR(Settings!$B$3),MONTH($A392)=MONTH(Settings!$B$3)),Settings!$B$14,0))</f>
        <v/>
      </c>
    </row>
    <row r="393">
      <c r="A393" s="67" t="n"/>
      <c r="B393" s="69" t="n"/>
      <c r="C393" s="69" t="n"/>
      <c r="D393" s="69" t="n"/>
      <c r="E393" s="84">
        <f>IF($A393="","",B393+C393+D393)</f>
        <v/>
      </c>
      <c r="F393" s="85">
        <f>IF($A393="","",SUMIFS($E$5:$E$800,$A$5:$A$800,"&gt;="&amp;DATE(YEAR($A393),MONTH($A393),1),$A$5:$A$800,"&lt;="&amp;$A393)+IF(AND(YEAR($A393)=YEAR(Settings!$B$3),MONTH($A393)=MONTH(Settings!$B$3)),Settings!$B$14,0))</f>
        <v/>
      </c>
    </row>
    <row r="394">
      <c r="A394" s="67" t="n"/>
      <c r="B394" s="69" t="n"/>
      <c r="C394" s="69" t="n"/>
      <c r="D394" s="69" t="n"/>
      <c r="E394" s="84">
        <f>IF($A394="","",B394+C394+D394)</f>
        <v/>
      </c>
      <c r="F394" s="85">
        <f>IF($A394="","",SUMIFS($E$5:$E$800,$A$5:$A$800,"&gt;="&amp;DATE(YEAR($A394),MONTH($A394),1),$A$5:$A$800,"&lt;="&amp;$A394)+IF(AND(YEAR($A394)=YEAR(Settings!$B$3),MONTH($A394)=MONTH(Settings!$B$3)),Settings!$B$14,0))</f>
        <v/>
      </c>
    </row>
    <row r="395">
      <c r="A395" s="67" t="n"/>
      <c r="B395" s="69" t="n"/>
      <c r="C395" s="69" t="n"/>
      <c r="D395" s="69" t="n"/>
      <c r="E395" s="84">
        <f>IF($A395="","",B395+C395+D395)</f>
        <v/>
      </c>
      <c r="F395" s="85">
        <f>IF($A395="","",SUMIFS($E$5:$E$800,$A$5:$A$800,"&gt;="&amp;DATE(YEAR($A395),MONTH($A395),1),$A$5:$A$800,"&lt;="&amp;$A395)+IF(AND(YEAR($A395)=YEAR(Settings!$B$3),MONTH($A395)=MONTH(Settings!$B$3)),Settings!$B$14,0))</f>
        <v/>
      </c>
    </row>
    <row r="396">
      <c r="A396" s="67" t="n"/>
      <c r="B396" s="69" t="n"/>
      <c r="C396" s="69" t="n"/>
      <c r="D396" s="69" t="n"/>
      <c r="E396" s="84">
        <f>IF($A396="","",B396+C396+D396)</f>
        <v/>
      </c>
      <c r="F396" s="85">
        <f>IF($A396="","",SUMIFS($E$5:$E$800,$A$5:$A$800,"&gt;="&amp;DATE(YEAR($A396),MONTH($A396),1),$A$5:$A$800,"&lt;="&amp;$A396)+IF(AND(YEAR($A396)=YEAR(Settings!$B$3),MONTH($A396)=MONTH(Settings!$B$3)),Settings!$B$14,0))</f>
        <v/>
      </c>
    </row>
    <row r="397">
      <c r="A397" s="67" t="n"/>
      <c r="B397" s="69" t="n"/>
      <c r="C397" s="69" t="n"/>
      <c r="D397" s="69" t="n"/>
      <c r="E397" s="84">
        <f>IF($A397="","",B397+C397+D397)</f>
        <v/>
      </c>
      <c r="F397" s="85">
        <f>IF($A397="","",SUMIFS($E$5:$E$800,$A$5:$A$800,"&gt;="&amp;DATE(YEAR($A397),MONTH($A397),1),$A$5:$A$800,"&lt;="&amp;$A397)+IF(AND(YEAR($A397)=YEAR(Settings!$B$3),MONTH($A397)=MONTH(Settings!$B$3)),Settings!$B$14,0))</f>
        <v/>
      </c>
    </row>
    <row r="398">
      <c r="A398" s="67" t="n"/>
      <c r="B398" s="69" t="n"/>
      <c r="C398" s="69" t="n"/>
      <c r="D398" s="69" t="n"/>
      <c r="E398" s="84">
        <f>IF($A398="","",B398+C398+D398)</f>
        <v/>
      </c>
      <c r="F398" s="85">
        <f>IF($A398="","",SUMIFS($E$5:$E$800,$A$5:$A$800,"&gt;="&amp;DATE(YEAR($A398),MONTH($A398),1),$A$5:$A$800,"&lt;="&amp;$A398)+IF(AND(YEAR($A398)=YEAR(Settings!$B$3),MONTH($A398)=MONTH(Settings!$B$3)),Settings!$B$14,0))</f>
        <v/>
      </c>
    </row>
    <row r="399">
      <c r="A399" s="67" t="n"/>
      <c r="B399" s="69" t="n"/>
      <c r="C399" s="69" t="n"/>
      <c r="D399" s="69" t="n"/>
      <c r="E399" s="84">
        <f>IF($A399="","",B399+C399+D399)</f>
        <v/>
      </c>
      <c r="F399" s="85">
        <f>IF($A399="","",SUMIFS($E$5:$E$800,$A$5:$A$800,"&gt;="&amp;DATE(YEAR($A399),MONTH($A399),1),$A$5:$A$800,"&lt;="&amp;$A399)+IF(AND(YEAR($A399)=YEAR(Settings!$B$3),MONTH($A399)=MONTH(Settings!$B$3)),Settings!$B$14,0))</f>
        <v/>
      </c>
    </row>
    <row r="400">
      <c r="A400" s="67" t="n"/>
      <c r="B400" s="69" t="n"/>
      <c r="C400" s="69" t="n"/>
      <c r="D400" s="69" t="n"/>
      <c r="E400" s="84">
        <f>IF($A400="","",B400+C400+D400)</f>
        <v/>
      </c>
      <c r="F400" s="85">
        <f>IF($A400="","",SUMIFS($E$5:$E$800,$A$5:$A$800,"&gt;="&amp;DATE(YEAR($A400),MONTH($A400),1),$A$5:$A$800,"&lt;="&amp;$A400)+IF(AND(YEAR($A400)=YEAR(Settings!$B$3),MONTH($A400)=MONTH(Settings!$B$3)),Settings!$B$14,0))</f>
        <v/>
      </c>
    </row>
    <row r="401">
      <c r="A401" s="67" t="n"/>
      <c r="B401" s="69" t="n"/>
      <c r="C401" s="69" t="n"/>
      <c r="D401" s="69" t="n"/>
      <c r="E401" s="84">
        <f>IF($A401="","",B401+C401+D401)</f>
        <v/>
      </c>
      <c r="F401" s="85">
        <f>IF($A401="","",SUMIFS($E$5:$E$800,$A$5:$A$800,"&gt;="&amp;DATE(YEAR($A401),MONTH($A401),1),$A$5:$A$800,"&lt;="&amp;$A401)+IF(AND(YEAR($A401)=YEAR(Settings!$B$3),MONTH($A401)=MONTH(Settings!$B$3)),Settings!$B$14,0))</f>
        <v/>
      </c>
    </row>
    <row r="402">
      <c r="A402" s="67" t="n"/>
      <c r="B402" s="69" t="n"/>
      <c r="C402" s="69" t="n"/>
      <c r="D402" s="69" t="n"/>
      <c r="E402" s="84">
        <f>IF($A402="","",B402+C402+D402)</f>
        <v/>
      </c>
      <c r="F402" s="85">
        <f>IF($A402="","",SUMIFS($E$5:$E$800,$A$5:$A$800,"&gt;="&amp;DATE(YEAR($A402),MONTH($A402),1),$A$5:$A$800,"&lt;="&amp;$A402)+IF(AND(YEAR($A402)=YEAR(Settings!$B$3),MONTH($A402)=MONTH(Settings!$B$3)),Settings!$B$14,0))</f>
        <v/>
      </c>
    </row>
    <row r="403">
      <c r="A403" s="67" t="n"/>
      <c r="B403" s="69" t="n"/>
      <c r="C403" s="69" t="n"/>
      <c r="D403" s="69" t="n"/>
      <c r="E403" s="84">
        <f>IF($A403="","",B403+C403+D403)</f>
        <v/>
      </c>
      <c r="F403" s="85">
        <f>IF($A403="","",SUMIFS($E$5:$E$800,$A$5:$A$800,"&gt;="&amp;DATE(YEAR($A403),MONTH($A403),1),$A$5:$A$800,"&lt;="&amp;$A403)+IF(AND(YEAR($A403)=YEAR(Settings!$B$3),MONTH($A403)=MONTH(Settings!$B$3)),Settings!$B$14,0))</f>
        <v/>
      </c>
    </row>
    <row r="404">
      <c r="A404" s="67" t="n"/>
      <c r="B404" s="69" t="n"/>
      <c r="C404" s="69" t="n"/>
      <c r="D404" s="69" t="n"/>
      <c r="E404" s="84">
        <f>IF($A404="","",B404+C404+D404)</f>
        <v/>
      </c>
      <c r="F404" s="85">
        <f>IF($A404="","",SUMIFS($E$5:$E$800,$A$5:$A$800,"&gt;="&amp;DATE(YEAR($A404),MONTH($A404),1),$A$5:$A$800,"&lt;="&amp;$A404)+IF(AND(YEAR($A404)=YEAR(Settings!$B$3),MONTH($A404)=MONTH(Settings!$B$3)),Settings!$B$14,0))</f>
        <v/>
      </c>
    </row>
    <row r="405">
      <c r="A405" s="67" t="n"/>
      <c r="B405" s="69" t="n"/>
      <c r="C405" s="69" t="n"/>
      <c r="D405" s="69" t="n"/>
      <c r="E405" s="84">
        <f>IF($A405="","",B405+C405+D405)</f>
        <v/>
      </c>
      <c r="F405" s="85">
        <f>IF($A405="","",SUMIFS($E$5:$E$800,$A$5:$A$800,"&gt;="&amp;DATE(YEAR($A405),MONTH($A405),1),$A$5:$A$800,"&lt;="&amp;$A405)+IF(AND(YEAR($A405)=YEAR(Settings!$B$3),MONTH($A405)=MONTH(Settings!$B$3)),Settings!$B$14,0))</f>
        <v/>
      </c>
    </row>
    <row r="406">
      <c r="A406" s="67" t="n"/>
      <c r="B406" s="69" t="n"/>
      <c r="C406" s="69" t="n"/>
      <c r="D406" s="69" t="n"/>
      <c r="E406" s="84">
        <f>IF($A406="","",B406+C406+D406)</f>
        <v/>
      </c>
      <c r="F406" s="85">
        <f>IF($A406="","",SUMIFS($E$5:$E$800,$A$5:$A$800,"&gt;="&amp;DATE(YEAR($A406),MONTH($A406),1),$A$5:$A$800,"&lt;="&amp;$A406)+IF(AND(YEAR($A406)=YEAR(Settings!$B$3),MONTH($A406)=MONTH(Settings!$B$3)),Settings!$B$14,0))</f>
        <v/>
      </c>
    </row>
    <row r="407">
      <c r="A407" s="67" t="n"/>
      <c r="B407" s="69" t="n"/>
      <c r="C407" s="69" t="n"/>
      <c r="D407" s="69" t="n"/>
      <c r="E407" s="84">
        <f>IF($A407="","",B407+C407+D407)</f>
        <v/>
      </c>
      <c r="F407" s="85">
        <f>IF($A407="","",SUMIFS($E$5:$E$800,$A$5:$A$800,"&gt;="&amp;DATE(YEAR($A407),MONTH($A407),1),$A$5:$A$800,"&lt;="&amp;$A407)+IF(AND(YEAR($A407)=YEAR(Settings!$B$3),MONTH($A407)=MONTH(Settings!$B$3)),Settings!$B$14,0))</f>
        <v/>
      </c>
    </row>
    <row r="408">
      <c r="A408" s="67" t="n"/>
      <c r="B408" s="69" t="n"/>
      <c r="C408" s="69" t="n"/>
      <c r="D408" s="69" t="n"/>
      <c r="E408" s="84">
        <f>IF($A408="","",B408+C408+D408)</f>
        <v/>
      </c>
      <c r="F408" s="85">
        <f>IF($A408="","",SUMIFS($E$5:$E$800,$A$5:$A$800,"&gt;="&amp;DATE(YEAR($A408),MONTH($A408),1),$A$5:$A$800,"&lt;="&amp;$A408)+IF(AND(YEAR($A408)=YEAR(Settings!$B$3),MONTH($A408)=MONTH(Settings!$B$3)),Settings!$B$14,0))</f>
        <v/>
      </c>
    </row>
    <row r="409">
      <c r="A409" s="67" t="n"/>
      <c r="B409" s="69" t="n"/>
      <c r="C409" s="69" t="n"/>
      <c r="D409" s="69" t="n"/>
      <c r="E409" s="84">
        <f>IF($A409="","",B409+C409+D409)</f>
        <v/>
      </c>
      <c r="F409" s="85">
        <f>IF($A409="","",SUMIFS($E$5:$E$800,$A$5:$A$800,"&gt;="&amp;DATE(YEAR($A409),MONTH($A409),1),$A$5:$A$800,"&lt;="&amp;$A409)+IF(AND(YEAR($A409)=YEAR(Settings!$B$3),MONTH($A409)=MONTH(Settings!$B$3)),Settings!$B$14,0))</f>
        <v/>
      </c>
    </row>
    <row r="410">
      <c r="A410" s="67" t="n"/>
      <c r="B410" s="69" t="n"/>
      <c r="C410" s="69" t="n"/>
      <c r="D410" s="69" t="n"/>
      <c r="E410" s="84">
        <f>IF($A410="","",B410+C410+D410)</f>
        <v/>
      </c>
      <c r="F410" s="85">
        <f>IF($A410="","",SUMIFS($E$5:$E$800,$A$5:$A$800,"&gt;="&amp;DATE(YEAR($A410),MONTH($A410),1),$A$5:$A$800,"&lt;="&amp;$A410)+IF(AND(YEAR($A410)=YEAR(Settings!$B$3),MONTH($A410)=MONTH(Settings!$B$3)),Settings!$B$14,0))</f>
        <v/>
      </c>
    </row>
    <row r="411">
      <c r="A411" s="67" t="n"/>
      <c r="B411" s="69" t="n"/>
      <c r="C411" s="69" t="n"/>
      <c r="D411" s="69" t="n"/>
      <c r="E411" s="84">
        <f>IF($A411="","",B411+C411+D411)</f>
        <v/>
      </c>
      <c r="F411" s="85">
        <f>IF($A411="","",SUMIFS($E$5:$E$800,$A$5:$A$800,"&gt;="&amp;DATE(YEAR($A411),MONTH($A411),1),$A$5:$A$800,"&lt;="&amp;$A411)+IF(AND(YEAR($A411)=YEAR(Settings!$B$3),MONTH($A411)=MONTH(Settings!$B$3)),Settings!$B$14,0))</f>
        <v/>
      </c>
    </row>
    <row r="412">
      <c r="A412" s="67" t="n"/>
      <c r="B412" s="69" t="n"/>
      <c r="C412" s="69" t="n"/>
      <c r="D412" s="69" t="n"/>
      <c r="E412" s="84">
        <f>IF($A412="","",B412+C412+D412)</f>
        <v/>
      </c>
      <c r="F412" s="85">
        <f>IF($A412="","",SUMIFS($E$5:$E$800,$A$5:$A$800,"&gt;="&amp;DATE(YEAR($A412),MONTH($A412),1),$A$5:$A$800,"&lt;="&amp;$A412)+IF(AND(YEAR($A412)=YEAR(Settings!$B$3),MONTH($A412)=MONTH(Settings!$B$3)),Settings!$B$14,0))</f>
        <v/>
      </c>
    </row>
    <row r="413">
      <c r="A413" s="67" t="n"/>
      <c r="B413" s="69" t="n"/>
      <c r="C413" s="69" t="n"/>
      <c r="D413" s="69" t="n"/>
      <c r="E413" s="84">
        <f>IF($A413="","",B413+C413+D413)</f>
        <v/>
      </c>
      <c r="F413" s="85">
        <f>IF($A413="","",SUMIFS($E$5:$E$800,$A$5:$A$800,"&gt;="&amp;DATE(YEAR($A413),MONTH($A413),1),$A$5:$A$800,"&lt;="&amp;$A413)+IF(AND(YEAR($A413)=YEAR(Settings!$B$3),MONTH($A413)=MONTH(Settings!$B$3)),Settings!$B$14,0))</f>
        <v/>
      </c>
    </row>
    <row r="414">
      <c r="A414" s="67" t="n"/>
      <c r="B414" s="69" t="n"/>
      <c r="C414" s="69" t="n"/>
      <c r="D414" s="69" t="n"/>
      <c r="E414" s="84">
        <f>IF($A414="","",B414+C414+D414)</f>
        <v/>
      </c>
      <c r="F414" s="85">
        <f>IF($A414="","",SUMIFS($E$5:$E$800,$A$5:$A$800,"&gt;="&amp;DATE(YEAR($A414),MONTH($A414),1),$A$5:$A$800,"&lt;="&amp;$A414)+IF(AND(YEAR($A414)=YEAR(Settings!$B$3),MONTH($A414)=MONTH(Settings!$B$3)),Settings!$B$14,0))</f>
        <v/>
      </c>
    </row>
    <row r="415">
      <c r="A415" s="67" t="n"/>
      <c r="B415" s="69" t="n"/>
      <c r="C415" s="69" t="n"/>
      <c r="D415" s="69" t="n"/>
      <c r="E415" s="84">
        <f>IF($A415="","",B415+C415+D415)</f>
        <v/>
      </c>
      <c r="F415" s="85">
        <f>IF($A415="","",SUMIFS($E$5:$E$800,$A$5:$A$800,"&gt;="&amp;DATE(YEAR($A415),MONTH($A415),1),$A$5:$A$800,"&lt;="&amp;$A415)+IF(AND(YEAR($A415)=YEAR(Settings!$B$3),MONTH($A415)=MONTH(Settings!$B$3)),Settings!$B$14,0))</f>
        <v/>
      </c>
    </row>
    <row r="416">
      <c r="A416" s="67" t="n"/>
      <c r="B416" s="69" t="n"/>
      <c r="C416" s="69" t="n"/>
      <c r="D416" s="69" t="n"/>
      <c r="E416" s="84">
        <f>IF($A416="","",B416+C416+D416)</f>
        <v/>
      </c>
      <c r="F416" s="85">
        <f>IF($A416="","",SUMIFS($E$5:$E$800,$A$5:$A$800,"&gt;="&amp;DATE(YEAR($A416),MONTH($A416),1),$A$5:$A$800,"&lt;="&amp;$A416)+IF(AND(YEAR($A416)=YEAR(Settings!$B$3),MONTH($A416)=MONTH(Settings!$B$3)),Settings!$B$14,0))</f>
        <v/>
      </c>
    </row>
    <row r="417">
      <c r="A417" s="67" t="n"/>
      <c r="B417" s="69" t="n"/>
      <c r="C417" s="69" t="n"/>
      <c r="D417" s="69" t="n"/>
      <c r="E417" s="84">
        <f>IF($A417="","",B417+C417+D417)</f>
        <v/>
      </c>
      <c r="F417" s="85">
        <f>IF($A417="","",SUMIFS($E$5:$E$800,$A$5:$A$800,"&gt;="&amp;DATE(YEAR($A417),MONTH($A417),1),$A$5:$A$800,"&lt;="&amp;$A417)+IF(AND(YEAR($A417)=YEAR(Settings!$B$3),MONTH($A417)=MONTH(Settings!$B$3)),Settings!$B$14,0))</f>
        <v/>
      </c>
    </row>
    <row r="418">
      <c r="A418" s="67" t="n"/>
      <c r="B418" s="69" t="n"/>
      <c r="C418" s="69" t="n"/>
      <c r="D418" s="69" t="n"/>
      <c r="E418" s="84">
        <f>IF($A418="","",B418+C418+D418)</f>
        <v/>
      </c>
      <c r="F418" s="85">
        <f>IF($A418="","",SUMIFS($E$5:$E$800,$A$5:$A$800,"&gt;="&amp;DATE(YEAR($A418),MONTH($A418),1),$A$5:$A$800,"&lt;="&amp;$A418)+IF(AND(YEAR($A418)=YEAR(Settings!$B$3),MONTH($A418)=MONTH(Settings!$B$3)),Settings!$B$14,0))</f>
        <v/>
      </c>
    </row>
    <row r="419">
      <c r="A419" s="67" t="n"/>
      <c r="B419" s="69" t="n"/>
      <c r="C419" s="69" t="n"/>
      <c r="D419" s="69" t="n"/>
      <c r="E419" s="84">
        <f>IF($A419="","",B419+C419+D419)</f>
        <v/>
      </c>
      <c r="F419" s="85">
        <f>IF($A419="","",SUMIFS($E$5:$E$800,$A$5:$A$800,"&gt;="&amp;DATE(YEAR($A419),MONTH($A419),1),$A$5:$A$800,"&lt;="&amp;$A419)+IF(AND(YEAR($A419)=YEAR(Settings!$B$3),MONTH($A419)=MONTH(Settings!$B$3)),Settings!$B$14,0))</f>
        <v/>
      </c>
    </row>
    <row r="420">
      <c r="A420" s="67" t="n"/>
      <c r="B420" s="69" t="n"/>
      <c r="C420" s="69" t="n"/>
      <c r="D420" s="69" t="n"/>
      <c r="E420" s="84">
        <f>IF($A420="","",B420+C420+D420)</f>
        <v/>
      </c>
      <c r="F420" s="85">
        <f>IF($A420="","",SUMIFS($E$5:$E$800,$A$5:$A$800,"&gt;="&amp;DATE(YEAR($A420),MONTH($A420),1),$A$5:$A$800,"&lt;="&amp;$A420)+IF(AND(YEAR($A420)=YEAR(Settings!$B$3),MONTH($A420)=MONTH(Settings!$B$3)),Settings!$B$14,0))</f>
        <v/>
      </c>
    </row>
    <row r="421">
      <c r="A421" s="67" t="n"/>
      <c r="B421" s="69" t="n"/>
      <c r="C421" s="69" t="n"/>
      <c r="D421" s="69" t="n"/>
      <c r="E421" s="84">
        <f>IF($A421="","",B421+C421+D421)</f>
        <v/>
      </c>
      <c r="F421" s="85">
        <f>IF($A421="","",SUMIFS($E$5:$E$800,$A$5:$A$800,"&gt;="&amp;DATE(YEAR($A421),MONTH($A421),1),$A$5:$A$800,"&lt;="&amp;$A421)+IF(AND(YEAR($A421)=YEAR(Settings!$B$3),MONTH($A421)=MONTH(Settings!$B$3)),Settings!$B$14,0))</f>
        <v/>
      </c>
    </row>
    <row r="422">
      <c r="A422" s="67" t="n"/>
      <c r="B422" s="69" t="n"/>
      <c r="C422" s="69" t="n"/>
      <c r="D422" s="69" t="n"/>
      <c r="E422" s="84">
        <f>IF($A422="","",B422+C422+D422)</f>
        <v/>
      </c>
      <c r="F422" s="85">
        <f>IF($A422="","",SUMIFS($E$5:$E$800,$A$5:$A$800,"&gt;="&amp;DATE(YEAR($A422),MONTH($A422),1),$A$5:$A$800,"&lt;="&amp;$A422)+IF(AND(YEAR($A422)=YEAR(Settings!$B$3),MONTH($A422)=MONTH(Settings!$B$3)),Settings!$B$14,0))</f>
        <v/>
      </c>
    </row>
    <row r="423">
      <c r="A423" s="67" t="n"/>
      <c r="B423" s="69" t="n"/>
      <c r="C423" s="69" t="n"/>
      <c r="D423" s="69" t="n"/>
      <c r="E423" s="84">
        <f>IF($A423="","",B423+C423+D423)</f>
        <v/>
      </c>
      <c r="F423" s="85">
        <f>IF($A423="","",SUMIFS($E$5:$E$800,$A$5:$A$800,"&gt;="&amp;DATE(YEAR($A423),MONTH($A423),1),$A$5:$A$800,"&lt;="&amp;$A423)+IF(AND(YEAR($A423)=YEAR(Settings!$B$3),MONTH($A423)=MONTH(Settings!$B$3)),Settings!$B$14,0))</f>
        <v/>
      </c>
    </row>
    <row r="424">
      <c r="A424" s="67" t="n"/>
      <c r="B424" s="69" t="n"/>
      <c r="C424" s="69" t="n"/>
      <c r="D424" s="69" t="n"/>
      <c r="E424" s="84">
        <f>IF($A424="","",B424+C424+D424)</f>
        <v/>
      </c>
      <c r="F424" s="85">
        <f>IF($A424="","",SUMIFS($E$5:$E$800,$A$5:$A$800,"&gt;="&amp;DATE(YEAR($A424),MONTH($A424),1),$A$5:$A$800,"&lt;="&amp;$A424)+IF(AND(YEAR($A424)=YEAR(Settings!$B$3),MONTH($A424)=MONTH(Settings!$B$3)),Settings!$B$14,0))</f>
        <v/>
      </c>
    </row>
    <row r="425">
      <c r="A425" s="67" t="n"/>
      <c r="B425" s="69" t="n"/>
      <c r="C425" s="69" t="n"/>
      <c r="D425" s="69" t="n"/>
      <c r="E425" s="84">
        <f>IF($A425="","",B425+C425+D425)</f>
        <v/>
      </c>
      <c r="F425" s="85">
        <f>IF($A425="","",SUMIFS($E$5:$E$800,$A$5:$A$800,"&gt;="&amp;DATE(YEAR($A425),MONTH($A425),1),$A$5:$A$800,"&lt;="&amp;$A425)+IF(AND(YEAR($A425)=YEAR(Settings!$B$3),MONTH($A425)=MONTH(Settings!$B$3)),Settings!$B$14,0))</f>
        <v/>
      </c>
    </row>
    <row r="426">
      <c r="A426" s="67" t="n"/>
      <c r="B426" s="69" t="n"/>
      <c r="C426" s="69" t="n"/>
      <c r="D426" s="69" t="n"/>
      <c r="E426" s="84">
        <f>IF($A426="","",B426+C426+D426)</f>
        <v/>
      </c>
      <c r="F426" s="85">
        <f>IF($A426="","",SUMIFS($E$5:$E$800,$A$5:$A$800,"&gt;="&amp;DATE(YEAR($A426),MONTH($A426),1),$A$5:$A$800,"&lt;="&amp;$A426)+IF(AND(YEAR($A426)=YEAR(Settings!$B$3),MONTH($A426)=MONTH(Settings!$B$3)),Settings!$B$14,0))</f>
        <v/>
      </c>
    </row>
    <row r="427">
      <c r="A427" s="67" t="n"/>
      <c r="B427" s="69" t="n"/>
      <c r="C427" s="69" t="n"/>
      <c r="D427" s="69" t="n"/>
      <c r="E427" s="84">
        <f>IF($A427="","",B427+C427+D427)</f>
        <v/>
      </c>
      <c r="F427" s="85">
        <f>IF($A427="","",SUMIFS($E$5:$E$800,$A$5:$A$800,"&gt;="&amp;DATE(YEAR($A427),MONTH($A427),1),$A$5:$A$800,"&lt;="&amp;$A427)+IF(AND(YEAR($A427)=YEAR(Settings!$B$3),MONTH($A427)=MONTH(Settings!$B$3)),Settings!$B$14,0))</f>
        <v/>
      </c>
    </row>
    <row r="428">
      <c r="A428" s="67" t="n"/>
      <c r="B428" s="69" t="n"/>
      <c r="C428" s="69" t="n"/>
      <c r="D428" s="69" t="n"/>
      <c r="E428" s="84">
        <f>IF($A428="","",B428+C428+D428)</f>
        <v/>
      </c>
      <c r="F428" s="85">
        <f>IF($A428="","",SUMIFS($E$5:$E$800,$A$5:$A$800,"&gt;="&amp;DATE(YEAR($A428),MONTH($A428),1),$A$5:$A$800,"&lt;="&amp;$A428)+IF(AND(YEAR($A428)=YEAR(Settings!$B$3),MONTH($A428)=MONTH(Settings!$B$3)),Settings!$B$14,0))</f>
        <v/>
      </c>
    </row>
    <row r="429">
      <c r="A429" s="67" t="n"/>
      <c r="B429" s="69" t="n"/>
      <c r="C429" s="69" t="n"/>
      <c r="D429" s="69" t="n"/>
      <c r="E429" s="84">
        <f>IF($A429="","",B429+C429+D429)</f>
        <v/>
      </c>
      <c r="F429" s="85">
        <f>IF($A429="","",SUMIFS($E$5:$E$800,$A$5:$A$800,"&gt;="&amp;DATE(YEAR($A429),MONTH($A429),1),$A$5:$A$800,"&lt;="&amp;$A429)+IF(AND(YEAR($A429)=YEAR(Settings!$B$3),MONTH($A429)=MONTH(Settings!$B$3)),Settings!$B$14,0))</f>
        <v/>
      </c>
    </row>
    <row r="430">
      <c r="A430" s="67" t="n"/>
      <c r="B430" s="69" t="n"/>
      <c r="C430" s="69" t="n"/>
      <c r="D430" s="69" t="n"/>
      <c r="E430" s="84">
        <f>IF($A430="","",B430+C430+D430)</f>
        <v/>
      </c>
      <c r="F430" s="85">
        <f>IF($A430="","",SUMIFS($E$5:$E$800,$A$5:$A$800,"&gt;="&amp;DATE(YEAR($A430),MONTH($A430),1),$A$5:$A$800,"&lt;="&amp;$A430)+IF(AND(YEAR($A430)=YEAR(Settings!$B$3),MONTH($A430)=MONTH(Settings!$B$3)),Settings!$B$14,0))</f>
        <v/>
      </c>
    </row>
    <row r="431">
      <c r="A431" s="67" t="n"/>
      <c r="B431" s="69" t="n"/>
      <c r="C431" s="69" t="n"/>
      <c r="D431" s="69" t="n"/>
      <c r="E431" s="84">
        <f>IF($A431="","",B431+C431+D431)</f>
        <v/>
      </c>
      <c r="F431" s="85">
        <f>IF($A431="","",SUMIFS($E$5:$E$800,$A$5:$A$800,"&gt;="&amp;DATE(YEAR($A431),MONTH($A431),1),$A$5:$A$800,"&lt;="&amp;$A431)+IF(AND(YEAR($A431)=YEAR(Settings!$B$3),MONTH($A431)=MONTH(Settings!$B$3)),Settings!$B$14,0))</f>
        <v/>
      </c>
    </row>
    <row r="432">
      <c r="A432" s="67" t="n"/>
      <c r="B432" s="69" t="n"/>
      <c r="C432" s="69" t="n"/>
      <c r="D432" s="69" t="n"/>
      <c r="E432" s="84">
        <f>IF($A432="","",B432+C432+D432)</f>
        <v/>
      </c>
      <c r="F432" s="85">
        <f>IF($A432="","",SUMIFS($E$5:$E$800,$A$5:$A$800,"&gt;="&amp;DATE(YEAR($A432),MONTH($A432),1),$A$5:$A$800,"&lt;="&amp;$A432)+IF(AND(YEAR($A432)=YEAR(Settings!$B$3),MONTH($A432)=MONTH(Settings!$B$3)),Settings!$B$14,0))</f>
        <v/>
      </c>
    </row>
    <row r="433">
      <c r="A433" s="67" t="n"/>
      <c r="B433" s="69" t="n"/>
      <c r="C433" s="69" t="n"/>
      <c r="D433" s="69" t="n"/>
      <c r="E433" s="84">
        <f>IF($A433="","",B433+C433+D433)</f>
        <v/>
      </c>
      <c r="F433" s="85">
        <f>IF($A433="","",SUMIFS($E$5:$E$800,$A$5:$A$800,"&gt;="&amp;DATE(YEAR($A433),MONTH($A433),1),$A$5:$A$800,"&lt;="&amp;$A433)+IF(AND(YEAR($A433)=YEAR(Settings!$B$3),MONTH($A433)=MONTH(Settings!$B$3)),Settings!$B$14,0))</f>
        <v/>
      </c>
    </row>
    <row r="434">
      <c r="A434" s="67" t="n"/>
      <c r="B434" s="69" t="n"/>
      <c r="C434" s="69" t="n"/>
      <c r="D434" s="69" t="n"/>
      <c r="E434" s="84">
        <f>IF($A434="","",B434+C434+D434)</f>
        <v/>
      </c>
      <c r="F434" s="85">
        <f>IF($A434="","",SUMIFS($E$5:$E$800,$A$5:$A$800,"&gt;="&amp;DATE(YEAR($A434),MONTH($A434),1),$A$5:$A$800,"&lt;="&amp;$A434)+IF(AND(YEAR($A434)=YEAR(Settings!$B$3),MONTH($A434)=MONTH(Settings!$B$3)),Settings!$B$14,0))</f>
        <v/>
      </c>
    </row>
    <row r="435">
      <c r="A435" s="67" t="n"/>
      <c r="B435" s="69" t="n"/>
      <c r="C435" s="69" t="n"/>
      <c r="D435" s="69" t="n"/>
      <c r="E435" s="84">
        <f>IF($A435="","",B435+C435+D435)</f>
        <v/>
      </c>
      <c r="F435" s="85">
        <f>IF($A435="","",SUMIFS($E$5:$E$800,$A$5:$A$800,"&gt;="&amp;DATE(YEAR($A435),MONTH($A435),1),$A$5:$A$800,"&lt;="&amp;$A435)+IF(AND(YEAR($A435)=YEAR(Settings!$B$3),MONTH($A435)=MONTH(Settings!$B$3)),Settings!$B$14,0))</f>
        <v/>
      </c>
    </row>
    <row r="436">
      <c r="A436" s="67" t="n"/>
      <c r="B436" s="69" t="n"/>
      <c r="C436" s="69" t="n"/>
      <c r="D436" s="69" t="n"/>
      <c r="E436" s="84">
        <f>IF($A436="","",B436+C436+D436)</f>
        <v/>
      </c>
      <c r="F436" s="85">
        <f>IF($A436="","",SUMIFS($E$5:$E$800,$A$5:$A$800,"&gt;="&amp;DATE(YEAR($A436),MONTH($A436),1),$A$5:$A$800,"&lt;="&amp;$A436)+IF(AND(YEAR($A436)=YEAR(Settings!$B$3),MONTH($A436)=MONTH(Settings!$B$3)),Settings!$B$14,0))</f>
        <v/>
      </c>
    </row>
    <row r="437">
      <c r="A437" s="67" t="n"/>
      <c r="B437" s="69" t="n"/>
      <c r="C437" s="69" t="n"/>
      <c r="D437" s="69" t="n"/>
      <c r="E437" s="84">
        <f>IF($A437="","",B437+C437+D437)</f>
        <v/>
      </c>
      <c r="F437" s="85">
        <f>IF($A437="","",SUMIFS($E$5:$E$800,$A$5:$A$800,"&gt;="&amp;DATE(YEAR($A437),MONTH($A437),1),$A$5:$A$800,"&lt;="&amp;$A437)+IF(AND(YEAR($A437)=YEAR(Settings!$B$3),MONTH($A437)=MONTH(Settings!$B$3)),Settings!$B$14,0))</f>
        <v/>
      </c>
    </row>
    <row r="438">
      <c r="A438" s="67" t="n"/>
      <c r="B438" s="69" t="n"/>
      <c r="C438" s="69" t="n"/>
      <c r="D438" s="69" t="n"/>
      <c r="E438" s="84">
        <f>IF($A438="","",B438+C438+D438)</f>
        <v/>
      </c>
      <c r="F438" s="85">
        <f>IF($A438="","",SUMIFS($E$5:$E$800,$A$5:$A$800,"&gt;="&amp;DATE(YEAR($A438),MONTH($A438),1),$A$5:$A$800,"&lt;="&amp;$A438)+IF(AND(YEAR($A438)=YEAR(Settings!$B$3),MONTH($A438)=MONTH(Settings!$B$3)),Settings!$B$14,0))</f>
        <v/>
      </c>
    </row>
    <row r="439">
      <c r="A439" s="67" t="n"/>
      <c r="B439" s="69" t="n"/>
      <c r="C439" s="69" t="n"/>
      <c r="D439" s="69" t="n"/>
      <c r="E439" s="84">
        <f>IF($A439="","",B439+C439+D439)</f>
        <v/>
      </c>
      <c r="F439" s="85">
        <f>IF($A439="","",SUMIFS($E$5:$E$800,$A$5:$A$800,"&gt;="&amp;DATE(YEAR($A439),MONTH($A439),1),$A$5:$A$800,"&lt;="&amp;$A439)+IF(AND(YEAR($A439)=YEAR(Settings!$B$3),MONTH($A439)=MONTH(Settings!$B$3)),Settings!$B$14,0))</f>
        <v/>
      </c>
    </row>
    <row r="440">
      <c r="A440" s="67" t="n"/>
      <c r="B440" s="69" t="n"/>
      <c r="C440" s="69" t="n"/>
      <c r="D440" s="69" t="n"/>
      <c r="E440" s="84">
        <f>IF($A440="","",B440+C440+D440)</f>
        <v/>
      </c>
      <c r="F440" s="85">
        <f>IF($A440="","",SUMIFS($E$5:$E$800,$A$5:$A$800,"&gt;="&amp;DATE(YEAR($A440),MONTH($A440),1),$A$5:$A$800,"&lt;="&amp;$A440)+IF(AND(YEAR($A440)=YEAR(Settings!$B$3),MONTH($A440)=MONTH(Settings!$B$3)),Settings!$B$14,0))</f>
        <v/>
      </c>
    </row>
    <row r="441">
      <c r="A441" s="67" t="n"/>
      <c r="B441" s="69" t="n"/>
      <c r="C441" s="69" t="n"/>
      <c r="D441" s="69" t="n"/>
      <c r="E441" s="84">
        <f>IF($A441="","",B441+C441+D441)</f>
        <v/>
      </c>
      <c r="F441" s="85">
        <f>IF($A441="","",SUMIFS($E$5:$E$800,$A$5:$A$800,"&gt;="&amp;DATE(YEAR($A441),MONTH($A441),1),$A$5:$A$800,"&lt;="&amp;$A441)+IF(AND(YEAR($A441)=YEAR(Settings!$B$3),MONTH($A441)=MONTH(Settings!$B$3)),Settings!$B$14,0))</f>
        <v/>
      </c>
    </row>
    <row r="442">
      <c r="A442" s="67" t="n"/>
      <c r="B442" s="69" t="n"/>
      <c r="C442" s="69" t="n"/>
      <c r="D442" s="69" t="n"/>
      <c r="E442" s="84">
        <f>IF($A442="","",B442+C442+D442)</f>
        <v/>
      </c>
      <c r="F442" s="85">
        <f>IF($A442="","",SUMIFS($E$5:$E$800,$A$5:$A$800,"&gt;="&amp;DATE(YEAR($A442),MONTH($A442),1),$A$5:$A$800,"&lt;="&amp;$A442)+IF(AND(YEAR($A442)=YEAR(Settings!$B$3),MONTH($A442)=MONTH(Settings!$B$3)),Settings!$B$14,0))</f>
        <v/>
      </c>
    </row>
    <row r="443">
      <c r="A443" s="67" t="n"/>
      <c r="B443" s="69" t="n"/>
      <c r="C443" s="69" t="n"/>
      <c r="D443" s="69" t="n"/>
      <c r="E443" s="84">
        <f>IF($A443="","",B443+C443+D443)</f>
        <v/>
      </c>
      <c r="F443" s="85">
        <f>IF($A443="","",SUMIFS($E$5:$E$800,$A$5:$A$800,"&gt;="&amp;DATE(YEAR($A443),MONTH($A443),1),$A$5:$A$800,"&lt;="&amp;$A443)+IF(AND(YEAR($A443)=YEAR(Settings!$B$3),MONTH($A443)=MONTH(Settings!$B$3)),Settings!$B$14,0))</f>
        <v/>
      </c>
    </row>
    <row r="444">
      <c r="A444" s="67" t="n"/>
      <c r="B444" s="69" t="n"/>
      <c r="C444" s="69" t="n"/>
      <c r="D444" s="69" t="n"/>
      <c r="E444" s="84">
        <f>IF($A444="","",B444+C444+D444)</f>
        <v/>
      </c>
      <c r="F444" s="85">
        <f>IF($A444="","",SUMIFS($E$5:$E$800,$A$5:$A$800,"&gt;="&amp;DATE(YEAR($A444),MONTH($A444),1),$A$5:$A$800,"&lt;="&amp;$A444)+IF(AND(YEAR($A444)=YEAR(Settings!$B$3),MONTH($A444)=MONTH(Settings!$B$3)),Settings!$B$14,0))</f>
        <v/>
      </c>
    </row>
    <row r="445">
      <c r="A445" s="67" t="n"/>
      <c r="B445" s="69" t="n"/>
      <c r="C445" s="69" t="n"/>
      <c r="D445" s="69" t="n"/>
      <c r="E445" s="84">
        <f>IF($A445="","",B445+C445+D445)</f>
        <v/>
      </c>
      <c r="F445" s="85">
        <f>IF($A445="","",SUMIFS($E$5:$E$800,$A$5:$A$800,"&gt;="&amp;DATE(YEAR($A445),MONTH($A445),1),$A$5:$A$800,"&lt;="&amp;$A445)+IF(AND(YEAR($A445)=YEAR(Settings!$B$3),MONTH($A445)=MONTH(Settings!$B$3)),Settings!$B$14,0))</f>
        <v/>
      </c>
    </row>
    <row r="446">
      <c r="A446" s="67" t="n"/>
      <c r="B446" s="69" t="n"/>
      <c r="C446" s="69" t="n"/>
      <c r="D446" s="69" t="n"/>
      <c r="E446" s="84">
        <f>IF($A446="","",B446+C446+D446)</f>
        <v/>
      </c>
      <c r="F446" s="85">
        <f>IF($A446="","",SUMIFS($E$5:$E$800,$A$5:$A$800,"&gt;="&amp;DATE(YEAR($A446),MONTH($A446),1),$A$5:$A$800,"&lt;="&amp;$A446)+IF(AND(YEAR($A446)=YEAR(Settings!$B$3),MONTH($A446)=MONTH(Settings!$B$3)),Settings!$B$14,0))</f>
        <v/>
      </c>
    </row>
    <row r="447">
      <c r="A447" s="67" t="n"/>
      <c r="B447" s="69" t="n"/>
      <c r="C447" s="69" t="n"/>
      <c r="D447" s="69" t="n"/>
      <c r="E447" s="84">
        <f>IF($A447="","",B447+C447+D447)</f>
        <v/>
      </c>
      <c r="F447" s="85">
        <f>IF($A447="","",SUMIFS($E$5:$E$800,$A$5:$A$800,"&gt;="&amp;DATE(YEAR($A447),MONTH($A447),1),$A$5:$A$800,"&lt;="&amp;$A447)+IF(AND(YEAR($A447)=YEAR(Settings!$B$3),MONTH($A447)=MONTH(Settings!$B$3)),Settings!$B$14,0))</f>
        <v/>
      </c>
    </row>
    <row r="448">
      <c r="A448" s="67" t="n"/>
      <c r="B448" s="69" t="n"/>
      <c r="C448" s="69" t="n"/>
      <c r="D448" s="69" t="n"/>
      <c r="E448" s="84">
        <f>IF($A448="","",B448+C448+D448)</f>
        <v/>
      </c>
      <c r="F448" s="85">
        <f>IF($A448="","",SUMIFS($E$5:$E$800,$A$5:$A$800,"&gt;="&amp;DATE(YEAR($A448),MONTH($A448),1),$A$5:$A$800,"&lt;="&amp;$A448)+IF(AND(YEAR($A448)=YEAR(Settings!$B$3),MONTH($A448)=MONTH(Settings!$B$3)),Settings!$B$14,0))</f>
        <v/>
      </c>
    </row>
    <row r="449">
      <c r="A449" s="67" t="n"/>
      <c r="B449" s="69" t="n"/>
      <c r="C449" s="69" t="n"/>
      <c r="D449" s="69" t="n"/>
      <c r="E449" s="84">
        <f>IF($A449="","",B449+C449+D449)</f>
        <v/>
      </c>
      <c r="F449" s="85">
        <f>IF($A449="","",SUMIFS($E$5:$E$800,$A$5:$A$800,"&gt;="&amp;DATE(YEAR($A449),MONTH($A449),1),$A$5:$A$800,"&lt;="&amp;$A449)+IF(AND(YEAR($A449)=YEAR(Settings!$B$3),MONTH($A449)=MONTH(Settings!$B$3)),Settings!$B$14,0))</f>
        <v/>
      </c>
    </row>
    <row r="450">
      <c r="A450" s="67" t="n"/>
      <c r="B450" s="69" t="n"/>
      <c r="C450" s="69" t="n"/>
      <c r="D450" s="69" t="n"/>
      <c r="E450" s="84">
        <f>IF($A450="","",B450+C450+D450)</f>
        <v/>
      </c>
      <c r="F450" s="85">
        <f>IF($A450="","",SUMIFS($E$5:$E$800,$A$5:$A$800,"&gt;="&amp;DATE(YEAR($A450),MONTH($A450),1),$A$5:$A$800,"&lt;="&amp;$A450)+IF(AND(YEAR($A450)=YEAR(Settings!$B$3),MONTH($A450)=MONTH(Settings!$B$3)),Settings!$B$14,0))</f>
        <v/>
      </c>
    </row>
    <row r="451">
      <c r="A451" s="67" t="n"/>
      <c r="B451" s="69" t="n"/>
      <c r="C451" s="69" t="n"/>
      <c r="D451" s="69" t="n"/>
      <c r="E451" s="84">
        <f>IF($A451="","",B451+C451+D451)</f>
        <v/>
      </c>
      <c r="F451" s="85">
        <f>IF($A451="","",SUMIFS($E$5:$E$800,$A$5:$A$800,"&gt;="&amp;DATE(YEAR($A451),MONTH($A451),1),$A$5:$A$800,"&lt;="&amp;$A451)+IF(AND(YEAR($A451)=YEAR(Settings!$B$3),MONTH($A451)=MONTH(Settings!$B$3)),Settings!$B$14,0))</f>
        <v/>
      </c>
    </row>
    <row r="452">
      <c r="A452" s="67" t="n"/>
      <c r="B452" s="69" t="n"/>
      <c r="C452" s="69" t="n"/>
      <c r="D452" s="69" t="n"/>
      <c r="E452" s="84">
        <f>IF($A452="","",B452+C452+D452)</f>
        <v/>
      </c>
      <c r="F452" s="85">
        <f>IF($A452="","",SUMIFS($E$5:$E$800,$A$5:$A$800,"&gt;="&amp;DATE(YEAR($A452),MONTH($A452),1),$A$5:$A$800,"&lt;="&amp;$A452)+IF(AND(YEAR($A452)=YEAR(Settings!$B$3),MONTH($A452)=MONTH(Settings!$B$3)),Settings!$B$14,0))</f>
        <v/>
      </c>
    </row>
    <row r="453">
      <c r="A453" s="67" t="n"/>
      <c r="B453" s="69" t="n"/>
      <c r="C453" s="69" t="n"/>
      <c r="D453" s="69" t="n"/>
      <c r="E453" s="84">
        <f>IF($A453="","",B453+C453+D453)</f>
        <v/>
      </c>
      <c r="F453" s="85">
        <f>IF($A453="","",SUMIFS($E$5:$E$800,$A$5:$A$800,"&gt;="&amp;DATE(YEAR($A453),MONTH($A453),1),$A$5:$A$800,"&lt;="&amp;$A453)+IF(AND(YEAR($A453)=YEAR(Settings!$B$3),MONTH($A453)=MONTH(Settings!$B$3)),Settings!$B$14,0))</f>
        <v/>
      </c>
    </row>
    <row r="454">
      <c r="A454" s="67" t="n"/>
      <c r="B454" s="69" t="n"/>
      <c r="C454" s="69" t="n"/>
      <c r="D454" s="69" t="n"/>
      <c r="E454" s="84">
        <f>IF($A454="","",B454+C454+D454)</f>
        <v/>
      </c>
      <c r="F454" s="85">
        <f>IF($A454="","",SUMIFS($E$5:$E$800,$A$5:$A$800,"&gt;="&amp;DATE(YEAR($A454),MONTH($A454),1),$A$5:$A$800,"&lt;="&amp;$A454)+IF(AND(YEAR($A454)=YEAR(Settings!$B$3),MONTH($A454)=MONTH(Settings!$B$3)),Settings!$B$14,0))</f>
        <v/>
      </c>
    </row>
    <row r="455">
      <c r="A455" s="67" t="n"/>
      <c r="B455" s="69" t="n"/>
      <c r="C455" s="69" t="n"/>
      <c r="D455" s="69" t="n"/>
      <c r="E455" s="84">
        <f>IF($A455="","",B455+C455+D455)</f>
        <v/>
      </c>
      <c r="F455" s="85">
        <f>IF($A455="","",SUMIFS($E$5:$E$800,$A$5:$A$800,"&gt;="&amp;DATE(YEAR($A455),MONTH($A455),1),$A$5:$A$800,"&lt;="&amp;$A455)+IF(AND(YEAR($A455)=YEAR(Settings!$B$3),MONTH($A455)=MONTH(Settings!$B$3)),Settings!$B$14,0))</f>
        <v/>
      </c>
    </row>
    <row r="456">
      <c r="A456" s="67" t="n"/>
      <c r="B456" s="69" t="n"/>
      <c r="C456" s="69" t="n"/>
      <c r="D456" s="69" t="n"/>
      <c r="E456" s="84">
        <f>IF($A456="","",B456+C456+D456)</f>
        <v/>
      </c>
      <c r="F456" s="85">
        <f>IF($A456="","",SUMIFS($E$5:$E$800,$A$5:$A$800,"&gt;="&amp;DATE(YEAR($A456),MONTH($A456),1),$A$5:$A$800,"&lt;="&amp;$A456)+IF(AND(YEAR($A456)=YEAR(Settings!$B$3),MONTH($A456)=MONTH(Settings!$B$3)),Settings!$B$14,0))</f>
        <v/>
      </c>
    </row>
    <row r="457">
      <c r="A457" s="67" t="n"/>
      <c r="B457" s="69" t="n"/>
      <c r="C457" s="69" t="n"/>
      <c r="D457" s="69" t="n"/>
      <c r="E457" s="84">
        <f>IF($A457="","",B457+C457+D457)</f>
        <v/>
      </c>
      <c r="F457" s="85">
        <f>IF($A457="","",SUMIFS($E$5:$E$800,$A$5:$A$800,"&gt;="&amp;DATE(YEAR($A457),MONTH($A457),1),$A$5:$A$800,"&lt;="&amp;$A457)+IF(AND(YEAR($A457)=YEAR(Settings!$B$3),MONTH($A457)=MONTH(Settings!$B$3)),Settings!$B$14,0))</f>
        <v/>
      </c>
    </row>
    <row r="458">
      <c r="A458" s="67" t="n"/>
      <c r="B458" s="69" t="n"/>
      <c r="C458" s="69" t="n"/>
      <c r="D458" s="69" t="n"/>
      <c r="E458" s="84">
        <f>IF($A458="","",B458+C458+D458)</f>
        <v/>
      </c>
      <c r="F458" s="85">
        <f>IF($A458="","",SUMIFS($E$5:$E$800,$A$5:$A$800,"&gt;="&amp;DATE(YEAR($A458),MONTH($A458),1),$A$5:$A$800,"&lt;="&amp;$A458)+IF(AND(YEAR($A458)=YEAR(Settings!$B$3),MONTH($A458)=MONTH(Settings!$B$3)),Settings!$B$14,0))</f>
        <v/>
      </c>
    </row>
    <row r="459">
      <c r="A459" s="67" t="n"/>
      <c r="B459" s="69" t="n"/>
      <c r="C459" s="69" t="n"/>
      <c r="D459" s="69" t="n"/>
      <c r="E459" s="84">
        <f>IF($A459="","",B459+C459+D459)</f>
        <v/>
      </c>
      <c r="F459" s="85">
        <f>IF($A459="","",SUMIFS($E$5:$E$800,$A$5:$A$800,"&gt;="&amp;DATE(YEAR($A459),MONTH($A459),1),$A$5:$A$800,"&lt;="&amp;$A459)+IF(AND(YEAR($A459)=YEAR(Settings!$B$3),MONTH($A459)=MONTH(Settings!$B$3)),Settings!$B$14,0))</f>
        <v/>
      </c>
    </row>
    <row r="460">
      <c r="A460" s="67" t="n"/>
      <c r="B460" s="69" t="n"/>
      <c r="C460" s="69" t="n"/>
      <c r="D460" s="69" t="n"/>
      <c r="E460" s="84">
        <f>IF($A460="","",B460+C460+D460)</f>
        <v/>
      </c>
      <c r="F460" s="85">
        <f>IF($A460="","",SUMIFS($E$5:$E$800,$A$5:$A$800,"&gt;="&amp;DATE(YEAR($A460),MONTH($A460),1),$A$5:$A$800,"&lt;="&amp;$A460)+IF(AND(YEAR($A460)=YEAR(Settings!$B$3),MONTH($A460)=MONTH(Settings!$B$3)),Settings!$B$14,0))</f>
        <v/>
      </c>
    </row>
    <row r="461">
      <c r="A461" s="67" t="n"/>
      <c r="B461" s="69" t="n"/>
      <c r="C461" s="69" t="n"/>
      <c r="D461" s="69" t="n"/>
      <c r="E461" s="84">
        <f>IF($A461="","",B461+C461+D461)</f>
        <v/>
      </c>
      <c r="F461" s="85">
        <f>IF($A461="","",SUMIFS($E$5:$E$800,$A$5:$A$800,"&gt;="&amp;DATE(YEAR($A461),MONTH($A461),1),$A$5:$A$800,"&lt;="&amp;$A461)+IF(AND(YEAR($A461)=YEAR(Settings!$B$3),MONTH($A461)=MONTH(Settings!$B$3)),Settings!$B$14,0))</f>
        <v/>
      </c>
    </row>
    <row r="462">
      <c r="A462" s="67" t="n"/>
      <c r="B462" s="69" t="n"/>
      <c r="C462" s="69" t="n"/>
      <c r="D462" s="69" t="n"/>
      <c r="E462" s="84">
        <f>IF($A462="","",B462+C462+D462)</f>
        <v/>
      </c>
      <c r="F462" s="85">
        <f>IF($A462="","",SUMIFS($E$5:$E$800,$A$5:$A$800,"&gt;="&amp;DATE(YEAR($A462),MONTH($A462),1),$A$5:$A$800,"&lt;="&amp;$A462)+IF(AND(YEAR($A462)=YEAR(Settings!$B$3),MONTH($A462)=MONTH(Settings!$B$3)),Settings!$B$14,0))</f>
        <v/>
      </c>
    </row>
    <row r="463">
      <c r="A463" s="67" t="n"/>
      <c r="B463" s="69" t="n"/>
      <c r="C463" s="69" t="n"/>
      <c r="D463" s="69" t="n"/>
      <c r="E463" s="84">
        <f>IF($A463="","",B463+C463+D463)</f>
        <v/>
      </c>
      <c r="F463" s="85">
        <f>IF($A463="","",SUMIFS($E$5:$E$800,$A$5:$A$800,"&gt;="&amp;DATE(YEAR($A463),MONTH($A463),1),$A$5:$A$800,"&lt;="&amp;$A463)+IF(AND(YEAR($A463)=YEAR(Settings!$B$3),MONTH($A463)=MONTH(Settings!$B$3)),Settings!$B$14,0))</f>
        <v/>
      </c>
    </row>
    <row r="464">
      <c r="A464" s="67" t="n"/>
      <c r="B464" s="69" t="n"/>
      <c r="C464" s="69" t="n"/>
      <c r="D464" s="69" t="n"/>
      <c r="E464" s="84">
        <f>IF($A464="","",B464+C464+D464)</f>
        <v/>
      </c>
      <c r="F464" s="85">
        <f>IF($A464="","",SUMIFS($E$5:$E$800,$A$5:$A$800,"&gt;="&amp;DATE(YEAR($A464),MONTH($A464),1),$A$5:$A$800,"&lt;="&amp;$A464)+IF(AND(YEAR($A464)=YEAR(Settings!$B$3),MONTH($A464)=MONTH(Settings!$B$3)),Settings!$B$14,0))</f>
        <v/>
      </c>
    </row>
    <row r="465">
      <c r="A465" s="67" t="n"/>
      <c r="B465" s="69" t="n"/>
      <c r="C465" s="69" t="n"/>
      <c r="D465" s="69" t="n"/>
      <c r="E465" s="84">
        <f>IF($A465="","",B465+C465+D465)</f>
        <v/>
      </c>
      <c r="F465" s="85">
        <f>IF($A465="","",SUMIFS($E$5:$E$800,$A$5:$A$800,"&gt;="&amp;DATE(YEAR($A465),MONTH($A465),1),$A$5:$A$800,"&lt;="&amp;$A465)+IF(AND(YEAR($A465)=YEAR(Settings!$B$3),MONTH($A465)=MONTH(Settings!$B$3)),Settings!$B$14,0))</f>
        <v/>
      </c>
    </row>
    <row r="466">
      <c r="A466" s="67" t="n"/>
      <c r="B466" s="69" t="n"/>
      <c r="C466" s="69" t="n"/>
      <c r="D466" s="69" t="n"/>
      <c r="E466" s="84">
        <f>IF($A466="","",B466+C466+D466)</f>
        <v/>
      </c>
      <c r="F466" s="85">
        <f>IF($A466="","",SUMIFS($E$5:$E$800,$A$5:$A$800,"&gt;="&amp;DATE(YEAR($A466),MONTH($A466),1),$A$5:$A$800,"&lt;="&amp;$A466)+IF(AND(YEAR($A466)=YEAR(Settings!$B$3),MONTH($A466)=MONTH(Settings!$B$3)),Settings!$B$14,0))</f>
        <v/>
      </c>
    </row>
    <row r="467">
      <c r="A467" s="67" t="n"/>
      <c r="B467" s="69" t="n"/>
      <c r="C467" s="69" t="n"/>
      <c r="D467" s="69" t="n"/>
      <c r="E467" s="84">
        <f>IF($A467="","",B467+C467+D467)</f>
        <v/>
      </c>
      <c r="F467" s="85">
        <f>IF($A467="","",SUMIFS($E$5:$E$800,$A$5:$A$800,"&gt;="&amp;DATE(YEAR($A467),MONTH($A467),1),$A$5:$A$800,"&lt;="&amp;$A467)+IF(AND(YEAR($A467)=YEAR(Settings!$B$3),MONTH($A467)=MONTH(Settings!$B$3)),Settings!$B$14,0))</f>
        <v/>
      </c>
    </row>
    <row r="468">
      <c r="A468" s="67" t="n"/>
      <c r="B468" s="69" t="n"/>
      <c r="C468" s="69" t="n"/>
      <c r="D468" s="69" t="n"/>
      <c r="E468" s="84">
        <f>IF($A468="","",B468+C468+D468)</f>
        <v/>
      </c>
      <c r="F468" s="85">
        <f>IF($A468="","",SUMIFS($E$5:$E$800,$A$5:$A$800,"&gt;="&amp;DATE(YEAR($A468),MONTH($A468),1),$A$5:$A$800,"&lt;="&amp;$A468)+IF(AND(YEAR($A468)=YEAR(Settings!$B$3),MONTH($A468)=MONTH(Settings!$B$3)),Settings!$B$14,0))</f>
        <v/>
      </c>
    </row>
    <row r="469">
      <c r="A469" s="67" t="n"/>
      <c r="B469" s="69" t="n"/>
      <c r="C469" s="69" t="n"/>
      <c r="D469" s="69" t="n"/>
      <c r="E469" s="84">
        <f>IF($A469="","",B469+C469+D469)</f>
        <v/>
      </c>
      <c r="F469" s="85">
        <f>IF($A469="","",SUMIFS($E$5:$E$800,$A$5:$A$800,"&gt;="&amp;DATE(YEAR($A469),MONTH($A469),1),$A$5:$A$800,"&lt;="&amp;$A469)+IF(AND(YEAR($A469)=YEAR(Settings!$B$3),MONTH($A469)=MONTH(Settings!$B$3)),Settings!$B$14,0))</f>
        <v/>
      </c>
    </row>
    <row r="470">
      <c r="A470" s="67" t="n"/>
      <c r="B470" s="69" t="n"/>
      <c r="C470" s="69" t="n"/>
      <c r="D470" s="69" t="n"/>
      <c r="E470" s="84">
        <f>IF($A470="","",B470+C470+D470)</f>
        <v/>
      </c>
      <c r="F470" s="85">
        <f>IF($A470="","",SUMIFS($E$5:$E$800,$A$5:$A$800,"&gt;="&amp;DATE(YEAR($A470),MONTH($A470),1),$A$5:$A$800,"&lt;="&amp;$A470)+IF(AND(YEAR($A470)=YEAR(Settings!$B$3),MONTH($A470)=MONTH(Settings!$B$3)),Settings!$B$14,0))</f>
        <v/>
      </c>
    </row>
    <row r="471">
      <c r="A471" s="67" t="n"/>
      <c r="B471" s="69" t="n"/>
      <c r="C471" s="69" t="n"/>
      <c r="D471" s="69" t="n"/>
      <c r="E471" s="84">
        <f>IF($A471="","",B471+C471+D471)</f>
        <v/>
      </c>
      <c r="F471" s="85">
        <f>IF($A471="","",SUMIFS($E$5:$E$800,$A$5:$A$800,"&gt;="&amp;DATE(YEAR($A471),MONTH($A471),1),$A$5:$A$800,"&lt;="&amp;$A471)+IF(AND(YEAR($A471)=YEAR(Settings!$B$3),MONTH($A471)=MONTH(Settings!$B$3)),Settings!$B$14,0))</f>
        <v/>
      </c>
    </row>
    <row r="472">
      <c r="A472" s="67" t="n"/>
      <c r="B472" s="69" t="n"/>
      <c r="C472" s="69" t="n"/>
      <c r="D472" s="69" t="n"/>
      <c r="E472" s="84">
        <f>IF($A472="","",B472+C472+D472)</f>
        <v/>
      </c>
      <c r="F472" s="85">
        <f>IF($A472="","",SUMIFS($E$5:$E$800,$A$5:$A$800,"&gt;="&amp;DATE(YEAR($A472),MONTH($A472),1),$A$5:$A$800,"&lt;="&amp;$A472)+IF(AND(YEAR($A472)=YEAR(Settings!$B$3),MONTH($A472)=MONTH(Settings!$B$3)),Settings!$B$14,0))</f>
        <v/>
      </c>
    </row>
    <row r="473">
      <c r="A473" s="67" t="n"/>
      <c r="B473" s="69" t="n"/>
      <c r="C473" s="69" t="n"/>
      <c r="D473" s="69" t="n"/>
      <c r="E473" s="84">
        <f>IF($A473="","",B473+C473+D473)</f>
        <v/>
      </c>
      <c r="F473" s="85">
        <f>IF($A473="","",SUMIFS($E$5:$E$800,$A$5:$A$800,"&gt;="&amp;DATE(YEAR($A473),MONTH($A473),1),$A$5:$A$800,"&lt;="&amp;$A473)+IF(AND(YEAR($A473)=YEAR(Settings!$B$3),MONTH($A473)=MONTH(Settings!$B$3)),Settings!$B$14,0))</f>
        <v/>
      </c>
    </row>
    <row r="474">
      <c r="A474" s="67" t="n"/>
      <c r="B474" s="69" t="n"/>
      <c r="C474" s="69" t="n"/>
      <c r="D474" s="69" t="n"/>
      <c r="E474" s="84">
        <f>IF($A474="","",B474+C474+D474)</f>
        <v/>
      </c>
      <c r="F474" s="85">
        <f>IF($A474="","",SUMIFS($E$5:$E$800,$A$5:$A$800,"&gt;="&amp;DATE(YEAR($A474),MONTH($A474),1),$A$5:$A$800,"&lt;="&amp;$A474)+IF(AND(YEAR($A474)=YEAR(Settings!$B$3),MONTH($A474)=MONTH(Settings!$B$3)),Settings!$B$14,0))</f>
        <v/>
      </c>
    </row>
    <row r="475">
      <c r="A475" s="67" t="n"/>
      <c r="B475" s="69" t="n"/>
      <c r="C475" s="69" t="n"/>
      <c r="D475" s="69" t="n"/>
      <c r="E475" s="84">
        <f>IF($A475="","",B475+C475+D475)</f>
        <v/>
      </c>
      <c r="F475" s="85">
        <f>IF($A475="","",SUMIFS($E$5:$E$800,$A$5:$A$800,"&gt;="&amp;DATE(YEAR($A475),MONTH($A475),1),$A$5:$A$800,"&lt;="&amp;$A475)+IF(AND(YEAR($A475)=YEAR(Settings!$B$3),MONTH($A475)=MONTH(Settings!$B$3)),Settings!$B$14,0))</f>
        <v/>
      </c>
    </row>
    <row r="476">
      <c r="A476" s="67" t="n"/>
      <c r="B476" s="69" t="n"/>
      <c r="C476" s="69" t="n"/>
      <c r="D476" s="69" t="n"/>
      <c r="E476" s="84">
        <f>IF($A476="","",B476+C476+D476)</f>
        <v/>
      </c>
      <c r="F476" s="85">
        <f>IF($A476="","",SUMIFS($E$5:$E$800,$A$5:$A$800,"&gt;="&amp;DATE(YEAR($A476),MONTH($A476),1),$A$5:$A$800,"&lt;="&amp;$A476)+IF(AND(YEAR($A476)=YEAR(Settings!$B$3),MONTH($A476)=MONTH(Settings!$B$3)),Settings!$B$14,0))</f>
        <v/>
      </c>
    </row>
    <row r="477">
      <c r="A477" s="67" t="n"/>
      <c r="B477" s="69" t="n"/>
      <c r="C477" s="69" t="n"/>
      <c r="D477" s="69" t="n"/>
      <c r="E477" s="84">
        <f>IF($A477="","",B477+C477+D477)</f>
        <v/>
      </c>
      <c r="F477" s="85">
        <f>IF($A477="","",SUMIFS($E$5:$E$800,$A$5:$A$800,"&gt;="&amp;DATE(YEAR($A477),MONTH($A477),1),$A$5:$A$800,"&lt;="&amp;$A477)+IF(AND(YEAR($A477)=YEAR(Settings!$B$3),MONTH($A477)=MONTH(Settings!$B$3)),Settings!$B$14,0))</f>
        <v/>
      </c>
    </row>
    <row r="478">
      <c r="A478" s="67" t="n"/>
      <c r="B478" s="69" t="n"/>
      <c r="C478" s="69" t="n"/>
      <c r="D478" s="69" t="n"/>
      <c r="E478" s="84">
        <f>IF($A478="","",B478+C478+D478)</f>
        <v/>
      </c>
      <c r="F478" s="85">
        <f>IF($A478="","",SUMIFS($E$5:$E$800,$A$5:$A$800,"&gt;="&amp;DATE(YEAR($A478),MONTH($A478),1),$A$5:$A$800,"&lt;="&amp;$A478)+IF(AND(YEAR($A478)=YEAR(Settings!$B$3),MONTH($A478)=MONTH(Settings!$B$3)),Settings!$B$14,0))</f>
        <v/>
      </c>
    </row>
    <row r="479">
      <c r="A479" s="67" t="n"/>
      <c r="B479" s="69" t="n"/>
      <c r="C479" s="69" t="n"/>
      <c r="D479" s="69" t="n"/>
      <c r="E479" s="84">
        <f>IF($A479="","",B479+C479+D479)</f>
        <v/>
      </c>
      <c r="F479" s="85">
        <f>IF($A479="","",SUMIFS($E$5:$E$800,$A$5:$A$800,"&gt;="&amp;DATE(YEAR($A479),MONTH($A479),1),$A$5:$A$800,"&lt;="&amp;$A479)+IF(AND(YEAR($A479)=YEAR(Settings!$B$3),MONTH($A479)=MONTH(Settings!$B$3)),Settings!$B$14,0))</f>
        <v/>
      </c>
    </row>
    <row r="480">
      <c r="A480" s="67" t="n"/>
      <c r="B480" s="69" t="n"/>
      <c r="C480" s="69" t="n"/>
      <c r="D480" s="69" t="n"/>
      <c r="E480" s="84">
        <f>IF($A480="","",B480+C480+D480)</f>
        <v/>
      </c>
      <c r="F480" s="85">
        <f>IF($A480="","",SUMIFS($E$5:$E$800,$A$5:$A$800,"&gt;="&amp;DATE(YEAR($A480),MONTH($A480),1),$A$5:$A$800,"&lt;="&amp;$A480)+IF(AND(YEAR($A480)=YEAR(Settings!$B$3),MONTH($A480)=MONTH(Settings!$B$3)),Settings!$B$14,0))</f>
        <v/>
      </c>
    </row>
    <row r="481">
      <c r="A481" s="67" t="n"/>
      <c r="B481" s="69" t="n"/>
      <c r="C481" s="69" t="n"/>
      <c r="D481" s="69" t="n"/>
      <c r="E481" s="84">
        <f>IF($A481="","",B481+C481+D481)</f>
        <v/>
      </c>
      <c r="F481" s="85">
        <f>IF($A481="","",SUMIFS($E$5:$E$800,$A$5:$A$800,"&gt;="&amp;DATE(YEAR($A481),MONTH($A481),1),$A$5:$A$800,"&lt;="&amp;$A481)+IF(AND(YEAR($A481)=YEAR(Settings!$B$3),MONTH($A481)=MONTH(Settings!$B$3)),Settings!$B$14,0))</f>
        <v/>
      </c>
    </row>
    <row r="482">
      <c r="A482" s="67" t="n"/>
      <c r="B482" s="69" t="n"/>
      <c r="C482" s="69" t="n"/>
      <c r="D482" s="69" t="n"/>
      <c r="E482" s="84">
        <f>IF($A482="","",B482+C482+D482)</f>
        <v/>
      </c>
      <c r="F482" s="85">
        <f>IF($A482="","",SUMIFS($E$5:$E$800,$A$5:$A$800,"&gt;="&amp;DATE(YEAR($A482),MONTH($A482),1),$A$5:$A$800,"&lt;="&amp;$A482)+IF(AND(YEAR($A482)=YEAR(Settings!$B$3),MONTH($A482)=MONTH(Settings!$B$3)),Settings!$B$14,0))</f>
        <v/>
      </c>
    </row>
    <row r="483">
      <c r="A483" s="67" t="n"/>
      <c r="B483" s="69" t="n"/>
      <c r="C483" s="69" t="n"/>
      <c r="D483" s="69" t="n"/>
      <c r="E483" s="84">
        <f>IF($A483="","",B483+C483+D483)</f>
        <v/>
      </c>
      <c r="F483" s="85">
        <f>IF($A483="","",SUMIFS($E$5:$E$800,$A$5:$A$800,"&gt;="&amp;DATE(YEAR($A483),MONTH($A483),1),$A$5:$A$800,"&lt;="&amp;$A483)+IF(AND(YEAR($A483)=YEAR(Settings!$B$3),MONTH($A483)=MONTH(Settings!$B$3)),Settings!$B$14,0))</f>
        <v/>
      </c>
    </row>
    <row r="484">
      <c r="A484" s="67" t="n"/>
      <c r="B484" s="69" t="n"/>
      <c r="C484" s="69" t="n"/>
      <c r="D484" s="69" t="n"/>
      <c r="E484" s="84">
        <f>IF($A484="","",B484+C484+D484)</f>
        <v/>
      </c>
      <c r="F484" s="85">
        <f>IF($A484="","",SUMIFS($E$5:$E$800,$A$5:$A$800,"&gt;="&amp;DATE(YEAR($A484),MONTH($A484),1),$A$5:$A$800,"&lt;="&amp;$A484)+IF(AND(YEAR($A484)=YEAR(Settings!$B$3),MONTH($A484)=MONTH(Settings!$B$3)),Settings!$B$14,0))</f>
        <v/>
      </c>
    </row>
    <row r="485">
      <c r="A485" s="67" t="n"/>
      <c r="B485" s="69" t="n"/>
      <c r="C485" s="69" t="n"/>
      <c r="D485" s="69" t="n"/>
      <c r="E485" s="84">
        <f>IF($A485="","",B485+C485+D485)</f>
        <v/>
      </c>
      <c r="F485" s="85">
        <f>IF($A485="","",SUMIFS($E$5:$E$800,$A$5:$A$800,"&gt;="&amp;DATE(YEAR($A485),MONTH($A485),1),$A$5:$A$800,"&lt;="&amp;$A485)+IF(AND(YEAR($A485)=YEAR(Settings!$B$3),MONTH($A485)=MONTH(Settings!$B$3)),Settings!$B$14,0))</f>
        <v/>
      </c>
    </row>
    <row r="486">
      <c r="A486" s="67" t="n"/>
      <c r="B486" s="69" t="n"/>
      <c r="C486" s="69" t="n"/>
      <c r="D486" s="69" t="n"/>
      <c r="E486" s="84">
        <f>IF($A486="","",B486+C486+D486)</f>
        <v/>
      </c>
      <c r="F486" s="85">
        <f>IF($A486="","",SUMIFS($E$5:$E$800,$A$5:$A$800,"&gt;="&amp;DATE(YEAR($A486),MONTH($A486),1),$A$5:$A$800,"&lt;="&amp;$A486)+IF(AND(YEAR($A486)=YEAR(Settings!$B$3),MONTH($A486)=MONTH(Settings!$B$3)),Settings!$B$14,0))</f>
        <v/>
      </c>
    </row>
    <row r="487">
      <c r="A487" s="67" t="n"/>
      <c r="B487" s="69" t="n"/>
      <c r="C487" s="69" t="n"/>
      <c r="D487" s="69" t="n"/>
      <c r="E487" s="84">
        <f>IF($A487="","",B487+C487+D487)</f>
        <v/>
      </c>
      <c r="F487" s="85">
        <f>IF($A487="","",SUMIFS($E$5:$E$800,$A$5:$A$800,"&gt;="&amp;DATE(YEAR($A487),MONTH($A487),1),$A$5:$A$800,"&lt;="&amp;$A487)+IF(AND(YEAR($A487)=YEAR(Settings!$B$3),MONTH($A487)=MONTH(Settings!$B$3)),Settings!$B$14,0))</f>
        <v/>
      </c>
    </row>
    <row r="488">
      <c r="A488" s="67" t="n"/>
      <c r="B488" s="69" t="n"/>
      <c r="C488" s="69" t="n"/>
      <c r="D488" s="69" t="n"/>
      <c r="E488" s="84">
        <f>IF($A488="","",B488+C488+D488)</f>
        <v/>
      </c>
      <c r="F488" s="85">
        <f>IF($A488="","",SUMIFS($E$5:$E$800,$A$5:$A$800,"&gt;="&amp;DATE(YEAR($A488),MONTH($A488),1),$A$5:$A$800,"&lt;="&amp;$A488)+IF(AND(YEAR($A488)=YEAR(Settings!$B$3),MONTH($A488)=MONTH(Settings!$B$3)),Settings!$B$14,0))</f>
        <v/>
      </c>
    </row>
    <row r="489">
      <c r="A489" s="67" t="n"/>
      <c r="B489" s="69" t="n"/>
      <c r="C489" s="69" t="n"/>
      <c r="D489" s="69" t="n"/>
      <c r="E489" s="84">
        <f>IF($A489="","",B489+C489+D489)</f>
        <v/>
      </c>
      <c r="F489" s="85">
        <f>IF($A489="","",SUMIFS($E$5:$E$800,$A$5:$A$800,"&gt;="&amp;DATE(YEAR($A489),MONTH($A489),1),$A$5:$A$800,"&lt;="&amp;$A489)+IF(AND(YEAR($A489)=YEAR(Settings!$B$3),MONTH($A489)=MONTH(Settings!$B$3)),Settings!$B$14,0))</f>
        <v/>
      </c>
    </row>
    <row r="490">
      <c r="A490" s="67" t="n"/>
      <c r="B490" s="69" t="n"/>
      <c r="C490" s="69" t="n"/>
      <c r="D490" s="69" t="n"/>
      <c r="E490" s="84">
        <f>IF($A490="","",B490+C490+D490)</f>
        <v/>
      </c>
      <c r="F490" s="85">
        <f>IF($A490="","",SUMIFS($E$5:$E$800,$A$5:$A$800,"&gt;="&amp;DATE(YEAR($A490),MONTH($A490),1),$A$5:$A$800,"&lt;="&amp;$A490)+IF(AND(YEAR($A490)=YEAR(Settings!$B$3),MONTH($A490)=MONTH(Settings!$B$3)),Settings!$B$14,0))</f>
        <v/>
      </c>
    </row>
    <row r="491">
      <c r="A491" s="67" t="n"/>
      <c r="B491" s="69" t="n"/>
      <c r="C491" s="69" t="n"/>
      <c r="D491" s="69" t="n"/>
      <c r="E491" s="84">
        <f>IF($A491="","",B491+C491+D491)</f>
        <v/>
      </c>
      <c r="F491" s="85">
        <f>IF($A491="","",SUMIFS($E$5:$E$800,$A$5:$A$800,"&gt;="&amp;DATE(YEAR($A491),MONTH($A491),1),$A$5:$A$800,"&lt;="&amp;$A491)+IF(AND(YEAR($A491)=YEAR(Settings!$B$3),MONTH($A491)=MONTH(Settings!$B$3)),Settings!$B$14,0))</f>
        <v/>
      </c>
    </row>
    <row r="492">
      <c r="A492" s="67" t="n"/>
      <c r="B492" s="69" t="n"/>
      <c r="C492" s="69" t="n"/>
      <c r="D492" s="69" t="n"/>
      <c r="E492" s="84">
        <f>IF($A492="","",B492+C492+D492)</f>
        <v/>
      </c>
      <c r="F492" s="85">
        <f>IF($A492="","",SUMIFS($E$5:$E$800,$A$5:$A$800,"&gt;="&amp;DATE(YEAR($A492),MONTH($A492),1),$A$5:$A$800,"&lt;="&amp;$A492)+IF(AND(YEAR($A492)=YEAR(Settings!$B$3),MONTH($A492)=MONTH(Settings!$B$3)),Settings!$B$14,0))</f>
        <v/>
      </c>
    </row>
    <row r="493">
      <c r="A493" s="67" t="n"/>
      <c r="B493" s="69" t="n"/>
      <c r="C493" s="69" t="n"/>
      <c r="D493" s="69" t="n"/>
      <c r="E493" s="84">
        <f>IF($A493="","",B493+C493+D493)</f>
        <v/>
      </c>
      <c r="F493" s="85">
        <f>IF($A493="","",SUMIFS($E$5:$E$800,$A$5:$A$800,"&gt;="&amp;DATE(YEAR($A493),MONTH($A493),1),$A$5:$A$800,"&lt;="&amp;$A493)+IF(AND(YEAR($A493)=YEAR(Settings!$B$3),MONTH($A493)=MONTH(Settings!$B$3)),Settings!$B$14,0))</f>
        <v/>
      </c>
    </row>
    <row r="494">
      <c r="A494" s="67" t="n"/>
      <c r="B494" s="69" t="n"/>
      <c r="C494" s="69" t="n"/>
      <c r="D494" s="69" t="n"/>
      <c r="E494" s="84">
        <f>IF($A494="","",B494+C494+D494)</f>
        <v/>
      </c>
      <c r="F494" s="85">
        <f>IF($A494="","",SUMIFS($E$5:$E$800,$A$5:$A$800,"&gt;="&amp;DATE(YEAR($A494),MONTH($A494),1),$A$5:$A$800,"&lt;="&amp;$A494)+IF(AND(YEAR($A494)=YEAR(Settings!$B$3),MONTH($A494)=MONTH(Settings!$B$3)),Settings!$B$14,0))</f>
        <v/>
      </c>
    </row>
    <row r="495">
      <c r="A495" s="67" t="n"/>
      <c r="B495" s="69" t="n"/>
      <c r="C495" s="69" t="n"/>
      <c r="D495" s="69" t="n"/>
      <c r="E495" s="84">
        <f>IF($A495="","",B495+C495+D495)</f>
        <v/>
      </c>
      <c r="F495" s="85">
        <f>IF($A495="","",SUMIFS($E$5:$E$800,$A$5:$A$800,"&gt;="&amp;DATE(YEAR($A495),MONTH($A495),1),$A$5:$A$800,"&lt;="&amp;$A495)+IF(AND(YEAR($A495)=YEAR(Settings!$B$3),MONTH($A495)=MONTH(Settings!$B$3)),Settings!$B$14,0))</f>
        <v/>
      </c>
    </row>
    <row r="496">
      <c r="A496" s="67" t="n"/>
      <c r="B496" s="69" t="n"/>
      <c r="C496" s="69" t="n"/>
      <c r="D496" s="69" t="n"/>
      <c r="E496" s="84">
        <f>IF($A496="","",B496+C496+D496)</f>
        <v/>
      </c>
      <c r="F496" s="85">
        <f>IF($A496="","",SUMIFS($E$5:$E$800,$A$5:$A$800,"&gt;="&amp;DATE(YEAR($A496),MONTH($A496),1),$A$5:$A$800,"&lt;="&amp;$A496)+IF(AND(YEAR($A496)=YEAR(Settings!$B$3),MONTH($A496)=MONTH(Settings!$B$3)),Settings!$B$14,0))</f>
        <v/>
      </c>
    </row>
    <row r="497">
      <c r="A497" s="67" t="n"/>
      <c r="B497" s="69" t="n"/>
      <c r="C497" s="69" t="n"/>
      <c r="D497" s="69" t="n"/>
      <c r="E497" s="84">
        <f>IF($A497="","",B497+C497+D497)</f>
        <v/>
      </c>
      <c r="F497" s="85">
        <f>IF($A497="","",SUMIFS($E$5:$E$800,$A$5:$A$800,"&gt;="&amp;DATE(YEAR($A497),MONTH($A497),1),$A$5:$A$800,"&lt;="&amp;$A497)+IF(AND(YEAR($A497)=YEAR(Settings!$B$3),MONTH($A497)=MONTH(Settings!$B$3)),Settings!$B$14,0))</f>
        <v/>
      </c>
    </row>
    <row r="498">
      <c r="A498" s="67" t="n"/>
      <c r="B498" s="69" t="n"/>
      <c r="C498" s="69" t="n"/>
      <c r="D498" s="69" t="n"/>
      <c r="E498" s="84">
        <f>IF($A498="","",B498+C498+D498)</f>
        <v/>
      </c>
      <c r="F498" s="85">
        <f>IF($A498="","",SUMIFS($E$5:$E$800,$A$5:$A$800,"&gt;="&amp;DATE(YEAR($A498),MONTH($A498),1),$A$5:$A$800,"&lt;="&amp;$A498)+IF(AND(YEAR($A498)=YEAR(Settings!$B$3),MONTH($A498)=MONTH(Settings!$B$3)),Settings!$B$14,0))</f>
        <v/>
      </c>
    </row>
    <row r="499">
      <c r="A499" s="67" t="n"/>
      <c r="B499" s="69" t="n"/>
      <c r="C499" s="69" t="n"/>
      <c r="D499" s="69" t="n"/>
      <c r="E499" s="84">
        <f>IF($A499="","",B499+C499+D499)</f>
        <v/>
      </c>
      <c r="F499" s="85">
        <f>IF($A499="","",SUMIFS($E$5:$E$800,$A$5:$A$800,"&gt;="&amp;DATE(YEAR($A499),MONTH($A499),1),$A$5:$A$800,"&lt;="&amp;$A499)+IF(AND(YEAR($A499)=YEAR(Settings!$B$3),MONTH($A499)=MONTH(Settings!$B$3)),Settings!$B$14,0))</f>
        <v/>
      </c>
    </row>
    <row r="500">
      <c r="A500" s="67" t="n"/>
      <c r="B500" s="69" t="n"/>
      <c r="C500" s="69" t="n"/>
      <c r="D500" s="69" t="n"/>
      <c r="E500" s="84">
        <f>IF($A500="","",B500+C500+D500)</f>
        <v/>
      </c>
      <c r="F500" s="85">
        <f>IF($A500="","",SUMIFS($E$5:$E$800,$A$5:$A$800,"&gt;="&amp;DATE(YEAR($A500),MONTH($A500),1),$A$5:$A$800,"&lt;="&amp;$A500)+IF(AND(YEAR($A500)=YEAR(Settings!$B$3),MONTH($A500)=MONTH(Settings!$B$3)),Settings!$B$14,0))</f>
        <v/>
      </c>
    </row>
    <row r="501">
      <c r="A501" s="67" t="n"/>
      <c r="B501" s="69" t="n"/>
      <c r="C501" s="69" t="n"/>
      <c r="D501" s="69" t="n"/>
      <c r="E501" s="84">
        <f>IF($A501="","",B501+C501+D501)</f>
        <v/>
      </c>
      <c r="F501" s="85">
        <f>IF($A501="","",SUMIFS($E$5:$E$800,$A$5:$A$800,"&gt;="&amp;DATE(YEAR($A501),MONTH($A501),1),$A$5:$A$800,"&lt;="&amp;$A501)+IF(AND(YEAR($A501)=YEAR(Settings!$B$3),MONTH($A501)=MONTH(Settings!$B$3)),Settings!$B$14,0))</f>
        <v/>
      </c>
    </row>
    <row r="502">
      <c r="A502" s="67" t="n"/>
      <c r="B502" s="69" t="n"/>
      <c r="C502" s="69" t="n"/>
      <c r="D502" s="69" t="n"/>
      <c r="E502" s="84">
        <f>IF($A502="","",B502+C502+D502)</f>
        <v/>
      </c>
      <c r="F502" s="85">
        <f>IF($A502="","",SUMIFS($E$5:$E$800,$A$5:$A$800,"&gt;="&amp;DATE(YEAR($A502),MONTH($A502),1),$A$5:$A$800,"&lt;="&amp;$A502)+IF(AND(YEAR($A502)=YEAR(Settings!$B$3),MONTH($A502)=MONTH(Settings!$B$3)),Settings!$B$14,0))</f>
        <v/>
      </c>
    </row>
    <row r="503">
      <c r="A503" s="67" t="n"/>
      <c r="B503" s="69" t="n"/>
      <c r="C503" s="69" t="n"/>
      <c r="D503" s="69" t="n"/>
      <c r="E503" s="84">
        <f>IF($A503="","",B503+C503+D503)</f>
        <v/>
      </c>
      <c r="F503" s="85">
        <f>IF($A503="","",SUMIFS($E$5:$E$800,$A$5:$A$800,"&gt;="&amp;DATE(YEAR($A503),MONTH($A503),1),$A$5:$A$800,"&lt;="&amp;$A503)+IF(AND(YEAR($A503)=YEAR(Settings!$B$3),MONTH($A503)=MONTH(Settings!$B$3)),Settings!$B$14,0))</f>
        <v/>
      </c>
    </row>
    <row r="504">
      <c r="A504" s="67" t="n"/>
      <c r="B504" s="69" t="n"/>
      <c r="C504" s="69" t="n"/>
      <c r="D504" s="69" t="n"/>
      <c r="E504" s="84">
        <f>IF($A504="","",B504+C504+D504)</f>
        <v/>
      </c>
      <c r="F504" s="85">
        <f>IF($A504="","",SUMIFS($E$5:$E$800,$A$5:$A$800,"&gt;="&amp;DATE(YEAR($A504),MONTH($A504),1),$A$5:$A$800,"&lt;="&amp;$A504)+IF(AND(YEAR($A504)=YEAR(Settings!$B$3),MONTH($A504)=MONTH(Settings!$B$3)),Settings!$B$14,0))</f>
        <v/>
      </c>
    </row>
    <row r="505">
      <c r="A505" s="67" t="n"/>
      <c r="B505" s="69" t="n"/>
      <c r="C505" s="69" t="n"/>
      <c r="D505" s="69" t="n"/>
      <c r="E505" s="84">
        <f>IF($A505="","",B505+C505+D505)</f>
        <v/>
      </c>
      <c r="F505" s="85">
        <f>IF($A505="","",SUMIFS($E$5:$E$800,$A$5:$A$800,"&gt;="&amp;DATE(YEAR($A505),MONTH($A505),1),$A$5:$A$800,"&lt;="&amp;$A505)+IF(AND(YEAR($A505)=YEAR(Settings!$B$3),MONTH($A505)=MONTH(Settings!$B$3)),Settings!$B$14,0))</f>
        <v/>
      </c>
    </row>
    <row r="506">
      <c r="A506" s="67" t="n"/>
      <c r="B506" s="69" t="n"/>
      <c r="C506" s="69" t="n"/>
      <c r="D506" s="69" t="n"/>
      <c r="E506" s="84">
        <f>IF($A506="","",B506+C506+D506)</f>
        <v/>
      </c>
      <c r="F506" s="85">
        <f>IF($A506="","",SUMIFS($E$5:$E$800,$A$5:$A$800,"&gt;="&amp;DATE(YEAR($A506),MONTH($A506),1),$A$5:$A$800,"&lt;="&amp;$A506)+IF(AND(YEAR($A506)=YEAR(Settings!$B$3),MONTH($A506)=MONTH(Settings!$B$3)),Settings!$B$14,0))</f>
        <v/>
      </c>
    </row>
    <row r="507">
      <c r="A507" s="67" t="n"/>
      <c r="B507" s="69" t="n"/>
      <c r="C507" s="69" t="n"/>
      <c r="D507" s="69" t="n"/>
      <c r="E507" s="84">
        <f>IF($A507="","",B507+C507+D507)</f>
        <v/>
      </c>
      <c r="F507" s="85">
        <f>IF($A507="","",SUMIFS($E$5:$E$800,$A$5:$A$800,"&gt;="&amp;DATE(YEAR($A507),MONTH($A507),1),$A$5:$A$800,"&lt;="&amp;$A507)+IF(AND(YEAR($A507)=YEAR(Settings!$B$3),MONTH($A507)=MONTH(Settings!$B$3)),Settings!$B$14,0))</f>
        <v/>
      </c>
    </row>
    <row r="508">
      <c r="A508" s="67" t="n"/>
      <c r="B508" s="69" t="n"/>
      <c r="C508" s="69" t="n"/>
      <c r="D508" s="69" t="n"/>
      <c r="E508" s="84">
        <f>IF($A508="","",B508+C508+D508)</f>
        <v/>
      </c>
      <c r="F508" s="85">
        <f>IF($A508="","",SUMIFS($E$5:$E$800,$A$5:$A$800,"&gt;="&amp;DATE(YEAR($A508),MONTH($A508),1),$A$5:$A$800,"&lt;="&amp;$A508)+IF(AND(YEAR($A508)=YEAR(Settings!$B$3),MONTH($A508)=MONTH(Settings!$B$3)),Settings!$B$14,0))</f>
        <v/>
      </c>
    </row>
    <row r="509">
      <c r="A509" s="67" t="n"/>
      <c r="B509" s="69" t="n"/>
      <c r="C509" s="69" t="n"/>
      <c r="D509" s="69" t="n"/>
      <c r="E509" s="84">
        <f>IF($A509="","",B509+C509+D509)</f>
        <v/>
      </c>
      <c r="F509" s="85">
        <f>IF($A509="","",SUMIFS($E$5:$E$800,$A$5:$A$800,"&gt;="&amp;DATE(YEAR($A509),MONTH($A509),1),$A$5:$A$800,"&lt;="&amp;$A509)+IF(AND(YEAR($A509)=YEAR(Settings!$B$3),MONTH($A509)=MONTH(Settings!$B$3)),Settings!$B$14,0))</f>
        <v/>
      </c>
    </row>
    <row r="510">
      <c r="A510" s="67" t="n"/>
      <c r="B510" s="69" t="n"/>
      <c r="C510" s="69" t="n"/>
      <c r="D510" s="69" t="n"/>
      <c r="E510" s="84">
        <f>IF($A510="","",B510+C510+D510)</f>
        <v/>
      </c>
      <c r="F510" s="85">
        <f>IF($A510="","",SUMIFS($E$5:$E$800,$A$5:$A$800,"&gt;="&amp;DATE(YEAR($A510),MONTH($A510),1),$A$5:$A$800,"&lt;="&amp;$A510)+IF(AND(YEAR($A510)=YEAR(Settings!$B$3),MONTH($A510)=MONTH(Settings!$B$3)),Settings!$B$14,0))</f>
        <v/>
      </c>
    </row>
    <row r="511">
      <c r="A511" s="67" t="n"/>
      <c r="B511" s="69" t="n"/>
      <c r="C511" s="69" t="n"/>
      <c r="D511" s="69" t="n"/>
      <c r="E511" s="84">
        <f>IF($A511="","",B511+C511+D511)</f>
        <v/>
      </c>
      <c r="F511" s="85">
        <f>IF($A511="","",SUMIFS($E$5:$E$800,$A$5:$A$800,"&gt;="&amp;DATE(YEAR($A511),MONTH($A511),1),$A$5:$A$800,"&lt;="&amp;$A511)+IF(AND(YEAR($A511)=YEAR(Settings!$B$3),MONTH($A511)=MONTH(Settings!$B$3)),Settings!$B$14,0))</f>
        <v/>
      </c>
    </row>
    <row r="512">
      <c r="A512" s="67" t="n"/>
      <c r="B512" s="69" t="n"/>
      <c r="C512" s="69" t="n"/>
      <c r="D512" s="69" t="n"/>
      <c r="E512" s="84">
        <f>IF($A512="","",B512+C512+D512)</f>
        <v/>
      </c>
      <c r="F512" s="85">
        <f>IF($A512="","",SUMIFS($E$5:$E$800,$A$5:$A$800,"&gt;="&amp;DATE(YEAR($A512),MONTH($A512),1),$A$5:$A$800,"&lt;="&amp;$A512)+IF(AND(YEAR($A512)=YEAR(Settings!$B$3),MONTH($A512)=MONTH(Settings!$B$3)),Settings!$B$14,0))</f>
        <v/>
      </c>
    </row>
    <row r="513">
      <c r="A513" s="67" t="n"/>
      <c r="B513" s="69" t="n"/>
      <c r="C513" s="69" t="n"/>
      <c r="D513" s="69" t="n"/>
      <c r="E513" s="84">
        <f>IF($A513="","",B513+C513+D513)</f>
        <v/>
      </c>
      <c r="F513" s="85">
        <f>IF($A513="","",SUMIFS($E$5:$E$800,$A$5:$A$800,"&gt;="&amp;DATE(YEAR($A513),MONTH($A513),1),$A$5:$A$800,"&lt;="&amp;$A513)+IF(AND(YEAR($A513)=YEAR(Settings!$B$3),MONTH($A513)=MONTH(Settings!$B$3)),Settings!$B$14,0))</f>
        <v/>
      </c>
    </row>
    <row r="514">
      <c r="A514" s="67" t="n"/>
      <c r="B514" s="69" t="n"/>
      <c r="C514" s="69" t="n"/>
      <c r="D514" s="69" t="n"/>
      <c r="E514" s="84">
        <f>IF($A514="","",B514+C514+D514)</f>
        <v/>
      </c>
      <c r="F514" s="85">
        <f>IF($A514="","",SUMIFS($E$5:$E$800,$A$5:$A$800,"&gt;="&amp;DATE(YEAR($A514),MONTH($A514),1),$A$5:$A$800,"&lt;="&amp;$A514)+IF(AND(YEAR($A514)=YEAR(Settings!$B$3),MONTH($A514)=MONTH(Settings!$B$3)),Settings!$B$14,0))</f>
        <v/>
      </c>
    </row>
    <row r="515">
      <c r="A515" s="67" t="n"/>
      <c r="B515" s="69" t="n"/>
      <c r="C515" s="69" t="n"/>
      <c r="D515" s="69" t="n"/>
      <c r="E515" s="84">
        <f>IF($A515="","",B515+C515+D515)</f>
        <v/>
      </c>
      <c r="F515" s="85">
        <f>IF($A515="","",SUMIFS($E$5:$E$800,$A$5:$A$800,"&gt;="&amp;DATE(YEAR($A515),MONTH($A515),1),$A$5:$A$800,"&lt;="&amp;$A515)+IF(AND(YEAR($A515)=YEAR(Settings!$B$3),MONTH($A515)=MONTH(Settings!$B$3)),Settings!$B$14,0))</f>
        <v/>
      </c>
    </row>
    <row r="516">
      <c r="A516" s="67" t="n"/>
      <c r="B516" s="69" t="n"/>
      <c r="C516" s="69" t="n"/>
      <c r="D516" s="69" t="n"/>
      <c r="E516" s="84">
        <f>IF($A516="","",B516+C516+D516)</f>
        <v/>
      </c>
      <c r="F516" s="85">
        <f>IF($A516="","",SUMIFS($E$5:$E$800,$A$5:$A$800,"&gt;="&amp;DATE(YEAR($A516),MONTH($A516),1),$A$5:$A$800,"&lt;="&amp;$A516)+IF(AND(YEAR($A516)=YEAR(Settings!$B$3),MONTH($A516)=MONTH(Settings!$B$3)),Settings!$B$14,0))</f>
        <v/>
      </c>
    </row>
    <row r="517">
      <c r="A517" s="67" t="n"/>
      <c r="B517" s="69" t="n"/>
      <c r="C517" s="69" t="n"/>
      <c r="D517" s="69" t="n"/>
      <c r="E517" s="84">
        <f>IF($A517="","",B517+C517+D517)</f>
        <v/>
      </c>
      <c r="F517" s="85">
        <f>IF($A517="","",SUMIFS($E$5:$E$800,$A$5:$A$800,"&gt;="&amp;DATE(YEAR($A517),MONTH($A517),1),$A$5:$A$800,"&lt;="&amp;$A517)+IF(AND(YEAR($A517)=YEAR(Settings!$B$3),MONTH($A517)=MONTH(Settings!$B$3)),Settings!$B$14,0))</f>
        <v/>
      </c>
    </row>
    <row r="518">
      <c r="A518" s="67" t="n"/>
      <c r="B518" s="69" t="n"/>
      <c r="C518" s="69" t="n"/>
      <c r="D518" s="69" t="n"/>
      <c r="E518" s="84">
        <f>IF($A518="","",B518+C518+D518)</f>
        <v/>
      </c>
      <c r="F518" s="85">
        <f>IF($A518="","",SUMIFS($E$5:$E$800,$A$5:$A$800,"&gt;="&amp;DATE(YEAR($A518),MONTH($A518),1),$A$5:$A$800,"&lt;="&amp;$A518)+IF(AND(YEAR($A518)=YEAR(Settings!$B$3),MONTH($A518)=MONTH(Settings!$B$3)),Settings!$B$14,0))</f>
        <v/>
      </c>
    </row>
    <row r="519">
      <c r="A519" s="67" t="n"/>
      <c r="B519" s="69" t="n"/>
      <c r="C519" s="69" t="n"/>
      <c r="D519" s="69" t="n"/>
      <c r="E519" s="84">
        <f>IF($A519="","",B519+C519+D519)</f>
        <v/>
      </c>
      <c r="F519" s="85">
        <f>IF($A519="","",SUMIFS($E$5:$E$800,$A$5:$A$800,"&gt;="&amp;DATE(YEAR($A519),MONTH($A519),1),$A$5:$A$800,"&lt;="&amp;$A519)+IF(AND(YEAR($A519)=YEAR(Settings!$B$3),MONTH($A519)=MONTH(Settings!$B$3)),Settings!$B$14,0))</f>
        <v/>
      </c>
    </row>
    <row r="520">
      <c r="A520" s="67" t="n"/>
      <c r="B520" s="69" t="n"/>
      <c r="C520" s="69" t="n"/>
      <c r="D520" s="69" t="n"/>
      <c r="E520" s="84">
        <f>IF($A520="","",B520+C520+D520)</f>
        <v/>
      </c>
      <c r="F520" s="85">
        <f>IF($A520="","",SUMIFS($E$5:$E$800,$A$5:$A$800,"&gt;="&amp;DATE(YEAR($A520),MONTH($A520),1),$A$5:$A$800,"&lt;="&amp;$A520)+IF(AND(YEAR($A520)=YEAR(Settings!$B$3),MONTH($A520)=MONTH(Settings!$B$3)),Settings!$B$14,0))</f>
        <v/>
      </c>
    </row>
    <row r="521">
      <c r="A521" s="67" t="n"/>
      <c r="B521" s="69" t="n"/>
      <c r="C521" s="69" t="n"/>
      <c r="D521" s="69" t="n"/>
      <c r="E521" s="84">
        <f>IF($A521="","",B521+C521+D521)</f>
        <v/>
      </c>
      <c r="F521" s="85">
        <f>IF($A521="","",SUMIFS($E$5:$E$800,$A$5:$A$800,"&gt;="&amp;DATE(YEAR($A521),MONTH($A521),1),$A$5:$A$800,"&lt;="&amp;$A521)+IF(AND(YEAR($A521)=YEAR(Settings!$B$3),MONTH($A521)=MONTH(Settings!$B$3)),Settings!$B$14,0))</f>
        <v/>
      </c>
    </row>
    <row r="522">
      <c r="A522" s="67" t="n"/>
      <c r="B522" s="69" t="n"/>
      <c r="C522" s="69" t="n"/>
      <c r="D522" s="69" t="n"/>
      <c r="E522" s="84">
        <f>IF($A522="","",B522+C522+D522)</f>
        <v/>
      </c>
      <c r="F522" s="85">
        <f>IF($A522="","",SUMIFS($E$5:$E$800,$A$5:$A$800,"&gt;="&amp;DATE(YEAR($A522),MONTH($A522),1),$A$5:$A$800,"&lt;="&amp;$A522)+IF(AND(YEAR($A522)=YEAR(Settings!$B$3),MONTH($A522)=MONTH(Settings!$B$3)),Settings!$B$14,0))</f>
        <v/>
      </c>
    </row>
    <row r="523">
      <c r="A523" s="67" t="n"/>
      <c r="B523" s="69" t="n"/>
      <c r="C523" s="69" t="n"/>
      <c r="D523" s="69" t="n"/>
      <c r="E523" s="84">
        <f>IF($A523="","",B523+C523+D523)</f>
        <v/>
      </c>
      <c r="F523" s="85">
        <f>IF($A523="","",SUMIFS($E$5:$E$800,$A$5:$A$800,"&gt;="&amp;DATE(YEAR($A523),MONTH($A523),1),$A$5:$A$800,"&lt;="&amp;$A523)+IF(AND(YEAR($A523)=YEAR(Settings!$B$3),MONTH($A523)=MONTH(Settings!$B$3)),Settings!$B$14,0))</f>
        <v/>
      </c>
    </row>
    <row r="524">
      <c r="A524" s="67" t="n"/>
      <c r="B524" s="69" t="n"/>
      <c r="C524" s="69" t="n"/>
      <c r="D524" s="69" t="n"/>
      <c r="E524" s="84">
        <f>IF($A524="","",B524+C524+D524)</f>
        <v/>
      </c>
      <c r="F524" s="85">
        <f>IF($A524="","",SUMIFS($E$5:$E$800,$A$5:$A$800,"&gt;="&amp;DATE(YEAR($A524),MONTH($A524),1),$A$5:$A$800,"&lt;="&amp;$A524)+IF(AND(YEAR($A524)=YEAR(Settings!$B$3),MONTH($A524)=MONTH(Settings!$B$3)),Settings!$B$14,0))</f>
        <v/>
      </c>
    </row>
    <row r="525">
      <c r="A525" s="67" t="n"/>
      <c r="B525" s="69" t="n"/>
      <c r="C525" s="69" t="n"/>
      <c r="D525" s="69" t="n"/>
      <c r="E525" s="84">
        <f>IF($A525="","",B525+C525+D525)</f>
        <v/>
      </c>
      <c r="F525" s="85">
        <f>IF($A525="","",SUMIFS($E$5:$E$800,$A$5:$A$800,"&gt;="&amp;DATE(YEAR($A525),MONTH($A525),1),$A$5:$A$800,"&lt;="&amp;$A525)+IF(AND(YEAR($A525)=YEAR(Settings!$B$3),MONTH($A525)=MONTH(Settings!$B$3)),Settings!$B$14,0))</f>
        <v/>
      </c>
    </row>
    <row r="526">
      <c r="A526" s="67" t="n"/>
      <c r="B526" s="69" t="n"/>
      <c r="C526" s="69" t="n"/>
      <c r="D526" s="69" t="n"/>
      <c r="E526" s="84">
        <f>IF($A526="","",B526+C526+D526)</f>
        <v/>
      </c>
      <c r="F526" s="85">
        <f>IF($A526="","",SUMIFS($E$5:$E$800,$A$5:$A$800,"&gt;="&amp;DATE(YEAR($A526),MONTH($A526),1),$A$5:$A$800,"&lt;="&amp;$A526)+IF(AND(YEAR($A526)=YEAR(Settings!$B$3),MONTH($A526)=MONTH(Settings!$B$3)),Settings!$B$14,0))</f>
        <v/>
      </c>
    </row>
    <row r="527">
      <c r="A527" s="67" t="n"/>
      <c r="B527" s="69" t="n"/>
      <c r="C527" s="69" t="n"/>
      <c r="D527" s="69" t="n"/>
      <c r="E527" s="84">
        <f>IF($A527="","",B527+C527+D527)</f>
        <v/>
      </c>
      <c r="F527" s="85">
        <f>IF($A527="","",SUMIFS($E$5:$E$800,$A$5:$A$800,"&gt;="&amp;DATE(YEAR($A527),MONTH($A527),1),$A$5:$A$800,"&lt;="&amp;$A527)+IF(AND(YEAR($A527)=YEAR(Settings!$B$3),MONTH($A527)=MONTH(Settings!$B$3)),Settings!$B$14,0))</f>
        <v/>
      </c>
    </row>
    <row r="528">
      <c r="A528" s="67" t="n"/>
      <c r="B528" s="69" t="n"/>
      <c r="C528" s="69" t="n"/>
      <c r="D528" s="69" t="n"/>
      <c r="E528" s="84">
        <f>IF($A528="","",B528+C528+D528)</f>
        <v/>
      </c>
      <c r="F528" s="85">
        <f>IF($A528="","",SUMIFS($E$5:$E$800,$A$5:$A$800,"&gt;="&amp;DATE(YEAR($A528),MONTH($A528),1),$A$5:$A$800,"&lt;="&amp;$A528)+IF(AND(YEAR($A528)=YEAR(Settings!$B$3),MONTH($A528)=MONTH(Settings!$B$3)),Settings!$B$14,0))</f>
        <v/>
      </c>
    </row>
    <row r="529">
      <c r="A529" s="67" t="n"/>
      <c r="B529" s="69" t="n"/>
      <c r="C529" s="69" t="n"/>
      <c r="D529" s="69" t="n"/>
      <c r="E529" s="84">
        <f>IF($A529="","",B529+C529+D529)</f>
        <v/>
      </c>
      <c r="F529" s="85">
        <f>IF($A529="","",SUMIFS($E$5:$E$800,$A$5:$A$800,"&gt;="&amp;DATE(YEAR($A529),MONTH($A529),1),$A$5:$A$800,"&lt;="&amp;$A529)+IF(AND(YEAR($A529)=YEAR(Settings!$B$3),MONTH($A529)=MONTH(Settings!$B$3)),Settings!$B$14,0))</f>
        <v/>
      </c>
    </row>
    <row r="530">
      <c r="A530" s="67" t="n"/>
      <c r="B530" s="69" t="n"/>
      <c r="C530" s="69" t="n"/>
      <c r="D530" s="69" t="n"/>
      <c r="E530" s="84">
        <f>IF($A530="","",B530+C530+D530)</f>
        <v/>
      </c>
      <c r="F530" s="85">
        <f>IF($A530="","",SUMIFS($E$5:$E$800,$A$5:$A$800,"&gt;="&amp;DATE(YEAR($A530),MONTH($A530),1),$A$5:$A$800,"&lt;="&amp;$A530)+IF(AND(YEAR($A530)=YEAR(Settings!$B$3),MONTH($A530)=MONTH(Settings!$B$3)),Settings!$B$14,0))</f>
        <v/>
      </c>
    </row>
    <row r="531">
      <c r="A531" s="67" t="n"/>
      <c r="B531" s="69" t="n"/>
      <c r="C531" s="69" t="n"/>
      <c r="D531" s="69" t="n"/>
      <c r="E531" s="84">
        <f>IF($A531="","",B531+C531+D531)</f>
        <v/>
      </c>
      <c r="F531" s="85">
        <f>IF($A531="","",SUMIFS($E$5:$E$800,$A$5:$A$800,"&gt;="&amp;DATE(YEAR($A531),MONTH($A531),1),$A$5:$A$800,"&lt;="&amp;$A531)+IF(AND(YEAR($A531)=YEAR(Settings!$B$3),MONTH($A531)=MONTH(Settings!$B$3)),Settings!$B$14,0))</f>
        <v/>
      </c>
    </row>
    <row r="532">
      <c r="A532" s="67" t="n"/>
      <c r="B532" s="69" t="n"/>
      <c r="C532" s="69" t="n"/>
      <c r="D532" s="69" t="n"/>
      <c r="E532" s="84">
        <f>IF($A532="","",B532+C532+D532)</f>
        <v/>
      </c>
      <c r="F532" s="85">
        <f>IF($A532="","",SUMIFS($E$5:$E$800,$A$5:$A$800,"&gt;="&amp;DATE(YEAR($A532),MONTH($A532),1),$A$5:$A$800,"&lt;="&amp;$A532)+IF(AND(YEAR($A532)=YEAR(Settings!$B$3),MONTH($A532)=MONTH(Settings!$B$3)),Settings!$B$14,0))</f>
        <v/>
      </c>
    </row>
    <row r="533">
      <c r="A533" s="67" t="n"/>
      <c r="B533" s="69" t="n"/>
      <c r="C533" s="69" t="n"/>
      <c r="D533" s="69" t="n"/>
      <c r="E533" s="84">
        <f>IF($A533="","",B533+C533+D533)</f>
        <v/>
      </c>
      <c r="F533" s="85">
        <f>IF($A533="","",SUMIFS($E$5:$E$800,$A$5:$A$800,"&gt;="&amp;DATE(YEAR($A533),MONTH($A533),1),$A$5:$A$800,"&lt;="&amp;$A533)+IF(AND(YEAR($A533)=YEAR(Settings!$B$3),MONTH($A533)=MONTH(Settings!$B$3)),Settings!$B$14,0))</f>
        <v/>
      </c>
    </row>
    <row r="534">
      <c r="A534" s="67" t="n"/>
      <c r="B534" s="69" t="n"/>
      <c r="C534" s="69" t="n"/>
      <c r="D534" s="69" t="n"/>
      <c r="E534" s="84">
        <f>IF($A534="","",B534+C534+D534)</f>
        <v/>
      </c>
      <c r="F534" s="85">
        <f>IF($A534="","",SUMIFS($E$5:$E$800,$A$5:$A$800,"&gt;="&amp;DATE(YEAR($A534),MONTH($A534),1),$A$5:$A$800,"&lt;="&amp;$A534)+IF(AND(YEAR($A534)=YEAR(Settings!$B$3),MONTH($A534)=MONTH(Settings!$B$3)),Settings!$B$14,0))</f>
        <v/>
      </c>
    </row>
    <row r="535">
      <c r="A535" s="67" t="n"/>
      <c r="B535" s="69" t="n"/>
      <c r="C535" s="69" t="n"/>
      <c r="D535" s="69" t="n"/>
      <c r="E535" s="84">
        <f>IF($A535="","",B535+C535+D535)</f>
        <v/>
      </c>
      <c r="F535" s="85">
        <f>IF($A535="","",SUMIFS($E$5:$E$800,$A$5:$A$800,"&gt;="&amp;DATE(YEAR($A535),MONTH($A535),1),$A$5:$A$800,"&lt;="&amp;$A535)+IF(AND(YEAR($A535)=YEAR(Settings!$B$3),MONTH($A535)=MONTH(Settings!$B$3)),Settings!$B$14,0))</f>
        <v/>
      </c>
    </row>
    <row r="536">
      <c r="A536" s="67" t="n"/>
      <c r="B536" s="69" t="n"/>
      <c r="C536" s="69" t="n"/>
      <c r="D536" s="69" t="n"/>
      <c r="E536" s="84">
        <f>IF($A536="","",B536+C536+D536)</f>
        <v/>
      </c>
      <c r="F536" s="85">
        <f>IF($A536="","",SUMIFS($E$5:$E$800,$A$5:$A$800,"&gt;="&amp;DATE(YEAR($A536),MONTH($A536),1),$A$5:$A$800,"&lt;="&amp;$A536)+IF(AND(YEAR($A536)=YEAR(Settings!$B$3),MONTH($A536)=MONTH(Settings!$B$3)),Settings!$B$14,0))</f>
        <v/>
      </c>
    </row>
    <row r="537">
      <c r="A537" s="67" t="n"/>
      <c r="B537" s="69" t="n"/>
      <c r="C537" s="69" t="n"/>
      <c r="D537" s="69" t="n"/>
      <c r="E537" s="84">
        <f>IF($A537="","",B537+C537+D537)</f>
        <v/>
      </c>
      <c r="F537" s="85">
        <f>IF($A537="","",SUMIFS($E$5:$E$800,$A$5:$A$800,"&gt;="&amp;DATE(YEAR($A537),MONTH($A537),1),$A$5:$A$800,"&lt;="&amp;$A537)+IF(AND(YEAR($A537)=YEAR(Settings!$B$3),MONTH($A537)=MONTH(Settings!$B$3)),Settings!$B$14,0))</f>
        <v/>
      </c>
    </row>
    <row r="538">
      <c r="A538" s="67" t="n"/>
      <c r="B538" s="69" t="n"/>
      <c r="C538" s="69" t="n"/>
      <c r="D538" s="69" t="n"/>
      <c r="E538" s="84">
        <f>IF($A538="","",B538+C538+D538)</f>
        <v/>
      </c>
      <c r="F538" s="85">
        <f>IF($A538="","",SUMIFS($E$5:$E$800,$A$5:$A$800,"&gt;="&amp;DATE(YEAR($A538),MONTH($A538),1),$A$5:$A$800,"&lt;="&amp;$A538)+IF(AND(YEAR($A538)=YEAR(Settings!$B$3),MONTH($A538)=MONTH(Settings!$B$3)),Settings!$B$14,0))</f>
        <v/>
      </c>
    </row>
    <row r="539">
      <c r="A539" s="67" t="n"/>
      <c r="B539" s="69" t="n"/>
      <c r="C539" s="69" t="n"/>
      <c r="D539" s="69" t="n"/>
      <c r="E539" s="84">
        <f>IF($A539="","",B539+C539+D539)</f>
        <v/>
      </c>
      <c r="F539" s="85">
        <f>IF($A539="","",SUMIFS($E$5:$E$800,$A$5:$A$800,"&gt;="&amp;DATE(YEAR($A539),MONTH($A539),1),$A$5:$A$800,"&lt;="&amp;$A539)+IF(AND(YEAR($A539)=YEAR(Settings!$B$3),MONTH($A539)=MONTH(Settings!$B$3)),Settings!$B$14,0))</f>
        <v/>
      </c>
    </row>
    <row r="540">
      <c r="A540" s="67" t="n"/>
      <c r="B540" s="69" t="n"/>
      <c r="C540" s="69" t="n"/>
      <c r="D540" s="69" t="n"/>
      <c r="E540" s="84">
        <f>IF($A540="","",B540+C540+D540)</f>
        <v/>
      </c>
      <c r="F540" s="85">
        <f>IF($A540="","",SUMIFS($E$5:$E$800,$A$5:$A$800,"&gt;="&amp;DATE(YEAR($A540),MONTH($A540),1),$A$5:$A$800,"&lt;="&amp;$A540)+IF(AND(YEAR($A540)=YEAR(Settings!$B$3),MONTH($A540)=MONTH(Settings!$B$3)),Settings!$B$14,0))</f>
        <v/>
      </c>
    </row>
    <row r="541">
      <c r="A541" s="67" t="n"/>
      <c r="B541" s="69" t="n"/>
      <c r="C541" s="69" t="n"/>
      <c r="D541" s="69" t="n"/>
      <c r="E541" s="84">
        <f>IF($A541="","",B541+C541+D541)</f>
        <v/>
      </c>
      <c r="F541" s="85">
        <f>IF($A541="","",SUMIFS($E$5:$E$800,$A$5:$A$800,"&gt;="&amp;DATE(YEAR($A541),MONTH($A541),1),$A$5:$A$800,"&lt;="&amp;$A541)+IF(AND(YEAR($A541)=YEAR(Settings!$B$3),MONTH($A541)=MONTH(Settings!$B$3)),Settings!$B$14,0))</f>
        <v/>
      </c>
    </row>
    <row r="542">
      <c r="A542" s="67" t="n"/>
      <c r="B542" s="69" t="n"/>
      <c r="C542" s="69" t="n"/>
      <c r="D542" s="69" t="n"/>
      <c r="E542" s="84">
        <f>IF($A542="","",B542+C542+D542)</f>
        <v/>
      </c>
      <c r="F542" s="85">
        <f>IF($A542="","",SUMIFS($E$5:$E$800,$A$5:$A$800,"&gt;="&amp;DATE(YEAR($A542),MONTH($A542),1),$A$5:$A$800,"&lt;="&amp;$A542)+IF(AND(YEAR($A542)=YEAR(Settings!$B$3),MONTH($A542)=MONTH(Settings!$B$3)),Settings!$B$14,0))</f>
        <v/>
      </c>
    </row>
    <row r="543">
      <c r="A543" s="67" t="n"/>
      <c r="B543" s="69" t="n"/>
      <c r="C543" s="69" t="n"/>
      <c r="D543" s="69" t="n"/>
      <c r="E543" s="84">
        <f>IF($A543="","",B543+C543+D543)</f>
        <v/>
      </c>
      <c r="F543" s="85">
        <f>IF($A543="","",SUMIFS($E$5:$E$800,$A$5:$A$800,"&gt;="&amp;DATE(YEAR($A543),MONTH($A543),1),$A$5:$A$800,"&lt;="&amp;$A543)+IF(AND(YEAR($A543)=YEAR(Settings!$B$3),MONTH($A543)=MONTH(Settings!$B$3)),Settings!$B$14,0))</f>
        <v/>
      </c>
    </row>
    <row r="544">
      <c r="A544" s="67" t="n"/>
      <c r="B544" s="69" t="n"/>
      <c r="C544" s="69" t="n"/>
      <c r="D544" s="69" t="n"/>
      <c r="E544" s="84">
        <f>IF($A544="","",B544+C544+D544)</f>
        <v/>
      </c>
      <c r="F544" s="85">
        <f>IF($A544="","",SUMIFS($E$5:$E$800,$A$5:$A$800,"&gt;="&amp;DATE(YEAR($A544),MONTH($A544),1),$A$5:$A$800,"&lt;="&amp;$A544)+IF(AND(YEAR($A544)=YEAR(Settings!$B$3),MONTH($A544)=MONTH(Settings!$B$3)),Settings!$B$14,0))</f>
        <v/>
      </c>
    </row>
    <row r="545">
      <c r="A545" s="67" t="n"/>
      <c r="B545" s="69" t="n"/>
      <c r="C545" s="69" t="n"/>
      <c r="D545" s="69" t="n"/>
      <c r="E545" s="84">
        <f>IF($A545="","",B545+C545+D545)</f>
        <v/>
      </c>
      <c r="F545" s="85">
        <f>IF($A545="","",SUMIFS($E$5:$E$800,$A$5:$A$800,"&gt;="&amp;DATE(YEAR($A545),MONTH($A545),1),$A$5:$A$800,"&lt;="&amp;$A545)+IF(AND(YEAR($A545)=YEAR(Settings!$B$3),MONTH($A545)=MONTH(Settings!$B$3)),Settings!$B$14,0))</f>
        <v/>
      </c>
    </row>
    <row r="546">
      <c r="A546" s="67" t="n"/>
      <c r="B546" s="69" t="n"/>
      <c r="C546" s="69" t="n"/>
      <c r="D546" s="69" t="n"/>
      <c r="E546" s="84">
        <f>IF($A546="","",B546+C546+D546)</f>
        <v/>
      </c>
      <c r="F546" s="85">
        <f>IF($A546="","",SUMIFS($E$5:$E$800,$A$5:$A$800,"&gt;="&amp;DATE(YEAR($A546),MONTH($A546),1),$A$5:$A$800,"&lt;="&amp;$A546)+IF(AND(YEAR($A546)=YEAR(Settings!$B$3),MONTH($A546)=MONTH(Settings!$B$3)),Settings!$B$14,0))</f>
        <v/>
      </c>
    </row>
    <row r="547">
      <c r="A547" s="67" t="n"/>
      <c r="B547" s="69" t="n"/>
      <c r="C547" s="69" t="n"/>
      <c r="D547" s="69" t="n"/>
      <c r="E547" s="84">
        <f>IF($A547="","",B547+C547+D547)</f>
        <v/>
      </c>
      <c r="F547" s="85">
        <f>IF($A547="","",SUMIFS($E$5:$E$800,$A$5:$A$800,"&gt;="&amp;DATE(YEAR($A547),MONTH($A547),1),$A$5:$A$800,"&lt;="&amp;$A547)+IF(AND(YEAR($A547)=YEAR(Settings!$B$3),MONTH($A547)=MONTH(Settings!$B$3)),Settings!$B$14,0))</f>
        <v/>
      </c>
    </row>
    <row r="548">
      <c r="A548" s="67" t="n"/>
      <c r="B548" s="69" t="n"/>
      <c r="C548" s="69" t="n"/>
      <c r="D548" s="69" t="n"/>
      <c r="E548" s="84">
        <f>IF($A548="","",B548+C548+D548)</f>
        <v/>
      </c>
      <c r="F548" s="85">
        <f>IF($A548="","",SUMIFS($E$5:$E$800,$A$5:$A$800,"&gt;="&amp;DATE(YEAR($A548),MONTH($A548),1),$A$5:$A$800,"&lt;="&amp;$A548)+IF(AND(YEAR($A548)=YEAR(Settings!$B$3),MONTH($A548)=MONTH(Settings!$B$3)),Settings!$B$14,0))</f>
        <v/>
      </c>
    </row>
    <row r="549">
      <c r="A549" s="67" t="n"/>
      <c r="B549" s="69" t="n"/>
      <c r="C549" s="69" t="n"/>
      <c r="D549" s="69" t="n"/>
      <c r="E549" s="84">
        <f>IF($A549="","",B549+C549+D549)</f>
        <v/>
      </c>
      <c r="F549" s="85">
        <f>IF($A549="","",SUMIFS($E$5:$E$800,$A$5:$A$800,"&gt;="&amp;DATE(YEAR($A549),MONTH($A549),1),$A$5:$A$800,"&lt;="&amp;$A549)+IF(AND(YEAR($A549)=YEAR(Settings!$B$3),MONTH($A549)=MONTH(Settings!$B$3)),Settings!$B$14,0))</f>
        <v/>
      </c>
    </row>
    <row r="550">
      <c r="A550" s="67" t="n"/>
      <c r="B550" s="69" t="n"/>
      <c r="C550" s="69" t="n"/>
      <c r="D550" s="69" t="n"/>
      <c r="E550" s="84">
        <f>IF($A550="","",B550+C550+D550)</f>
        <v/>
      </c>
      <c r="F550" s="85">
        <f>IF($A550="","",SUMIFS($E$5:$E$800,$A$5:$A$800,"&gt;="&amp;DATE(YEAR($A550),MONTH($A550),1),$A$5:$A$800,"&lt;="&amp;$A550)+IF(AND(YEAR($A550)=YEAR(Settings!$B$3),MONTH($A550)=MONTH(Settings!$B$3)),Settings!$B$14,0))</f>
        <v/>
      </c>
    </row>
    <row r="551">
      <c r="A551" s="67" t="n"/>
      <c r="B551" s="69" t="n"/>
      <c r="C551" s="69" t="n"/>
      <c r="D551" s="69" t="n"/>
      <c r="E551" s="84">
        <f>IF($A551="","",B551+C551+D551)</f>
        <v/>
      </c>
      <c r="F551" s="85">
        <f>IF($A551="","",SUMIFS($E$5:$E$800,$A$5:$A$800,"&gt;="&amp;DATE(YEAR($A551),MONTH($A551),1),$A$5:$A$800,"&lt;="&amp;$A551)+IF(AND(YEAR($A551)=YEAR(Settings!$B$3),MONTH($A551)=MONTH(Settings!$B$3)),Settings!$B$14,0))</f>
        <v/>
      </c>
    </row>
    <row r="552">
      <c r="A552" s="67" t="n"/>
      <c r="B552" s="69" t="n"/>
      <c r="C552" s="69" t="n"/>
      <c r="D552" s="69" t="n"/>
      <c r="E552" s="84">
        <f>IF($A552="","",B552+C552+D552)</f>
        <v/>
      </c>
      <c r="F552" s="85">
        <f>IF($A552="","",SUMIFS($E$5:$E$800,$A$5:$A$800,"&gt;="&amp;DATE(YEAR($A552),MONTH($A552),1),$A$5:$A$800,"&lt;="&amp;$A552)+IF(AND(YEAR($A552)=YEAR(Settings!$B$3),MONTH($A552)=MONTH(Settings!$B$3)),Settings!$B$14,0))</f>
        <v/>
      </c>
    </row>
    <row r="553">
      <c r="A553" s="67" t="n"/>
      <c r="B553" s="69" t="n"/>
      <c r="C553" s="69" t="n"/>
      <c r="D553" s="69" t="n"/>
      <c r="E553" s="84">
        <f>IF($A553="","",B553+C553+D553)</f>
        <v/>
      </c>
      <c r="F553" s="85">
        <f>IF($A553="","",SUMIFS($E$5:$E$800,$A$5:$A$800,"&gt;="&amp;DATE(YEAR($A553),MONTH($A553),1),$A$5:$A$800,"&lt;="&amp;$A553)+IF(AND(YEAR($A553)=YEAR(Settings!$B$3),MONTH($A553)=MONTH(Settings!$B$3)),Settings!$B$14,0))</f>
        <v/>
      </c>
    </row>
    <row r="554">
      <c r="A554" s="67" t="n"/>
      <c r="B554" s="69" t="n"/>
      <c r="C554" s="69" t="n"/>
      <c r="D554" s="69" t="n"/>
      <c r="E554" s="84">
        <f>IF($A554="","",B554+C554+D554)</f>
        <v/>
      </c>
      <c r="F554" s="85">
        <f>IF($A554="","",SUMIFS($E$5:$E$800,$A$5:$A$800,"&gt;="&amp;DATE(YEAR($A554),MONTH($A554),1),$A$5:$A$800,"&lt;="&amp;$A554)+IF(AND(YEAR($A554)=YEAR(Settings!$B$3),MONTH($A554)=MONTH(Settings!$B$3)),Settings!$B$14,0))</f>
        <v/>
      </c>
    </row>
    <row r="555">
      <c r="A555" s="67" t="n"/>
      <c r="B555" s="69" t="n"/>
      <c r="C555" s="69" t="n"/>
      <c r="D555" s="69" t="n"/>
      <c r="E555" s="84">
        <f>IF($A555="","",B555+C555+D555)</f>
        <v/>
      </c>
      <c r="F555" s="85">
        <f>IF($A555="","",SUMIFS($E$5:$E$800,$A$5:$A$800,"&gt;="&amp;DATE(YEAR($A555),MONTH($A555),1),$A$5:$A$800,"&lt;="&amp;$A555)+IF(AND(YEAR($A555)=YEAR(Settings!$B$3),MONTH($A555)=MONTH(Settings!$B$3)),Settings!$B$14,0))</f>
        <v/>
      </c>
    </row>
    <row r="556">
      <c r="A556" s="67" t="n"/>
      <c r="B556" s="69" t="n"/>
      <c r="C556" s="69" t="n"/>
      <c r="D556" s="69" t="n"/>
      <c r="E556" s="84">
        <f>IF($A556="","",B556+C556+D556)</f>
        <v/>
      </c>
      <c r="F556" s="85">
        <f>IF($A556="","",SUMIFS($E$5:$E$800,$A$5:$A$800,"&gt;="&amp;DATE(YEAR($A556),MONTH($A556),1),$A$5:$A$800,"&lt;="&amp;$A556)+IF(AND(YEAR($A556)=YEAR(Settings!$B$3),MONTH($A556)=MONTH(Settings!$B$3)),Settings!$B$14,0))</f>
        <v/>
      </c>
    </row>
    <row r="557">
      <c r="A557" s="67" t="n"/>
      <c r="B557" s="69" t="n"/>
      <c r="C557" s="69" t="n"/>
      <c r="D557" s="69" t="n"/>
      <c r="E557" s="84">
        <f>IF($A557="","",B557+C557+D557)</f>
        <v/>
      </c>
      <c r="F557" s="85">
        <f>IF($A557="","",SUMIFS($E$5:$E$800,$A$5:$A$800,"&gt;="&amp;DATE(YEAR($A557),MONTH($A557),1),$A$5:$A$800,"&lt;="&amp;$A557)+IF(AND(YEAR($A557)=YEAR(Settings!$B$3),MONTH($A557)=MONTH(Settings!$B$3)),Settings!$B$14,0))</f>
        <v/>
      </c>
    </row>
    <row r="558">
      <c r="A558" s="67" t="n"/>
      <c r="B558" s="69" t="n"/>
      <c r="C558" s="69" t="n"/>
      <c r="D558" s="69" t="n"/>
      <c r="E558" s="84">
        <f>IF($A558="","",B558+C558+D558)</f>
        <v/>
      </c>
      <c r="F558" s="85">
        <f>IF($A558="","",SUMIFS($E$5:$E$800,$A$5:$A$800,"&gt;="&amp;DATE(YEAR($A558),MONTH($A558),1),$A$5:$A$800,"&lt;="&amp;$A558)+IF(AND(YEAR($A558)=YEAR(Settings!$B$3),MONTH($A558)=MONTH(Settings!$B$3)),Settings!$B$14,0))</f>
        <v/>
      </c>
    </row>
    <row r="559">
      <c r="A559" s="67" t="n"/>
      <c r="B559" s="69" t="n"/>
      <c r="C559" s="69" t="n"/>
      <c r="D559" s="69" t="n"/>
      <c r="E559" s="84">
        <f>IF($A559="","",B559+C559+D559)</f>
        <v/>
      </c>
      <c r="F559" s="85">
        <f>IF($A559="","",SUMIFS($E$5:$E$800,$A$5:$A$800,"&gt;="&amp;DATE(YEAR($A559),MONTH($A559),1),$A$5:$A$800,"&lt;="&amp;$A559)+IF(AND(YEAR($A559)=YEAR(Settings!$B$3),MONTH($A559)=MONTH(Settings!$B$3)),Settings!$B$14,0))</f>
        <v/>
      </c>
    </row>
    <row r="560">
      <c r="A560" s="67" t="n"/>
      <c r="B560" s="69" t="n"/>
      <c r="C560" s="69" t="n"/>
      <c r="D560" s="69" t="n"/>
      <c r="E560" s="84">
        <f>IF($A560="","",B560+C560+D560)</f>
        <v/>
      </c>
      <c r="F560" s="85">
        <f>IF($A560="","",SUMIFS($E$5:$E$800,$A$5:$A$800,"&gt;="&amp;DATE(YEAR($A560),MONTH($A560),1),$A$5:$A$800,"&lt;="&amp;$A560)+IF(AND(YEAR($A560)=YEAR(Settings!$B$3),MONTH($A560)=MONTH(Settings!$B$3)),Settings!$B$14,0))</f>
        <v/>
      </c>
    </row>
    <row r="561">
      <c r="A561" s="67" t="n"/>
      <c r="B561" s="69" t="n"/>
      <c r="C561" s="69" t="n"/>
      <c r="D561" s="69" t="n"/>
      <c r="E561" s="84">
        <f>IF($A561="","",B561+C561+D561)</f>
        <v/>
      </c>
      <c r="F561" s="85">
        <f>IF($A561="","",SUMIFS($E$5:$E$800,$A$5:$A$800,"&gt;="&amp;DATE(YEAR($A561),MONTH($A561),1),$A$5:$A$800,"&lt;="&amp;$A561)+IF(AND(YEAR($A561)=YEAR(Settings!$B$3),MONTH($A561)=MONTH(Settings!$B$3)),Settings!$B$14,0))</f>
        <v/>
      </c>
    </row>
    <row r="562">
      <c r="A562" s="67" t="n"/>
      <c r="B562" s="69" t="n"/>
      <c r="C562" s="69" t="n"/>
      <c r="D562" s="69" t="n"/>
      <c r="E562" s="84">
        <f>IF($A562="","",B562+C562+D562)</f>
        <v/>
      </c>
      <c r="F562" s="85">
        <f>IF($A562="","",SUMIFS($E$5:$E$800,$A$5:$A$800,"&gt;="&amp;DATE(YEAR($A562),MONTH($A562),1),$A$5:$A$800,"&lt;="&amp;$A562)+IF(AND(YEAR($A562)=YEAR(Settings!$B$3),MONTH($A562)=MONTH(Settings!$B$3)),Settings!$B$14,0))</f>
        <v/>
      </c>
    </row>
    <row r="563">
      <c r="A563" s="67" t="n"/>
      <c r="B563" s="69" t="n"/>
      <c r="C563" s="69" t="n"/>
      <c r="D563" s="69" t="n"/>
      <c r="E563" s="84">
        <f>IF($A563="","",B563+C563+D563)</f>
        <v/>
      </c>
      <c r="F563" s="85">
        <f>IF($A563="","",SUMIFS($E$5:$E$800,$A$5:$A$800,"&gt;="&amp;DATE(YEAR($A563),MONTH($A563),1),$A$5:$A$800,"&lt;="&amp;$A563)+IF(AND(YEAR($A563)=YEAR(Settings!$B$3),MONTH($A563)=MONTH(Settings!$B$3)),Settings!$B$14,0))</f>
        <v/>
      </c>
    </row>
    <row r="564">
      <c r="A564" s="67" t="n"/>
      <c r="B564" s="69" t="n"/>
      <c r="C564" s="69" t="n"/>
      <c r="D564" s="69" t="n"/>
      <c r="E564" s="84">
        <f>IF($A564="","",B564+C564+D564)</f>
        <v/>
      </c>
      <c r="F564" s="85">
        <f>IF($A564="","",SUMIFS($E$5:$E$800,$A$5:$A$800,"&gt;="&amp;DATE(YEAR($A564),MONTH($A564),1),$A$5:$A$800,"&lt;="&amp;$A564)+IF(AND(YEAR($A564)=YEAR(Settings!$B$3),MONTH($A564)=MONTH(Settings!$B$3)),Settings!$B$14,0))</f>
        <v/>
      </c>
    </row>
    <row r="565">
      <c r="A565" s="67" t="n"/>
      <c r="B565" s="69" t="n"/>
      <c r="C565" s="69" t="n"/>
      <c r="D565" s="69" t="n"/>
      <c r="E565" s="84">
        <f>IF($A565="","",B565+C565+D565)</f>
        <v/>
      </c>
      <c r="F565" s="85">
        <f>IF($A565="","",SUMIFS($E$5:$E$800,$A$5:$A$800,"&gt;="&amp;DATE(YEAR($A565),MONTH($A565),1),$A$5:$A$800,"&lt;="&amp;$A565)+IF(AND(YEAR($A565)=YEAR(Settings!$B$3),MONTH($A565)=MONTH(Settings!$B$3)),Settings!$B$14,0))</f>
        <v/>
      </c>
    </row>
    <row r="566">
      <c r="A566" s="67" t="n"/>
      <c r="B566" s="69" t="n"/>
      <c r="C566" s="69" t="n"/>
      <c r="D566" s="69" t="n"/>
      <c r="E566" s="84">
        <f>IF($A566="","",B566+C566+D566)</f>
        <v/>
      </c>
      <c r="F566" s="85">
        <f>IF($A566="","",SUMIFS($E$5:$E$800,$A$5:$A$800,"&gt;="&amp;DATE(YEAR($A566),MONTH($A566),1),$A$5:$A$800,"&lt;="&amp;$A566)+IF(AND(YEAR($A566)=YEAR(Settings!$B$3),MONTH($A566)=MONTH(Settings!$B$3)),Settings!$B$14,0))</f>
        <v/>
      </c>
    </row>
    <row r="567">
      <c r="A567" s="67" t="n"/>
      <c r="B567" s="69" t="n"/>
      <c r="C567" s="69" t="n"/>
      <c r="D567" s="69" t="n"/>
      <c r="E567" s="84">
        <f>IF($A567="","",B567+C567+D567)</f>
        <v/>
      </c>
      <c r="F567" s="85">
        <f>IF($A567="","",SUMIFS($E$5:$E$800,$A$5:$A$800,"&gt;="&amp;DATE(YEAR($A567),MONTH($A567),1),$A$5:$A$800,"&lt;="&amp;$A567)+IF(AND(YEAR($A567)=YEAR(Settings!$B$3),MONTH($A567)=MONTH(Settings!$B$3)),Settings!$B$14,0))</f>
        <v/>
      </c>
    </row>
    <row r="568">
      <c r="A568" s="67" t="n"/>
      <c r="B568" s="69" t="n"/>
      <c r="C568" s="69" t="n"/>
      <c r="D568" s="69" t="n"/>
      <c r="E568" s="84">
        <f>IF($A568="","",B568+C568+D568)</f>
        <v/>
      </c>
      <c r="F568" s="85">
        <f>IF($A568="","",SUMIFS($E$5:$E$800,$A$5:$A$800,"&gt;="&amp;DATE(YEAR($A568),MONTH($A568),1),$A$5:$A$800,"&lt;="&amp;$A568)+IF(AND(YEAR($A568)=YEAR(Settings!$B$3),MONTH($A568)=MONTH(Settings!$B$3)),Settings!$B$14,0))</f>
        <v/>
      </c>
    </row>
    <row r="569">
      <c r="A569" s="67" t="n"/>
      <c r="B569" s="69" t="n"/>
      <c r="C569" s="69" t="n"/>
      <c r="D569" s="69" t="n"/>
      <c r="E569" s="84">
        <f>IF($A569="","",B569+C569+D569)</f>
        <v/>
      </c>
      <c r="F569" s="85">
        <f>IF($A569="","",SUMIFS($E$5:$E$800,$A$5:$A$800,"&gt;="&amp;DATE(YEAR($A569),MONTH($A569),1),$A$5:$A$800,"&lt;="&amp;$A569)+IF(AND(YEAR($A569)=YEAR(Settings!$B$3),MONTH($A569)=MONTH(Settings!$B$3)),Settings!$B$14,0))</f>
        <v/>
      </c>
    </row>
    <row r="570">
      <c r="A570" s="67" t="n"/>
      <c r="B570" s="69" t="n"/>
      <c r="C570" s="69" t="n"/>
      <c r="D570" s="69" t="n"/>
      <c r="E570" s="84">
        <f>IF($A570="","",B570+C570+D570)</f>
        <v/>
      </c>
      <c r="F570" s="85">
        <f>IF($A570="","",SUMIFS($E$5:$E$800,$A$5:$A$800,"&gt;="&amp;DATE(YEAR($A570),MONTH($A570),1),$A$5:$A$800,"&lt;="&amp;$A570)+IF(AND(YEAR($A570)=YEAR(Settings!$B$3),MONTH($A570)=MONTH(Settings!$B$3)),Settings!$B$14,0))</f>
        <v/>
      </c>
    </row>
    <row r="571">
      <c r="A571" s="67" t="n"/>
      <c r="B571" s="69" t="n"/>
      <c r="C571" s="69" t="n"/>
      <c r="D571" s="69" t="n"/>
      <c r="E571" s="84">
        <f>IF($A571="","",B571+C571+D571)</f>
        <v/>
      </c>
      <c r="F571" s="85">
        <f>IF($A571="","",SUMIFS($E$5:$E$800,$A$5:$A$800,"&gt;="&amp;DATE(YEAR($A571),MONTH($A571),1),$A$5:$A$800,"&lt;="&amp;$A571)+IF(AND(YEAR($A571)=YEAR(Settings!$B$3),MONTH($A571)=MONTH(Settings!$B$3)),Settings!$B$14,0))</f>
        <v/>
      </c>
    </row>
    <row r="572">
      <c r="A572" s="67" t="n"/>
      <c r="B572" s="69" t="n"/>
      <c r="C572" s="69" t="n"/>
      <c r="D572" s="69" t="n"/>
      <c r="E572" s="84">
        <f>IF($A572="","",B572+C572+D572)</f>
        <v/>
      </c>
      <c r="F572" s="85">
        <f>IF($A572="","",SUMIFS($E$5:$E$800,$A$5:$A$800,"&gt;="&amp;DATE(YEAR($A572),MONTH($A572),1),$A$5:$A$800,"&lt;="&amp;$A572)+IF(AND(YEAR($A572)=YEAR(Settings!$B$3),MONTH($A572)=MONTH(Settings!$B$3)),Settings!$B$14,0))</f>
        <v/>
      </c>
    </row>
    <row r="573">
      <c r="A573" s="67" t="n"/>
      <c r="B573" s="69" t="n"/>
      <c r="C573" s="69" t="n"/>
      <c r="D573" s="69" t="n"/>
      <c r="E573" s="84">
        <f>IF($A573="","",B573+C573+D573)</f>
        <v/>
      </c>
      <c r="F573" s="85">
        <f>IF($A573="","",SUMIFS($E$5:$E$800,$A$5:$A$800,"&gt;="&amp;DATE(YEAR($A573),MONTH($A573),1),$A$5:$A$800,"&lt;="&amp;$A573)+IF(AND(YEAR($A573)=YEAR(Settings!$B$3),MONTH($A573)=MONTH(Settings!$B$3)),Settings!$B$14,0))</f>
        <v/>
      </c>
    </row>
    <row r="574">
      <c r="A574" s="67" t="n"/>
      <c r="B574" s="69" t="n"/>
      <c r="C574" s="69" t="n"/>
      <c r="D574" s="69" t="n"/>
      <c r="E574" s="84">
        <f>IF($A574="","",B574+C574+D574)</f>
        <v/>
      </c>
      <c r="F574" s="85">
        <f>IF($A574="","",SUMIFS($E$5:$E$800,$A$5:$A$800,"&gt;="&amp;DATE(YEAR($A574),MONTH($A574),1),$A$5:$A$800,"&lt;="&amp;$A574)+IF(AND(YEAR($A574)=YEAR(Settings!$B$3),MONTH($A574)=MONTH(Settings!$B$3)),Settings!$B$14,0))</f>
        <v/>
      </c>
    </row>
    <row r="575">
      <c r="A575" s="67" t="n"/>
      <c r="B575" s="69" t="n"/>
      <c r="C575" s="69" t="n"/>
      <c r="D575" s="69" t="n"/>
      <c r="E575" s="84">
        <f>IF($A575="","",B575+C575+D575)</f>
        <v/>
      </c>
      <c r="F575" s="85">
        <f>IF($A575="","",SUMIFS($E$5:$E$800,$A$5:$A$800,"&gt;="&amp;DATE(YEAR($A575),MONTH($A575),1),$A$5:$A$800,"&lt;="&amp;$A575)+IF(AND(YEAR($A575)=YEAR(Settings!$B$3),MONTH($A575)=MONTH(Settings!$B$3)),Settings!$B$14,0))</f>
        <v/>
      </c>
    </row>
    <row r="576">
      <c r="A576" s="67" t="n"/>
      <c r="B576" s="69" t="n"/>
      <c r="C576" s="69" t="n"/>
      <c r="D576" s="69" t="n"/>
      <c r="E576" s="84">
        <f>IF($A576="","",B576+C576+D576)</f>
        <v/>
      </c>
      <c r="F576" s="85">
        <f>IF($A576="","",SUMIFS($E$5:$E$800,$A$5:$A$800,"&gt;="&amp;DATE(YEAR($A576),MONTH($A576),1),$A$5:$A$800,"&lt;="&amp;$A576)+IF(AND(YEAR($A576)=YEAR(Settings!$B$3),MONTH($A576)=MONTH(Settings!$B$3)),Settings!$B$14,0))</f>
        <v/>
      </c>
    </row>
    <row r="577">
      <c r="A577" s="67" t="n"/>
      <c r="B577" s="69" t="n"/>
      <c r="C577" s="69" t="n"/>
      <c r="D577" s="69" t="n"/>
      <c r="E577" s="84">
        <f>IF($A577="","",B577+C577+D577)</f>
        <v/>
      </c>
      <c r="F577" s="85">
        <f>IF($A577="","",SUMIFS($E$5:$E$800,$A$5:$A$800,"&gt;="&amp;DATE(YEAR($A577),MONTH($A577),1),$A$5:$A$800,"&lt;="&amp;$A577)+IF(AND(YEAR($A577)=YEAR(Settings!$B$3),MONTH($A577)=MONTH(Settings!$B$3)),Settings!$B$14,0))</f>
        <v/>
      </c>
    </row>
    <row r="578">
      <c r="A578" s="67" t="n"/>
      <c r="B578" s="69" t="n"/>
      <c r="C578" s="69" t="n"/>
      <c r="D578" s="69" t="n"/>
      <c r="E578" s="84">
        <f>IF($A578="","",B578+C578+D578)</f>
        <v/>
      </c>
      <c r="F578" s="85">
        <f>IF($A578="","",SUMIFS($E$5:$E$800,$A$5:$A$800,"&gt;="&amp;DATE(YEAR($A578),MONTH($A578),1),$A$5:$A$800,"&lt;="&amp;$A578)+IF(AND(YEAR($A578)=YEAR(Settings!$B$3),MONTH($A578)=MONTH(Settings!$B$3)),Settings!$B$14,0))</f>
        <v/>
      </c>
    </row>
    <row r="579">
      <c r="A579" s="67" t="n"/>
      <c r="B579" s="69" t="n"/>
      <c r="C579" s="69" t="n"/>
      <c r="D579" s="69" t="n"/>
      <c r="E579" s="84">
        <f>IF($A579="","",B579+C579+D579)</f>
        <v/>
      </c>
      <c r="F579" s="85">
        <f>IF($A579="","",SUMIFS($E$5:$E$800,$A$5:$A$800,"&gt;="&amp;DATE(YEAR($A579),MONTH($A579),1),$A$5:$A$800,"&lt;="&amp;$A579)+IF(AND(YEAR($A579)=YEAR(Settings!$B$3),MONTH($A579)=MONTH(Settings!$B$3)),Settings!$B$14,0))</f>
        <v/>
      </c>
    </row>
    <row r="580">
      <c r="A580" s="67" t="n"/>
      <c r="B580" s="69" t="n"/>
      <c r="C580" s="69" t="n"/>
      <c r="D580" s="69" t="n"/>
      <c r="E580" s="84">
        <f>IF($A580="","",B580+C580+D580)</f>
        <v/>
      </c>
      <c r="F580" s="85">
        <f>IF($A580="","",SUMIFS($E$5:$E$800,$A$5:$A$800,"&gt;="&amp;DATE(YEAR($A580),MONTH($A580),1),$A$5:$A$800,"&lt;="&amp;$A580)+IF(AND(YEAR($A580)=YEAR(Settings!$B$3),MONTH($A580)=MONTH(Settings!$B$3)),Settings!$B$14,0))</f>
        <v/>
      </c>
    </row>
    <row r="581">
      <c r="A581" s="67" t="n"/>
      <c r="B581" s="69" t="n"/>
      <c r="C581" s="69" t="n"/>
      <c r="D581" s="69" t="n"/>
      <c r="E581" s="84">
        <f>IF($A581="","",B581+C581+D581)</f>
        <v/>
      </c>
      <c r="F581" s="85">
        <f>IF($A581="","",SUMIFS($E$5:$E$800,$A$5:$A$800,"&gt;="&amp;DATE(YEAR($A581),MONTH($A581),1),$A$5:$A$800,"&lt;="&amp;$A581)+IF(AND(YEAR($A581)=YEAR(Settings!$B$3),MONTH($A581)=MONTH(Settings!$B$3)),Settings!$B$14,0))</f>
        <v/>
      </c>
    </row>
    <row r="582">
      <c r="A582" s="67" t="n"/>
      <c r="B582" s="69" t="n"/>
      <c r="C582" s="69" t="n"/>
      <c r="D582" s="69" t="n"/>
      <c r="E582" s="84">
        <f>IF($A582="","",B582+C582+D582)</f>
        <v/>
      </c>
      <c r="F582" s="85">
        <f>IF($A582="","",SUMIFS($E$5:$E$800,$A$5:$A$800,"&gt;="&amp;DATE(YEAR($A582),MONTH($A582),1),$A$5:$A$800,"&lt;="&amp;$A582)+IF(AND(YEAR($A582)=YEAR(Settings!$B$3),MONTH($A582)=MONTH(Settings!$B$3)),Settings!$B$14,0))</f>
        <v/>
      </c>
    </row>
    <row r="583">
      <c r="A583" s="67" t="n"/>
      <c r="B583" s="69" t="n"/>
      <c r="C583" s="69" t="n"/>
      <c r="D583" s="69" t="n"/>
      <c r="E583" s="84">
        <f>IF($A583="","",B583+C583+D583)</f>
        <v/>
      </c>
      <c r="F583" s="85">
        <f>IF($A583="","",SUMIFS($E$5:$E$800,$A$5:$A$800,"&gt;="&amp;DATE(YEAR($A583),MONTH($A583),1),$A$5:$A$800,"&lt;="&amp;$A583)+IF(AND(YEAR($A583)=YEAR(Settings!$B$3),MONTH($A583)=MONTH(Settings!$B$3)),Settings!$B$14,0))</f>
        <v/>
      </c>
    </row>
    <row r="584">
      <c r="A584" s="67" t="n"/>
      <c r="B584" s="69" t="n"/>
      <c r="C584" s="69" t="n"/>
      <c r="D584" s="69" t="n"/>
      <c r="E584" s="84">
        <f>IF($A584="","",B584+C584+D584)</f>
        <v/>
      </c>
      <c r="F584" s="85">
        <f>IF($A584="","",SUMIFS($E$5:$E$800,$A$5:$A$800,"&gt;="&amp;DATE(YEAR($A584),MONTH($A584),1),$A$5:$A$800,"&lt;="&amp;$A584)+IF(AND(YEAR($A584)=YEAR(Settings!$B$3),MONTH($A584)=MONTH(Settings!$B$3)),Settings!$B$14,0))</f>
        <v/>
      </c>
    </row>
    <row r="585">
      <c r="A585" s="67" t="n"/>
      <c r="B585" s="69" t="n"/>
      <c r="C585" s="69" t="n"/>
      <c r="D585" s="69" t="n"/>
      <c r="E585" s="84">
        <f>IF($A585="","",B585+C585+D585)</f>
        <v/>
      </c>
      <c r="F585" s="85">
        <f>IF($A585="","",SUMIFS($E$5:$E$800,$A$5:$A$800,"&gt;="&amp;DATE(YEAR($A585),MONTH($A585),1),$A$5:$A$800,"&lt;="&amp;$A585)+IF(AND(YEAR($A585)=YEAR(Settings!$B$3),MONTH($A585)=MONTH(Settings!$B$3)),Settings!$B$14,0))</f>
        <v/>
      </c>
    </row>
    <row r="586">
      <c r="A586" s="67" t="n"/>
      <c r="B586" s="69" t="n"/>
      <c r="C586" s="69" t="n"/>
      <c r="D586" s="69" t="n"/>
      <c r="E586" s="84">
        <f>IF($A586="","",B586+C586+D586)</f>
        <v/>
      </c>
      <c r="F586" s="85">
        <f>IF($A586="","",SUMIFS($E$5:$E$800,$A$5:$A$800,"&gt;="&amp;DATE(YEAR($A586),MONTH($A586),1),$A$5:$A$800,"&lt;="&amp;$A586)+IF(AND(YEAR($A586)=YEAR(Settings!$B$3),MONTH($A586)=MONTH(Settings!$B$3)),Settings!$B$14,0))</f>
        <v/>
      </c>
    </row>
    <row r="587">
      <c r="A587" s="67" t="n"/>
      <c r="B587" s="69" t="n"/>
      <c r="C587" s="69" t="n"/>
      <c r="D587" s="69" t="n"/>
      <c r="E587" s="84">
        <f>IF($A587="","",B587+C587+D587)</f>
        <v/>
      </c>
      <c r="F587" s="85">
        <f>IF($A587="","",SUMIFS($E$5:$E$800,$A$5:$A$800,"&gt;="&amp;DATE(YEAR($A587),MONTH($A587),1),$A$5:$A$800,"&lt;="&amp;$A587)+IF(AND(YEAR($A587)=YEAR(Settings!$B$3),MONTH($A587)=MONTH(Settings!$B$3)),Settings!$B$14,0))</f>
        <v/>
      </c>
    </row>
    <row r="588">
      <c r="A588" s="67" t="n"/>
      <c r="B588" s="69" t="n"/>
      <c r="C588" s="69" t="n"/>
      <c r="D588" s="69" t="n"/>
      <c r="E588" s="84">
        <f>IF($A588="","",B588+C588+D588)</f>
        <v/>
      </c>
      <c r="F588" s="85">
        <f>IF($A588="","",SUMIFS($E$5:$E$800,$A$5:$A$800,"&gt;="&amp;DATE(YEAR($A588),MONTH($A588),1),$A$5:$A$800,"&lt;="&amp;$A588)+IF(AND(YEAR($A588)=YEAR(Settings!$B$3),MONTH($A588)=MONTH(Settings!$B$3)),Settings!$B$14,0))</f>
        <v/>
      </c>
    </row>
    <row r="589">
      <c r="A589" s="67" t="n"/>
      <c r="B589" s="69" t="n"/>
      <c r="C589" s="69" t="n"/>
      <c r="D589" s="69" t="n"/>
      <c r="E589" s="84">
        <f>IF($A589="","",B589+C589+D589)</f>
        <v/>
      </c>
      <c r="F589" s="85">
        <f>IF($A589="","",SUMIFS($E$5:$E$800,$A$5:$A$800,"&gt;="&amp;DATE(YEAR($A589),MONTH($A589),1),$A$5:$A$800,"&lt;="&amp;$A589)+IF(AND(YEAR($A589)=YEAR(Settings!$B$3),MONTH($A589)=MONTH(Settings!$B$3)),Settings!$B$14,0))</f>
        <v/>
      </c>
    </row>
    <row r="590">
      <c r="A590" s="67" t="n"/>
      <c r="B590" s="69" t="n"/>
      <c r="C590" s="69" t="n"/>
      <c r="D590" s="69" t="n"/>
      <c r="E590" s="84">
        <f>IF($A590="","",B590+C590+D590)</f>
        <v/>
      </c>
      <c r="F590" s="85">
        <f>IF($A590="","",SUMIFS($E$5:$E$800,$A$5:$A$800,"&gt;="&amp;DATE(YEAR($A590),MONTH($A590),1),$A$5:$A$800,"&lt;="&amp;$A590)+IF(AND(YEAR($A590)=YEAR(Settings!$B$3),MONTH($A590)=MONTH(Settings!$B$3)),Settings!$B$14,0))</f>
        <v/>
      </c>
    </row>
    <row r="591">
      <c r="A591" s="67" t="n"/>
      <c r="B591" s="69" t="n"/>
      <c r="C591" s="69" t="n"/>
      <c r="D591" s="69" t="n"/>
      <c r="E591" s="84">
        <f>IF($A591="","",B591+C591+D591)</f>
        <v/>
      </c>
      <c r="F591" s="85">
        <f>IF($A591="","",SUMIFS($E$5:$E$800,$A$5:$A$800,"&gt;="&amp;DATE(YEAR($A591),MONTH($A591),1),$A$5:$A$800,"&lt;="&amp;$A591)+IF(AND(YEAR($A591)=YEAR(Settings!$B$3),MONTH($A591)=MONTH(Settings!$B$3)),Settings!$B$14,0))</f>
        <v/>
      </c>
    </row>
    <row r="592">
      <c r="A592" s="67" t="n"/>
      <c r="B592" s="69" t="n"/>
      <c r="C592" s="69" t="n"/>
      <c r="D592" s="69" t="n"/>
      <c r="E592" s="84">
        <f>IF($A592="","",B592+C592+D592)</f>
        <v/>
      </c>
      <c r="F592" s="85">
        <f>IF($A592="","",SUMIFS($E$5:$E$800,$A$5:$A$800,"&gt;="&amp;DATE(YEAR($A592),MONTH($A592),1),$A$5:$A$800,"&lt;="&amp;$A592)+IF(AND(YEAR($A592)=YEAR(Settings!$B$3),MONTH($A592)=MONTH(Settings!$B$3)),Settings!$B$14,0))</f>
        <v/>
      </c>
    </row>
    <row r="593">
      <c r="A593" s="67" t="n"/>
      <c r="B593" s="69" t="n"/>
      <c r="C593" s="69" t="n"/>
      <c r="D593" s="69" t="n"/>
      <c r="E593" s="84">
        <f>IF($A593="","",B593+C593+D593)</f>
        <v/>
      </c>
      <c r="F593" s="85">
        <f>IF($A593="","",SUMIFS($E$5:$E$800,$A$5:$A$800,"&gt;="&amp;DATE(YEAR($A593),MONTH($A593),1),$A$5:$A$800,"&lt;="&amp;$A593)+IF(AND(YEAR($A593)=YEAR(Settings!$B$3),MONTH($A593)=MONTH(Settings!$B$3)),Settings!$B$14,0))</f>
        <v/>
      </c>
    </row>
    <row r="594">
      <c r="A594" s="67" t="n"/>
      <c r="B594" s="69" t="n"/>
      <c r="C594" s="69" t="n"/>
      <c r="D594" s="69" t="n"/>
      <c r="E594" s="84">
        <f>IF($A594="","",B594+C594+D594)</f>
        <v/>
      </c>
      <c r="F594" s="85">
        <f>IF($A594="","",SUMIFS($E$5:$E$800,$A$5:$A$800,"&gt;="&amp;DATE(YEAR($A594),MONTH($A594),1),$A$5:$A$800,"&lt;="&amp;$A594)+IF(AND(YEAR($A594)=YEAR(Settings!$B$3),MONTH($A594)=MONTH(Settings!$B$3)),Settings!$B$14,0))</f>
        <v/>
      </c>
    </row>
    <row r="595">
      <c r="A595" s="67" t="n"/>
      <c r="B595" s="69" t="n"/>
      <c r="C595" s="69" t="n"/>
      <c r="D595" s="69" t="n"/>
      <c r="E595" s="84">
        <f>IF($A595="","",B595+C595+D595)</f>
        <v/>
      </c>
      <c r="F595" s="85">
        <f>IF($A595="","",SUMIFS($E$5:$E$800,$A$5:$A$800,"&gt;="&amp;DATE(YEAR($A595),MONTH($A595),1),$A$5:$A$800,"&lt;="&amp;$A595)+IF(AND(YEAR($A595)=YEAR(Settings!$B$3),MONTH($A595)=MONTH(Settings!$B$3)),Settings!$B$14,0))</f>
        <v/>
      </c>
    </row>
    <row r="596">
      <c r="A596" s="67" t="n"/>
      <c r="B596" s="69" t="n"/>
      <c r="C596" s="69" t="n"/>
      <c r="D596" s="69" t="n"/>
      <c r="E596" s="84">
        <f>IF($A596="","",B596+C596+D596)</f>
        <v/>
      </c>
      <c r="F596" s="85">
        <f>IF($A596="","",SUMIFS($E$5:$E$800,$A$5:$A$800,"&gt;="&amp;DATE(YEAR($A596),MONTH($A596),1),$A$5:$A$800,"&lt;="&amp;$A596)+IF(AND(YEAR($A596)=YEAR(Settings!$B$3),MONTH($A596)=MONTH(Settings!$B$3)),Settings!$B$14,0))</f>
        <v/>
      </c>
    </row>
    <row r="597">
      <c r="A597" s="67" t="n"/>
      <c r="B597" s="69" t="n"/>
      <c r="C597" s="69" t="n"/>
      <c r="D597" s="69" t="n"/>
      <c r="E597" s="84">
        <f>IF($A597="","",B597+C597+D597)</f>
        <v/>
      </c>
      <c r="F597" s="85">
        <f>IF($A597="","",SUMIFS($E$5:$E$800,$A$5:$A$800,"&gt;="&amp;DATE(YEAR($A597),MONTH($A597),1),$A$5:$A$800,"&lt;="&amp;$A597)+IF(AND(YEAR($A597)=YEAR(Settings!$B$3),MONTH($A597)=MONTH(Settings!$B$3)),Settings!$B$14,0))</f>
        <v/>
      </c>
    </row>
    <row r="598">
      <c r="A598" s="67" t="n"/>
      <c r="B598" s="69" t="n"/>
      <c r="C598" s="69" t="n"/>
      <c r="D598" s="69" t="n"/>
      <c r="E598" s="84">
        <f>IF($A598="","",B598+C598+D598)</f>
        <v/>
      </c>
      <c r="F598" s="85">
        <f>IF($A598="","",SUMIFS($E$5:$E$800,$A$5:$A$800,"&gt;="&amp;DATE(YEAR($A598),MONTH($A598),1),$A$5:$A$800,"&lt;="&amp;$A598)+IF(AND(YEAR($A598)=YEAR(Settings!$B$3),MONTH($A598)=MONTH(Settings!$B$3)),Settings!$B$14,0))</f>
        <v/>
      </c>
    </row>
    <row r="599">
      <c r="A599" s="67" t="n"/>
      <c r="B599" s="69" t="n"/>
      <c r="C599" s="69" t="n"/>
      <c r="D599" s="69" t="n"/>
      <c r="E599" s="84">
        <f>IF($A599="","",B599+C599+D599)</f>
        <v/>
      </c>
      <c r="F599" s="85">
        <f>IF($A599="","",SUMIFS($E$5:$E$800,$A$5:$A$800,"&gt;="&amp;DATE(YEAR($A599),MONTH($A599),1),$A$5:$A$800,"&lt;="&amp;$A599)+IF(AND(YEAR($A599)=YEAR(Settings!$B$3),MONTH($A599)=MONTH(Settings!$B$3)),Settings!$B$14,0))</f>
        <v/>
      </c>
    </row>
    <row r="600">
      <c r="A600" s="67" t="n"/>
      <c r="B600" s="69" t="n"/>
      <c r="C600" s="69" t="n"/>
      <c r="D600" s="69" t="n"/>
      <c r="E600" s="84">
        <f>IF($A600="","",B600+C600+D600)</f>
        <v/>
      </c>
      <c r="F600" s="85">
        <f>IF($A600="","",SUMIFS($E$5:$E$800,$A$5:$A$800,"&gt;="&amp;DATE(YEAR($A600),MONTH($A600),1),$A$5:$A$800,"&lt;="&amp;$A600)+IF(AND(YEAR($A600)=YEAR(Settings!$B$3),MONTH($A600)=MONTH(Settings!$B$3)),Settings!$B$14,0))</f>
        <v/>
      </c>
    </row>
    <row r="601">
      <c r="A601" s="67" t="n"/>
      <c r="B601" s="69" t="n"/>
      <c r="C601" s="69" t="n"/>
      <c r="D601" s="69" t="n"/>
      <c r="E601" s="84">
        <f>IF($A601="","",B601+C601+D601)</f>
        <v/>
      </c>
      <c r="F601" s="85">
        <f>IF($A601="","",SUMIFS($E$5:$E$800,$A$5:$A$800,"&gt;="&amp;DATE(YEAR($A601),MONTH($A601),1),$A$5:$A$800,"&lt;="&amp;$A601)+IF(AND(YEAR($A601)=YEAR(Settings!$B$3),MONTH($A601)=MONTH(Settings!$B$3)),Settings!$B$14,0))</f>
        <v/>
      </c>
    </row>
    <row r="602">
      <c r="A602" s="67" t="n"/>
      <c r="B602" s="69" t="n"/>
      <c r="C602" s="69" t="n"/>
      <c r="D602" s="69" t="n"/>
      <c r="E602" s="84">
        <f>IF($A602="","",B602+C602+D602)</f>
        <v/>
      </c>
      <c r="F602" s="85">
        <f>IF($A602="","",SUMIFS($E$5:$E$800,$A$5:$A$800,"&gt;="&amp;DATE(YEAR($A602),MONTH($A602),1),$A$5:$A$800,"&lt;="&amp;$A602)+IF(AND(YEAR($A602)=YEAR(Settings!$B$3),MONTH($A602)=MONTH(Settings!$B$3)),Settings!$B$14,0))</f>
        <v/>
      </c>
    </row>
    <row r="603">
      <c r="A603" s="67" t="n"/>
      <c r="B603" s="69" t="n"/>
      <c r="C603" s="69" t="n"/>
      <c r="D603" s="69" t="n"/>
      <c r="E603" s="84">
        <f>IF($A603="","",B603+C603+D603)</f>
        <v/>
      </c>
      <c r="F603" s="85">
        <f>IF($A603="","",SUMIFS($E$5:$E$800,$A$5:$A$800,"&gt;="&amp;DATE(YEAR($A603),MONTH($A603),1),$A$5:$A$800,"&lt;="&amp;$A603)+IF(AND(YEAR($A603)=YEAR(Settings!$B$3),MONTH($A603)=MONTH(Settings!$B$3)),Settings!$B$14,0))</f>
        <v/>
      </c>
    </row>
    <row r="604">
      <c r="A604" s="67" t="n"/>
      <c r="B604" s="69" t="n"/>
      <c r="C604" s="69" t="n"/>
      <c r="D604" s="69" t="n"/>
      <c r="E604" s="84">
        <f>IF($A604="","",B604+C604+D604)</f>
        <v/>
      </c>
      <c r="F604" s="85">
        <f>IF($A604="","",SUMIFS($E$5:$E$800,$A$5:$A$800,"&gt;="&amp;DATE(YEAR($A604),MONTH($A604),1),$A$5:$A$800,"&lt;="&amp;$A604)+IF(AND(YEAR($A604)=YEAR(Settings!$B$3),MONTH($A604)=MONTH(Settings!$B$3)),Settings!$B$14,0))</f>
        <v/>
      </c>
    </row>
    <row r="605">
      <c r="A605" s="67" t="n"/>
      <c r="B605" s="69" t="n"/>
      <c r="C605" s="69" t="n"/>
      <c r="D605" s="69" t="n"/>
      <c r="E605" s="84">
        <f>IF($A605="","",B605+C605+D605)</f>
        <v/>
      </c>
      <c r="F605" s="85">
        <f>IF($A605="","",SUMIFS($E$5:$E$800,$A$5:$A$800,"&gt;="&amp;DATE(YEAR($A605),MONTH($A605),1),$A$5:$A$800,"&lt;="&amp;$A605)+IF(AND(YEAR($A605)=YEAR(Settings!$B$3),MONTH($A605)=MONTH(Settings!$B$3)),Settings!$B$14,0))</f>
        <v/>
      </c>
    </row>
    <row r="606">
      <c r="A606" s="67" t="n"/>
      <c r="B606" s="69" t="n"/>
      <c r="C606" s="69" t="n"/>
      <c r="D606" s="69" t="n"/>
      <c r="E606" s="84">
        <f>IF($A606="","",B606+C606+D606)</f>
        <v/>
      </c>
      <c r="F606" s="85">
        <f>IF($A606="","",SUMIFS($E$5:$E$800,$A$5:$A$800,"&gt;="&amp;DATE(YEAR($A606),MONTH($A606),1),$A$5:$A$800,"&lt;="&amp;$A606)+IF(AND(YEAR($A606)=YEAR(Settings!$B$3),MONTH($A606)=MONTH(Settings!$B$3)),Settings!$B$14,0))</f>
        <v/>
      </c>
    </row>
    <row r="607">
      <c r="A607" s="67" t="n"/>
      <c r="B607" s="69" t="n"/>
      <c r="C607" s="69" t="n"/>
      <c r="D607" s="69" t="n"/>
      <c r="E607" s="84">
        <f>IF($A607="","",B607+C607+D607)</f>
        <v/>
      </c>
      <c r="F607" s="85">
        <f>IF($A607="","",SUMIFS($E$5:$E$800,$A$5:$A$800,"&gt;="&amp;DATE(YEAR($A607),MONTH($A607),1),$A$5:$A$800,"&lt;="&amp;$A607)+IF(AND(YEAR($A607)=YEAR(Settings!$B$3),MONTH($A607)=MONTH(Settings!$B$3)),Settings!$B$14,0))</f>
        <v/>
      </c>
    </row>
    <row r="608">
      <c r="A608" s="67" t="n"/>
      <c r="B608" s="69" t="n"/>
      <c r="C608" s="69" t="n"/>
      <c r="D608" s="69" t="n"/>
      <c r="E608" s="84">
        <f>IF($A608="","",B608+C608+D608)</f>
        <v/>
      </c>
      <c r="F608" s="85">
        <f>IF($A608="","",SUMIFS($E$5:$E$800,$A$5:$A$800,"&gt;="&amp;DATE(YEAR($A608),MONTH($A608),1),$A$5:$A$800,"&lt;="&amp;$A608)+IF(AND(YEAR($A608)=YEAR(Settings!$B$3),MONTH($A608)=MONTH(Settings!$B$3)),Settings!$B$14,0))</f>
        <v/>
      </c>
    </row>
    <row r="609">
      <c r="A609" s="67" t="n"/>
      <c r="B609" s="69" t="n"/>
      <c r="C609" s="69" t="n"/>
      <c r="D609" s="69" t="n"/>
      <c r="E609" s="84">
        <f>IF($A609="","",B609+C609+D609)</f>
        <v/>
      </c>
      <c r="F609" s="85">
        <f>IF($A609="","",SUMIFS($E$5:$E$800,$A$5:$A$800,"&gt;="&amp;DATE(YEAR($A609),MONTH($A609),1),$A$5:$A$800,"&lt;="&amp;$A609)+IF(AND(YEAR($A609)=YEAR(Settings!$B$3),MONTH($A609)=MONTH(Settings!$B$3)),Settings!$B$14,0))</f>
        <v/>
      </c>
    </row>
    <row r="610">
      <c r="A610" s="67" t="n"/>
      <c r="B610" s="69" t="n"/>
      <c r="C610" s="69" t="n"/>
      <c r="D610" s="69" t="n"/>
      <c r="E610" s="84">
        <f>IF($A610="","",B610+C610+D610)</f>
        <v/>
      </c>
      <c r="F610" s="85">
        <f>IF($A610="","",SUMIFS($E$5:$E$800,$A$5:$A$800,"&gt;="&amp;DATE(YEAR($A610),MONTH($A610),1),$A$5:$A$800,"&lt;="&amp;$A610)+IF(AND(YEAR($A610)=YEAR(Settings!$B$3),MONTH($A610)=MONTH(Settings!$B$3)),Settings!$B$14,0))</f>
        <v/>
      </c>
    </row>
    <row r="611">
      <c r="A611" s="67" t="n"/>
      <c r="B611" s="69" t="n"/>
      <c r="C611" s="69" t="n"/>
      <c r="D611" s="69" t="n"/>
      <c r="E611" s="84">
        <f>IF($A611="","",B611+C611+D611)</f>
        <v/>
      </c>
      <c r="F611" s="85">
        <f>IF($A611="","",SUMIFS($E$5:$E$800,$A$5:$A$800,"&gt;="&amp;DATE(YEAR($A611),MONTH($A611),1),$A$5:$A$800,"&lt;="&amp;$A611)+IF(AND(YEAR($A611)=YEAR(Settings!$B$3),MONTH($A611)=MONTH(Settings!$B$3)),Settings!$B$14,0))</f>
        <v/>
      </c>
    </row>
    <row r="612">
      <c r="A612" s="67" t="n"/>
      <c r="B612" s="69" t="n"/>
      <c r="C612" s="69" t="n"/>
      <c r="D612" s="69" t="n"/>
      <c r="E612" s="84">
        <f>IF($A612="","",B612+C612+D612)</f>
        <v/>
      </c>
      <c r="F612" s="85">
        <f>IF($A612="","",SUMIFS($E$5:$E$800,$A$5:$A$800,"&gt;="&amp;DATE(YEAR($A612),MONTH($A612),1),$A$5:$A$800,"&lt;="&amp;$A612)+IF(AND(YEAR($A612)=YEAR(Settings!$B$3),MONTH($A612)=MONTH(Settings!$B$3)),Settings!$B$14,0))</f>
        <v/>
      </c>
    </row>
    <row r="613">
      <c r="A613" s="67" t="n"/>
      <c r="B613" s="69" t="n"/>
      <c r="C613" s="69" t="n"/>
      <c r="D613" s="69" t="n"/>
      <c r="E613" s="84">
        <f>IF($A613="","",B613+C613+D613)</f>
        <v/>
      </c>
      <c r="F613" s="85">
        <f>IF($A613="","",SUMIFS($E$5:$E$800,$A$5:$A$800,"&gt;="&amp;DATE(YEAR($A613),MONTH($A613),1),$A$5:$A$800,"&lt;="&amp;$A613)+IF(AND(YEAR($A613)=YEAR(Settings!$B$3),MONTH($A613)=MONTH(Settings!$B$3)),Settings!$B$14,0))</f>
        <v/>
      </c>
    </row>
    <row r="614">
      <c r="A614" s="67" t="n"/>
      <c r="B614" s="69" t="n"/>
      <c r="C614" s="69" t="n"/>
      <c r="D614" s="69" t="n"/>
      <c r="E614" s="84">
        <f>IF($A614="","",B614+C614+D614)</f>
        <v/>
      </c>
      <c r="F614" s="85">
        <f>IF($A614="","",SUMIFS($E$5:$E$800,$A$5:$A$800,"&gt;="&amp;DATE(YEAR($A614),MONTH($A614),1),$A$5:$A$800,"&lt;="&amp;$A614)+IF(AND(YEAR($A614)=YEAR(Settings!$B$3),MONTH($A614)=MONTH(Settings!$B$3)),Settings!$B$14,0))</f>
        <v/>
      </c>
    </row>
    <row r="615">
      <c r="A615" s="67" t="n"/>
      <c r="B615" s="69" t="n"/>
      <c r="C615" s="69" t="n"/>
      <c r="D615" s="69" t="n"/>
      <c r="E615" s="84">
        <f>IF($A615="","",B615+C615+D615)</f>
        <v/>
      </c>
      <c r="F615" s="85">
        <f>IF($A615="","",SUMIFS($E$5:$E$800,$A$5:$A$800,"&gt;="&amp;DATE(YEAR($A615),MONTH($A615),1),$A$5:$A$800,"&lt;="&amp;$A615)+IF(AND(YEAR($A615)=YEAR(Settings!$B$3),MONTH($A615)=MONTH(Settings!$B$3)),Settings!$B$14,0))</f>
        <v/>
      </c>
    </row>
    <row r="616">
      <c r="A616" s="67" t="n"/>
      <c r="B616" s="69" t="n"/>
      <c r="C616" s="69" t="n"/>
      <c r="D616" s="69" t="n"/>
      <c r="E616" s="84">
        <f>IF($A616="","",B616+C616+D616)</f>
        <v/>
      </c>
      <c r="F616" s="85">
        <f>IF($A616="","",SUMIFS($E$5:$E$800,$A$5:$A$800,"&gt;="&amp;DATE(YEAR($A616),MONTH($A616),1),$A$5:$A$800,"&lt;="&amp;$A616)+IF(AND(YEAR($A616)=YEAR(Settings!$B$3),MONTH($A616)=MONTH(Settings!$B$3)),Settings!$B$14,0))</f>
        <v/>
      </c>
    </row>
    <row r="617">
      <c r="A617" s="67" t="n"/>
      <c r="B617" s="69" t="n"/>
      <c r="C617" s="69" t="n"/>
      <c r="D617" s="69" t="n"/>
      <c r="E617" s="84">
        <f>IF($A617="","",B617+C617+D617)</f>
        <v/>
      </c>
      <c r="F617" s="85">
        <f>IF($A617="","",SUMIFS($E$5:$E$800,$A$5:$A$800,"&gt;="&amp;DATE(YEAR($A617),MONTH($A617),1),$A$5:$A$800,"&lt;="&amp;$A617)+IF(AND(YEAR($A617)=YEAR(Settings!$B$3),MONTH($A617)=MONTH(Settings!$B$3)),Settings!$B$14,0))</f>
        <v/>
      </c>
    </row>
    <row r="618">
      <c r="A618" s="67" t="n"/>
      <c r="B618" s="69" t="n"/>
      <c r="C618" s="69" t="n"/>
      <c r="D618" s="69" t="n"/>
      <c r="E618" s="84">
        <f>IF($A618="","",B618+C618+D618)</f>
        <v/>
      </c>
      <c r="F618" s="85">
        <f>IF($A618="","",SUMIFS($E$5:$E$800,$A$5:$A$800,"&gt;="&amp;DATE(YEAR($A618),MONTH($A618),1),$A$5:$A$800,"&lt;="&amp;$A618)+IF(AND(YEAR($A618)=YEAR(Settings!$B$3),MONTH($A618)=MONTH(Settings!$B$3)),Settings!$B$14,0))</f>
        <v/>
      </c>
    </row>
    <row r="619">
      <c r="A619" s="67" t="n"/>
      <c r="B619" s="69" t="n"/>
      <c r="C619" s="69" t="n"/>
      <c r="D619" s="69" t="n"/>
      <c r="E619" s="84">
        <f>IF($A619="","",B619+C619+D619)</f>
        <v/>
      </c>
      <c r="F619" s="85">
        <f>IF($A619="","",SUMIFS($E$5:$E$800,$A$5:$A$800,"&gt;="&amp;DATE(YEAR($A619),MONTH($A619),1),$A$5:$A$800,"&lt;="&amp;$A619)+IF(AND(YEAR($A619)=YEAR(Settings!$B$3),MONTH($A619)=MONTH(Settings!$B$3)),Settings!$B$14,0))</f>
        <v/>
      </c>
    </row>
    <row r="620">
      <c r="A620" s="67" t="n"/>
      <c r="B620" s="69" t="n"/>
      <c r="C620" s="69" t="n"/>
      <c r="D620" s="69" t="n"/>
      <c r="E620" s="84">
        <f>IF($A620="","",B620+C620+D620)</f>
        <v/>
      </c>
      <c r="F620" s="85">
        <f>IF($A620="","",SUMIFS($E$5:$E$800,$A$5:$A$800,"&gt;="&amp;DATE(YEAR($A620),MONTH($A620),1),$A$5:$A$800,"&lt;="&amp;$A620)+IF(AND(YEAR($A620)=YEAR(Settings!$B$3),MONTH($A620)=MONTH(Settings!$B$3)),Settings!$B$14,0))</f>
        <v/>
      </c>
    </row>
    <row r="621">
      <c r="A621" s="67" t="n"/>
      <c r="B621" s="69" t="n"/>
      <c r="C621" s="69" t="n"/>
      <c r="D621" s="69" t="n"/>
      <c r="E621" s="84">
        <f>IF($A621="","",B621+C621+D621)</f>
        <v/>
      </c>
      <c r="F621" s="85">
        <f>IF($A621="","",SUMIFS($E$5:$E$800,$A$5:$A$800,"&gt;="&amp;DATE(YEAR($A621),MONTH($A621),1),$A$5:$A$800,"&lt;="&amp;$A621)+IF(AND(YEAR($A621)=YEAR(Settings!$B$3),MONTH($A621)=MONTH(Settings!$B$3)),Settings!$B$14,0))</f>
        <v/>
      </c>
    </row>
    <row r="622">
      <c r="A622" s="67" t="n"/>
      <c r="B622" s="69" t="n"/>
      <c r="C622" s="69" t="n"/>
      <c r="D622" s="69" t="n"/>
      <c r="E622" s="84">
        <f>IF($A622="","",B622+C622+D622)</f>
        <v/>
      </c>
      <c r="F622" s="85">
        <f>IF($A622="","",SUMIFS($E$5:$E$800,$A$5:$A$800,"&gt;="&amp;DATE(YEAR($A622),MONTH($A622),1),$A$5:$A$800,"&lt;="&amp;$A622)+IF(AND(YEAR($A622)=YEAR(Settings!$B$3),MONTH($A622)=MONTH(Settings!$B$3)),Settings!$B$14,0))</f>
        <v/>
      </c>
    </row>
    <row r="623">
      <c r="A623" s="67" t="n"/>
      <c r="B623" s="69" t="n"/>
      <c r="C623" s="69" t="n"/>
      <c r="D623" s="69" t="n"/>
      <c r="E623" s="84">
        <f>IF($A623="","",B623+C623+D623)</f>
        <v/>
      </c>
      <c r="F623" s="85">
        <f>IF($A623="","",SUMIFS($E$5:$E$800,$A$5:$A$800,"&gt;="&amp;DATE(YEAR($A623),MONTH($A623),1),$A$5:$A$800,"&lt;="&amp;$A623)+IF(AND(YEAR($A623)=YEAR(Settings!$B$3),MONTH($A623)=MONTH(Settings!$B$3)),Settings!$B$14,0))</f>
        <v/>
      </c>
    </row>
    <row r="624">
      <c r="A624" s="67" t="n"/>
      <c r="B624" s="69" t="n"/>
      <c r="C624" s="69" t="n"/>
      <c r="D624" s="69" t="n"/>
      <c r="E624" s="84">
        <f>IF($A624="","",B624+C624+D624)</f>
        <v/>
      </c>
      <c r="F624" s="85">
        <f>IF($A624="","",SUMIFS($E$5:$E$800,$A$5:$A$800,"&gt;="&amp;DATE(YEAR($A624),MONTH($A624),1),$A$5:$A$800,"&lt;="&amp;$A624)+IF(AND(YEAR($A624)=YEAR(Settings!$B$3),MONTH($A624)=MONTH(Settings!$B$3)),Settings!$B$14,0))</f>
        <v/>
      </c>
    </row>
    <row r="625">
      <c r="A625" s="67" t="n"/>
      <c r="B625" s="69" t="n"/>
      <c r="C625" s="69" t="n"/>
      <c r="D625" s="69" t="n"/>
      <c r="E625" s="84">
        <f>IF($A625="","",B625+C625+D625)</f>
        <v/>
      </c>
      <c r="F625" s="85">
        <f>IF($A625="","",SUMIFS($E$5:$E$800,$A$5:$A$800,"&gt;="&amp;DATE(YEAR($A625),MONTH($A625),1),$A$5:$A$800,"&lt;="&amp;$A625)+IF(AND(YEAR($A625)=YEAR(Settings!$B$3),MONTH($A625)=MONTH(Settings!$B$3)),Settings!$B$14,0))</f>
        <v/>
      </c>
    </row>
    <row r="626">
      <c r="A626" s="67" t="n"/>
      <c r="B626" s="69" t="n"/>
      <c r="C626" s="69" t="n"/>
      <c r="D626" s="69" t="n"/>
      <c r="E626" s="84">
        <f>IF($A626="","",B626+C626+D626)</f>
        <v/>
      </c>
      <c r="F626" s="85">
        <f>IF($A626="","",SUMIFS($E$5:$E$800,$A$5:$A$800,"&gt;="&amp;DATE(YEAR($A626),MONTH($A626),1),$A$5:$A$800,"&lt;="&amp;$A626)+IF(AND(YEAR($A626)=YEAR(Settings!$B$3),MONTH($A626)=MONTH(Settings!$B$3)),Settings!$B$14,0))</f>
        <v/>
      </c>
    </row>
    <row r="627">
      <c r="A627" s="67" t="n"/>
      <c r="B627" s="69" t="n"/>
      <c r="C627" s="69" t="n"/>
      <c r="D627" s="69" t="n"/>
      <c r="E627" s="84">
        <f>IF($A627="","",B627+C627+D627)</f>
        <v/>
      </c>
      <c r="F627" s="85">
        <f>IF($A627="","",SUMIFS($E$5:$E$800,$A$5:$A$800,"&gt;="&amp;DATE(YEAR($A627),MONTH($A627),1),$A$5:$A$800,"&lt;="&amp;$A627)+IF(AND(YEAR($A627)=YEAR(Settings!$B$3),MONTH($A627)=MONTH(Settings!$B$3)),Settings!$B$14,0))</f>
        <v/>
      </c>
    </row>
    <row r="628">
      <c r="A628" s="67" t="n"/>
      <c r="B628" s="69" t="n"/>
      <c r="C628" s="69" t="n"/>
      <c r="D628" s="69" t="n"/>
      <c r="E628" s="84">
        <f>IF($A628="","",B628+C628+D628)</f>
        <v/>
      </c>
      <c r="F628" s="85">
        <f>IF($A628="","",SUMIFS($E$5:$E$800,$A$5:$A$800,"&gt;="&amp;DATE(YEAR($A628),MONTH($A628),1),$A$5:$A$800,"&lt;="&amp;$A628)+IF(AND(YEAR($A628)=YEAR(Settings!$B$3),MONTH($A628)=MONTH(Settings!$B$3)),Settings!$B$14,0))</f>
        <v/>
      </c>
    </row>
    <row r="629">
      <c r="A629" s="67" t="n"/>
      <c r="B629" s="69" t="n"/>
      <c r="C629" s="69" t="n"/>
      <c r="D629" s="69" t="n"/>
      <c r="E629" s="84">
        <f>IF($A629="","",B629+C629+D629)</f>
        <v/>
      </c>
      <c r="F629" s="85">
        <f>IF($A629="","",SUMIFS($E$5:$E$800,$A$5:$A$800,"&gt;="&amp;DATE(YEAR($A629),MONTH($A629),1),$A$5:$A$800,"&lt;="&amp;$A629)+IF(AND(YEAR($A629)=YEAR(Settings!$B$3),MONTH($A629)=MONTH(Settings!$B$3)),Settings!$B$14,0))</f>
        <v/>
      </c>
    </row>
    <row r="630">
      <c r="A630" s="67" t="n"/>
      <c r="B630" s="69" t="n"/>
      <c r="C630" s="69" t="n"/>
      <c r="D630" s="69" t="n"/>
      <c r="E630" s="84">
        <f>IF($A630="","",B630+C630+D630)</f>
        <v/>
      </c>
      <c r="F630" s="85">
        <f>IF($A630="","",SUMIFS($E$5:$E$800,$A$5:$A$800,"&gt;="&amp;DATE(YEAR($A630),MONTH($A630),1),$A$5:$A$800,"&lt;="&amp;$A630)+IF(AND(YEAR($A630)=YEAR(Settings!$B$3),MONTH($A630)=MONTH(Settings!$B$3)),Settings!$B$14,0))</f>
        <v/>
      </c>
    </row>
    <row r="631">
      <c r="A631" s="67" t="n"/>
      <c r="B631" s="69" t="n"/>
      <c r="C631" s="69" t="n"/>
      <c r="D631" s="69" t="n"/>
      <c r="E631" s="84">
        <f>IF($A631="","",B631+C631+D631)</f>
        <v/>
      </c>
      <c r="F631" s="85">
        <f>IF($A631="","",SUMIFS($E$5:$E$800,$A$5:$A$800,"&gt;="&amp;DATE(YEAR($A631),MONTH($A631),1),$A$5:$A$800,"&lt;="&amp;$A631)+IF(AND(YEAR($A631)=YEAR(Settings!$B$3),MONTH($A631)=MONTH(Settings!$B$3)),Settings!$B$14,0))</f>
        <v/>
      </c>
    </row>
    <row r="632">
      <c r="A632" s="67" t="n"/>
      <c r="B632" s="69" t="n"/>
      <c r="C632" s="69" t="n"/>
      <c r="D632" s="69" t="n"/>
      <c r="E632" s="84">
        <f>IF($A632="","",B632+C632+D632)</f>
        <v/>
      </c>
      <c r="F632" s="85">
        <f>IF($A632="","",SUMIFS($E$5:$E$800,$A$5:$A$800,"&gt;="&amp;DATE(YEAR($A632),MONTH($A632),1),$A$5:$A$800,"&lt;="&amp;$A632)+IF(AND(YEAR($A632)=YEAR(Settings!$B$3),MONTH($A632)=MONTH(Settings!$B$3)),Settings!$B$14,0))</f>
        <v/>
      </c>
    </row>
    <row r="633">
      <c r="A633" s="67" t="n"/>
      <c r="B633" s="69" t="n"/>
      <c r="C633" s="69" t="n"/>
      <c r="D633" s="69" t="n"/>
      <c r="E633" s="84">
        <f>IF($A633="","",B633+C633+D633)</f>
        <v/>
      </c>
      <c r="F633" s="85">
        <f>IF($A633="","",SUMIFS($E$5:$E$800,$A$5:$A$800,"&gt;="&amp;DATE(YEAR($A633),MONTH($A633),1),$A$5:$A$800,"&lt;="&amp;$A633)+IF(AND(YEAR($A633)=YEAR(Settings!$B$3),MONTH($A633)=MONTH(Settings!$B$3)),Settings!$B$14,0))</f>
        <v/>
      </c>
    </row>
    <row r="634">
      <c r="A634" s="67" t="n"/>
      <c r="B634" s="69" t="n"/>
      <c r="C634" s="69" t="n"/>
      <c r="D634" s="69" t="n"/>
      <c r="E634" s="84">
        <f>IF($A634="","",B634+C634+D634)</f>
        <v/>
      </c>
      <c r="F634" s="85">
        <f>IF($A634="","",SUMIFS($E$5:$E$800,$A$5:$A$800,"&gt;="&amp;DATE(YEAR($A634),MONTH($A634),1),$A$5:$A$800,"&lt;="&amp;$A634)+IF(AND(YEAR($A634)=YEAR(Settings!$B$3),MONTH($A634)=MONTH(Settings!$B$3)),Settings!$B$14,0))</f>
        <v/>
      </c>
    </row>
    <row r="635">
      <c r="A635" s="67" t="n"/>
      <c r="B635" s="69" t="n"/>
      <c r="C635" s="69" t="n"/>
      <c r="D635" s="69" t="n"/>
      <c r="E635" s="84">
        <f>IF($A635="","",B635+C635+D635)</f>
        <v/>
      </c>
      <c r="F635" s="85">
        <f>IF($A635="","",SUMIFS($E$5:$E$800,$A$5:$A$800,"&gt;="&amp;DATE(YEAR($A635),MONTH($A635),1),$A$5:$A$800,"&lt;="&amp;$A635)+IF(AND(YEAR($A635)=YEAR(Settings!$B$3),MONTH($A635)=MONTH(Settings!$B$3)),Settings!$B$14,0))</f>
        <v/>
      </c>
    </row>
    <row r="636">
      <c r="A636" s="67" t="n"/>
      <c r="B636" s="69" t="n"/>
      <c r="C636" s="69" t="n"/>
      <c r="D636" s="69" t="n"/>
      <c r="E636" s="84">
        <f>IF($A636="","",B636+C636+D636)</f>
        <v/>
      </c>
      <c r="F636" s="85">
        <f>IF($A636="","",SUMIFS($E$5:$E$800,$A$5:$A$800,"&gt;="&amp;DATE(YEAR($A636),MONTH($A636),1),$A$5:$A$800,"&lt;="&amp;$A636)+IF(AND(YEAR($A636)=YEAR(Settings!$B$3),MONTH($A636)=MONTH(Settings!$B$3)),Settings!$B$14,0))</f>
        <v/>
      </c>
    </row>
    <row r="637">
      <c r="A637" s="67" t="n"/>
      <c r="B637" s="69" t="n"/>
      <c r="C637" s="69" t="n"/>
      <c r="D637" s="69" t="n"/>
      <c r="E637" s="84">
        <f>IF($A637="","",B637+C637+D637)</f>
        <v/>
      </c>
      <c r="F637" s="85">
        <f>IF($A637="","",SUMIFS($E$5:$E$800,$A$5:$A$800,"&gt;="&amp;DATE(YEAR($A637),MONTH($A637),1),$A$5:$A$800,"&lt;="&amp;$A637)+IF(AND(YEAR($A637)=YEAR(Settings!$B$3),MONTH($A637)=MONTH(Settings!$B$3)),Settings!$B$14,0))</f>
        <v/>
      </c>
    </row>
    <row r="638">
      <c r="A638" s="67" t="n"/>
      <c r="B638" s="69" t="n"/>
      <c r="C638" s="69" t="n"/>
      <c r="D638" s="69" t="n"/>
      <c r="E638" s="84">
        <f>IF($A638="","",B638+C638+D638)</f>
        <v/>
      </c>
      <c r="F638" s="85">
        <f>IF($A638="","",SUMIFS($E$5:$E$800,$A$5:$A$800,"&gt;="&amp;DATE(YEAR($A638),MONTH($A638),1),$A$5:$A$800,"&lt;="&amp;$A638)+IF(AND(YEAR($A638)=YEAR(Settings!$B$3),MONTH($A638)=MONTH(Settings!$B$3)),Settings!$B$14,0))</f>
        <v/>
      </c>
    </row>
    <row r="639">
      <c r="A639" s="67" t="n"/>
      <c r="B639" s="69" t="n"/>
      <c r="C639" s="69" t="n"/>
      <c r="D639" s="69" t="n"/>
      <c r="E639" s="84">
        <f>IF($A639="","",B639+C639+D639)</f>
        <v/>
      </c>
      <c r="F639" s="85">
        <f>IF($A639="","",SUMIFS($E$5:$E$800,$A$5:$A$800,"&gt;="&amp;DATE(YEAR($A639),MONTH($A639),1),$A$5:$A$800,"&lt;="&amp;$A639)+IF(AND(YEAR($A639)=YEAR(Settings!$B$3),MONTH($A639)=MONTH(Settings!$B$3)),Settings!$B$14,0))</f>
        <v/>
      </c>
    </row>
    <row r="640">
      <c r="A640" s="67" t="n"/>
      <c r="B640" s="69" t="n"/>
      <c r="C640" s="69" t="n"/>
      <c r="D640" s="69" t="n"/>
      <c r="E640" s="84">
        <f>IF($A640="","",B640+C640+D640)</f>
        <v/>
      </c>
      <c r="F640" s="85">
        <f>IF($A640="","",SUMIFS($E$5:$E$800,$A$5:$A$800,"&gt;="&amp;DATE(YEAR($A640),MONTH($A640),1),$A$5:$A$800,"&lt;="&amp;$A640)+IF(AND(YEAR($A640)=YEAR(Settings!$B$3),MONTH($A640)=MONTH(Settings!$B$3)),Settings!$B$14,0))</f>
        <v/>
      </c>
    </row>
    <row r="641">
      <c r="A641" s="67" t="n"/>
      <c r="B641" s="69" t="n"/>
      <c r="C641" s="69" t="n"/>
      <c r="D641" s="69" t="n"/>
      <c r="E641" s="84">
        <f>IF($A641="","",B641+C641+D641)</f>
        <v/>
      </c>
      <c r="F641" s="85">
        <f>IF($A641="","",SUMIFS($E$5:$E$800,$A$5:$A$800,"&gt;="&amp;DATE(YEAR($A641),MONTH($A641),1),$A$5:$A$800,"&lt;="&amp;$A641)+IF(AND(YEAR($A641)=YEAR(Settings!$B$3),MONTH($A641)=MONTH(Settings!$B$3)),Settings!$B$14,0))</f>
        <v/>
      </c>
    </row>
    <row r="642">
      <c r="A642" s="67" t="n"/>
      <c r="B642" s="69" t="n"/>
      <c r="C642" s="69" t="n"/>
      <c r="D642" s="69" t="n"/>
      <c r="E642" s="84">
        <f>IF($A642="","",B642+C642+D642)</f>
        <v/>
      </c>
      <c r="F642" s="85">
        <f>IF($A642="","",SUMIFS($E$5:$E$800,$A$5:$A$800,"&gt;="&amp;DATE(YEAR($A642),MONTH($A642),1),$A$5:$A$800,"&lt;="&amp;$A642)+IF(AND(YEAR($A642)=YEAR(Settings!$B$3),MONTH($A642)=MONTH(Settings!$B$3)),Settings!$B$14,0))</f>
        <v/>
      </c>
    </row>
    <row r="643">
      <c r="A643" s="67" t="n"/>
      <c r="B643" s="69" t="n"/>
      <c r="C643" s="69" t="n"/>
      <c r="D643" s="69" t="n"/>
      <c r="E643" s="84">
        <f>IF($A643="","",B643+C643+D643)</f>
        <v/>
      </c>
      <c r="F643" s="85">
        <f>IF($A643="","",SUMIFS($E$5:$E$800,$A$5:$A$800,"&gt;="&amp;DATE(YEAR($A643),MONTH($A643),1),$A$5:$A$800,"&lt;="&amp;$A643)+IF(AND(YEAR($A643)=YEAR(Settings!$B$3),MONTH($A643)=MONTH(Settings!$B$3)),Settings!$B$14,0))</f>
        <v/>
      </c>
    </row>
    <row r="644">
      <c r="A644" s="67" t="n"/>
      <c r="B644" s="69" t="n"/>
      <c r="C644" s="69" t="n"/>
      <c r="D644" s="69" t="n"/>
      <c r="E644" s="84">
        <f>IF($A644="","",B644+C644+D644)</f>
        <v/>
      </c>
      <c r="F644" s="85">
        <f>IF($A644="","",SUMIFS($E$5:$E$800,$A$5:$A$800,"&gt;="&amp;DATE(YEAR($A644),MONTH($A644),1),$A$5:$A$800,"&lt;="&amp;$A644)+IF(AND(YEAR($A644)=YEAR(Settings!$B$3),MONTH($A644)=MONTH(Settings!$B$3)),Settings!$B$14,0))</f>
        <v/>
      </c>
    </row>
    <row r="645">
      <c r="A645" s="67" t="n"/>
      <c r="B645" s="69" t="n"/>
      <c r="C645" s="69" t="n"/>
      <c r="D645" s="69" t="n"/>
      <c r="E645" s="84">
        <f>IF($A645="","",B645+C645+D645)</f>
        <v/>
      </c>
      <c r="F645" s="85">
        <f>IF($A645="","",SUMIFS($E$5:$E$800,$A$5:$A$800,"&gt;="&amp;DATE(YEAR($A645),MONTH($A645),1),$A$5:$A$800,"&lt;="&amp;$A645)+IF(AND(YEAR($A645)=YEAR(Settings!$B$3),MONTH($A645)=MONTH(Settings!$B$3)),Settings!$B$14,0))</f>
        <v/>
      </c>
    </row>
    <row r="646">
      <c r="A646" s="67" t="n"/>
      <c r="B646" s="69" t="n"/>
      <c r="C646" s="69" t="n"/>
      <c r="D646" s="69" t="n"/>
      <c r="E646" s="84">
        <f>IF($A646="","",B646+C646+D646)</f>
        <v/>
      </c>
      <c r="F646" s="85">
        <f>IF($A646="","",SUMIFS($E$5:$E$800,$A$5:$A$800,"&gt;="&amp;DATE(YEAR($A646),MONTH($A646),1),$A$5:$A$800,"&lt;="&amp;$A646)+IF(AND(YEAR($A646)=YEAR(Settings!$B$3),MONTH($A646)=MONTH(Settings!$B$3)),Settings!$B$14,0))</f>
        <v/>
      </c>
    </row>
    <row r="647">
      <c r="A647" s="67" t="n"/>
      <c r="B647" s="69" t="n"/>
      <c r="C647" s="69" t="n"/>
      <c r="D647" s="69" t="n"/>
      <c r="E647" s="84">
        <f>IF($A647="","",B647+C647+D647)</f>
        <v/>
      </c>
      <c r="F647" s="85">
        <f>IF($A647="","",SUMIFS($E$5:$E$800,$A$5:$A$800,"&gt;="&amp;DATE(YEAR($A647),MONTH($A647),1),$A$5:$A$800,"&lt;="&amp;$A647)+IF(AND(YEAR($A647)=YEAR(Settings!$B$3),MONTH($A647)=MONTH(Settings!$B$3)),Settings!$B$14,0))</f>
        <v/>
      </c>
    </row>
    <row r="648">
      <c r="A648" s="67" t="n"/>
      <c r="B648" s="69" t="n"/>
      <c r="C648" s="69" t="n"/>
      <c r="D648" s="69" t="n"/>
      <c r="E648" s="84">
        <f>IF($A648="","",B648+C648+D648)</f>
        <v/>
      </c>
      <c r="F648" s="85">
        <f>IF($A648="","",SUMIFS($E$5:$E$800,$A$5:$A$800,"&gt;="&amp;DATE(YEAR($A648),MONTH($A648),1),$A$5:$A$800,"&lt;="&amp;$A648)+IF(AND(YEAR($A648)=YEAR(Settings!$B$3),MONTH($A648)=MONTH(Settings!$B$3)),Settings!$B$14,0))</f>
        <v/>
      </c>
    </row>
    <row r="649">
      <c r="A649" s="67" t="n"/>
      <c r="B649" s="69" t="n"/>
      <c r="C649" s="69" t="n"/>
      <c r="D649" s="69" t="n"/>
      <c r="E649" s="84">
        <f>IF($A649="","",B649+C649+D649)</f>
        <v/>
      </c>
      <c r="F649" s="85">
        <f>IF($A649="","",SUMIFS($E$5:$E$800,$A$5:$A$800,"&gt;="&amp;DATE(YEAR($A649),MONTH($A649),1),$A$5:$A$800,"&lt;="&amp;$A649)+IF(AND(YEAR($A649)=YEAR(Settings!$B$3),MONTH($A649)=MONTH(Settings!$B$3)),Settings!$B$14,0))</f>
        <v/>
      </c>
    </row>
    <row r="650">
      <c r="A650" s="67" t="n"/>
      <c r="B650" s="69" t="n"/>
      <c r="C650" s="69" t="n"/>
      <c r="D650" s="69" t="n"/>
      <c r="E650" s="84">
        <f>IF($A650="","",B650+C650+D650)</f>
        <v/>
      </c>
      <c r="F650" s="85">
        <f>IF($A650="","",SUMIFS($E$5:$E$800,$A$5:$A$800,"&gt;="&amp;DATE(YEAR($A650),MONTH($A650),1),$A$5:$A$800,"&lt;="&amp;$A650)+IF(AND(YEAR($A650)=YEAR(Settings!$B$3),MONTH($A650)=MONTH(Settings!$B$3)),Settings!$B$14,0))</f>
        <v/>
      </c>
    </row>
    <row r="651">
      <c r="A651" s="67" t="n"/>
      <c r="B651" s="69" t="n"/>
      <c r="C651" s="69" t="n"/>
      <c r="D651" s="69" t="n"/>
      <c r="E651" s="84">
        <f>IF($A651="","",B651+C651+D651)</f>
        <v/>
      </c>
      <c r="F651" s="85">
        <f>IF($A651="","",SUMIFS($E$5:$E$800,$A$5:$A$800,"&gt;="&amp;DATE(YEAR($A651),MONTH($A651),1),$A$5:$A$800,"&lt;="&amp;$A651)+IF(AND(YEAR($A651)=YEAR(Settings!$B$3),MONTH($A651)=MONTH(Settings!$B$3)),Settings!$B$14,0))</f>
        <v/>
      </c>
    </row>
    <row r="652">
      <c r="A652" s="67" t="n"/>
      <c r="B652" s="69" t="n"/>
      <c r="C652" s="69" t="n"/>
      <c r="D652" s="69" t="n"/>
      <c r="E652" s="84">
        <f>IF($A652="","",B652+C652+D652)</f>
        <v/>
      </c>
      <c r="F652" s="85">
        <f>IF($A652="","",SUMIFS($E$5:$E$800,$A$5:$A$800,"&gt;="&amp;DATE(YEAR($A652),MONTH($A652),1),$A$5:$A$800,"&lt;="&amp;$A652)+IF(AND(YEAR($A652)=YEAR(Settings!$B$3),MONTH($A652)=MONTH(Settings!$B$3)),Settings!$B$14,0))</f>
        <v/>
      </c>
    </row>
    <row r="653">
      <c r="A653" s="67" t="n"/>
      <c r="B653" s="69" t="n"/>
      <c r="C653" s="69" t="n"/>
      <c r="D653" s="69" t="n"/>
      <c r="E653" s="84">
        <f>IF($A653="","",B653+C653+D653)</f>
        <v/>
      </c>
      <c r="F653" s="85">
        <f>IF($A653="","",SUMIFS($E$5:$E$800,$A$5:$A$800,"&gt;="&amp;DATE(YEAR($A653),MONTH($A653),1),$A$5:$A$800,"&lt;="&amp;$A653)+IF(AND(YEAR($A653)=YEAR(Settings!$B$3),MONTH($A653)=MONTH(Settings!$B$3)),Settings!$B$14,0))</f>
        <v/>
      </c>
    </row>
    <row r="654">
      <c r="A654" s="67" t="n"/>
      <c r="B654" s="69" t="n"/>
      <c r="C654" s="69" t="n"/>
      <c r="D654" s="69" t="n"/>
      <c r="E654" s="84">
        <f>IF($A654="","",B654+C654+D654)</f>
        <v/>
      </c>
      <c r="F654" s="85">
        <f>IF($A654="","",SUMIFS($E$5:$E$800,$A$5:$A$800,"&gt;="&amp;DATE(YEAR($A654),MONTH($A654),1),$A$5:$A$800,"&lt;="&amp;$A654)+IF(AND(YEAR($A654)=YEAR(Settings!$B$3),MONTH($A654)=MONTH(Settings!$B$3)),Settings!$B$14,0))</f>
        <v/>
      </c>
    </row>
    <row r="655">
      <c r="A655" s="67" t="n"/>
      <c r="B655" s="69" t="n"/>
      <c r="C655" s="69" t="n"/>
      <c r="D655" s="69" t="n"/>
      <c r="E655" s="84">
        <f>IF($A655="","",B655+C655+D655)</f>
        <v/>
      </c>
      <c r="F655" s="85">
        <f>IF($A655="","",SUMIFS($E$5:$E$800,$A$5:$A$800,"&gt;="&amp;DATE(YEAR($A655),MONTH($A655),1),$A$5:$A$800,"&lt;="&amp;$A655)+IF(AND(YEAR($A655)=YEAR(Settings!$B$3),MONTH($A655)=MONTH(Settings!$B$3)),Settings!$B$14,0))</f>
        <v/>
      </c>
    </row>
    <row r="656">
      <c r="A656" s="67" t="n"/>
      <c r="B656" s="69" t="n"/>
      <c r="C656" s="69" t="n"/>
      <c r="D656" s="69" t="n"/>
      <c r="E656" s="84">
        <f>IF($A656="","",B656+C656+D656)</f>
        <v/>
      </c>
      <c r="F656" s="85">
        <f>IF($A656="","",SUMIFS($E$5:$E$800,$A$5:$A$800,"&gt;="&amp;DATE(YEAR($A656),MONTH($A656),1),$A$5:$A$800,"&lt;="&amp;$A656)+IF(AND(YEAR($A656)=YEAR(Settings!$B$3),MONTH($A656)=MONTH(Settings!$B$3)),Settings!$B$14,0))</f>
        <v/>
      </c>
    </row>
    <row r="657">
      <c r="A657" s="67" t="n"/>
      <c r="B657" s="69" t="n"/>
      <c r="C657" s="69" t="n"/>
      <c r="D657" s="69" t="n"/>
      <c r="E657" s="84">
        <f>IF($A657="","",B657+C657+D657)</f>
        <v/>
      </c>
      <c r="F657" s="85">
        <f>IF($A657="","",SUMIFS($E$5:$E$800,$A$5:$A$800,"&gt;="&amp;DATE(YEAR($A657),MONTH($A657),1),$A$5:$A$800,"&lt;="&amp;$A657)+IF(AND(YEAR($A657)=YEAR(Settings!$B$3),MONTH($A657)=MONTH(Settings!$B$3)),Settings!$B$14,0))</f>
        <v/>
      </c>
    </row>
    <row r="658">
      <c r="A658" s="67" t="n"/>
      <c r="B658" s="69" t="n"/>
      <c r="C658" s="69" t="n"/>
      <c r="D658" s="69" t="n"/>
      <c r="E658" s="84">
        <f>IF($A658="","",B658+C658+D658)</f>
        <v/>
      </c>
      <c r="F658" s="85">
        <f>IF($A658="","",SUMIFS($E$5:$E$800,$A$5:$A$800,"&gt;="&amp;DATE(YEAR($A658),MONTH($A658),1),$A$5:$A$800,"&lt;="&amp;$A658)+IF(AND(YEAR($A658)=YEAR(Settings!$B$3),MONTH($A658)=MONTH(Settings!$B$3)),Settings!$B$14,0))</f>
        <v/>
      </c>
    </row>
    <row r="659">
      <c r="A659" s="67" t="n"/>
      <c r="B659" s="69" t="n"/>
      <c r="C659" s="69" t="n"/>
      <c r="D659" s="69" t="n"/>
      <c r="E659" s="84">
        <f>IF($A659="","",B659+C659+D659)</f>
        <v/>
      </c>
      <c r="F659" s="85">
        <f>IF($A659="","",SUMIFS($E$5:$E$800,$A$5:$A$800,"&gt;="&amp;DATE(YEAR($A659),MONTH($A659),1),$A$5:$A$800,"&lt;="&amp;$A659)+IF(AND(YEAR($A659)=YEAR(Settings!$B$3),MONTH($A659)=MONTH(Settings!$B$3)),Settings!$B$14,0))</f>
        <v/>
      </c>
    </row>
    <row r="660">
      <c r="A660" s="67" t="n"/>
      <c r="B660" s="69" t="n"/>
      <c r="C660" s="69" t="n"/>
      <c r="D660" s="69" t="n"/>
      <c r="E660" s="84">
        <f>IF($A660="","",B660+C660+D660)</f>
        <v/>
      </c>
      <c r="F660" s="85">
        <f>IF($A660="","",SUMIFS($E$5:$E$800,$A$5:$A$800,"&gt;="&amp;DATE(YEAR($A660),MONTH($A660),1),$A$5:$A$800,"&lt;="&amp;$A660)+IF(AND(YEAR($A660)=YEAR(Settings!$B$3),MONTH($A660)=MONTH(Settings!$B$3)),Settings!$B$14,0))</f>
        <v/>
      </c>
    </row>
    <row r="661">
      <c r="A661" s="67" t="n"/>
      <c r="B661" s="69" t="n"/>
      <c r="C661" s="69" t="n"/>
      <c r="D661" s="69" t="n"/>
      <c r="E661" s="84">
        <f>IF($A661="","",B661+C661+D661)</f>
        <v/>
      </c>
      <c r="F661" s="85">
        <f>IF($A661="","",SUMIFS($E$5:$E$800,$A$5:$A$800,"&gt;="&amp;DATE(YEAR($A661),MONTH($A661),1),$A$5:$A$800,"&lt;="&amp;$A661)+IF(AND(YEAR($A661)=YEAR(Settings!$B$3),MONTH($A661)=MONTH(Settings!$B$3)),Settings!$B$14,0))</f>
        <v/>
      </c>
    </row>
    <row r="662">
      <c r="A662" s="67" t="n"/>
      <c r="B662" s="69" t="n"/>
      <c r="C662" s="69" t="n"/>
      <c r="D662" s="69" t="n"/>
      <c r="E662" s="84">
        <f>IF($A662="","",B662+C662+D662)</f>
        <v/>
      </c>
      <c r="F662" s="85">
        <f>IF($A662="","",SUMIFS($E$5:$E$800,$A$5:$A$800,"&gt;="&amp;DATE(YEAR($A662),MONTH($A662),1),$A$5:$A$800,"&lt;="&amp;$A662)+IF(AND(YEAR($A662)=YEAR(Settings!$B$3),MONTH($A662)=MONTH(Settings!$B$3)),Settings!$B$14,0))</f>
        <v/>
      </c>
    </row>
    <row r="663">
      <c r="A663" s="67" t="n"/>
      <c r="B663" s="69" t="n"/>
      <c r="C663" s="69" t="n"/>
      <c r="D663" s="69" t="n"/>
      <c r="E663" s="84">
        <f>IF($A663="","",B663+C663+D663)</f>
        <v/>
      </c>
      <c r="F663" s="85">
        <f>IF($A663="","",SUMIFS($E$5:$E$800,$A$5:$A$800,"&gt;="&amp;DATE(YEAR($A663),MONTH($A663),1),$A$5:$A$800,"&lt;="&amp;$A663)+IF(AND(YEAR($A663)=YEAR(Settings!$B$3),MONTH($A663)=MONTH(Settings!$B$3)),Settings!$B$14,0))</f>
        <v/>
      </c>
    </row>
    <row r="664">
      <c r="A664" s="67" t="n"/>
      <c r="B664" s="69" t="n"/>
      <c r="C664" s="69" t="n"/>
      <c r="D664" s="69" t="n"/>
      <c r="E664" s="84">
        <f>IF($A664="","",B664+C664+D664)</f>
        <v/>
      </c>
      <c r="F664" s="85">
        <f>IF($A664="","",SUMIFS($E$5:$E$800,$A$5:$A$800,"&gt;="&amp;DATE(YEAR($A664),MONTH($A664),1),$A$5:$A$800,"&lt;="&amp;$A664)+IF(AND(YEAR($A664)=YEAR(Settings!$B$3),MONTH($A664)=MONTH(Settings!$B$3)),Settings!$B$14,0))</f>
        <v/>
      </c>
    </row>
    <row r="665">
      <c r="A665" s="67" t="n"/>
      <c r="B665" s="69" t="n"/>
      <c r="C665" s="69" t="n"/>
      <c r="D665" s="69" t="n"/>
      <c r="E665" s="84">
        <f>IF($A665="","",B665+C665+D665)</f>
        <v/>
      </c>
      <c r="F665" s="85">
        <f>IF($A665="","",SUMIFS($E$5:$E$800,$A$5:$A$800,"&gt;="&amp;DATE(YEAR($A665),MONTH($A665),1),$A$5:$A$800,"&lt;="&amp;$A665)+IF(AND(YEAR($A665)=YEAR(Settings!$B$3),MONTH($A665)=MONTH(Settings!$B$3)),Settings!$B$14,0))</f>
        <v/>
      </c>
    </row>
    <row r="666">
      <c r="A666" s="67" t="n"/>
      <c r="B666" s="69" t="n"/>
      <c r="C666" s="69" t="n"/>
      <c r="D666" s="69" t="n"/>
      <c r="E666" s="84">
        <f>IF($A666="","",B666+C666+D666)</f>
        <v/>
      </c>
      <c r="F666" s="85">
        <f>IF($A666="","",SUMIFS($E$5:$E$800,$A$5:$A$800,"&gt;="&amp;DATE(YEAR($A666),MONTH($A666),1),$A$5:$A$800,"&lt;="&amp;$A666)+IF(AND(YEAR($A666)=YEAR(Settings!$B$3),MONTH($A666)=MONTH(Settings!$B$3)),Settings!$B$14,0))</f>
        <v/>
      </c>
    </row>
    <row r="667">
      <c r="A667" s="67" t="n"/>
      <c r="B667" s="69" t="n"/>
      <c r="C667" s="69" t="n"/>
      <c r="D667" s="69" t="n"/>
      <c r="E667" s="84">
        <f>IF($A667="","",B667+C667+D667)</f>
        <v/>
      </c>
      <c r="F667" s="85">
        <f>IF($A667="","",SUMIFS($E$5:$E$800,$A$5:$A$800,"&gt;="&amp;DATE(YEAR($A667),MONTH($A667),1),$A$5:$A$800,"&lt;="&amp;$A667)+IF(AND(YEAR($A667)=YEAR(Settings!$B$3),MONTH($A667)=MONTH(Settings!$B$3)),Settings!$B$14,0))</f>
        <v/>
      </c>
    </row>
    <row r="668">
      <c r="A668" s="67" t="n"/>
      <c r="B668" s="69" t="n"/>
      <c r="C668" s="69" t="n"/>
      <c r="D668" s="69" t="n"/>
      <c r="E668" s="84">
        <f>IF($A668="","",B668+C668+D668)</f>
        <v/>
      </c>
      <c r="F668" s="85">
        <f>IF($A668="","",SUMIFS($E$5:$E$800,$A$5:$A$800,"&gt;="&amp;DATE(YEAR($A668),MONTH($A668),1),$A$5:$A$800,"&lt;="&amp;$A668)+IF(AND(YEAR($A668)=YEAR(Settings!$B$3),MONTH($A668)=MONTH(Settings!$B$3)),Settings!$B$14,0))</f>
        <v/>
      </c>
    </row>
    <row r="669">
      <c r="A669" s="67" t="n"/>
      <c r="B669" s="69" t="n"/>
      <c r="C669" s="69" t="n"/>
      <c r="D669" s="69" t="n"/>
      <c r="E669" s="84">
        <f>IF($A669="","",B669+C669+D669)</f>
        <v/>
      </c>
      <c r="F669" s="85">
        <f>IF($A669="","",SUMIFS($E$5:$E$800,$A$5:$A$800,"&gt;="&amp;DATE(YEAR($A669),MONTH($A669),1),$A$5:$A$800,"&lt;="&amp;$A669)+IF(AND(YEAR($A669)=YEAR(Settings!$B$3),MONTH($A669)=MONTH(Settings!$B$3)),Settings!$B$14,0))</f>
        <v/>
      </c>
    </row>
    <row r="670">
      <c r="A670" s="67" t="n"/>
      <c r="B670" s="69" t="n"/>
      <c r="C670" s="69" t="n"/>
      <c r="D670" s="69" t="n"/>
      <c r="E670" s="84">
        <f>IF($A670="","",B670+C670+D670)</f>
        <v/>
      </c>
      <c r="F670" s="85">
        <f>IF($A670="","",SUMIFS($E$5:$E$800,$A$5:$A$800,"&gt;="&amp;DATE(YEAR($A670),MONTH($A670),1),$A$5:$A$800,"&lt;="&amp;$A670)+IF(AND(YEAR($A670)=YEAR(Settings!$B$3),MONTH($A670)=MONTH(Settings!$B$3)),Settings!$B$14,0))</f>
        <v/>
      </c>
    </row>
    <row r="671">
      <c r="A671" s="67" t="n"/>
      <c r="B671" s="69" t="n"/>
      <c r="C671" s="69" t="n"/>
      <c r="D671" s="69" t="n"/>
      <c r="E671" s="84">
        <f>IF($A671="","",B671+C671+D671)</f>
        <v/>
      </c>
      <c r="F671" s="85">
        <f>IF($A671="","",SUMIFS($E$5:$E$800,$A$5:$A$800,"&gt;="&amp;DATE(YEAR($A671),MONTH($A671),1),$A$5:$A$800,"&lt;="&amp;$A671)+IF(AND(YEAR($A671)=YEAR(Settings!$B$3),MONTH($A671)=MONTH(Settings!$B$3)),Settings!$B$14,0))</f>
        <v/>
      </c>
    </row>
    <row r="672">
      <c r="A672" s="67" t="n"/>
      <c r="B672" s="69" t="n"/>
      <c r="C672" s="69" t="n"/>
      <c r="D672" s="69" t="n"/>
      <c r="E672" s="84">
        <f>IF($A672="","",B672+C672+D672)</f>
        <v/>
      </c>
      <c r="F672" s="85">
        <f>IF($A672="","",SUMIFS($E$5:$E$800,$A$5:$A$800,"&gt;="&amp;DATE(YEAR($A672),MONTH($A672),1),$A$5:$A$800,"&lt;="&amp;$A672)+IF(AND(YEAR($A672)=YEAR(Settings!$B$3),MONTH($A672)=MONTH(Settings!$B$3)),Settings!$B$14,0))</f>
        <v/>
      </c>
    </row>
    <row r="673">
      <c r="A673" s="67" t="n"/>
      <c r="B673" s="69" t="n"/>
      <c r="C673" s="69" t="n"/>
      <c r="D673" s="69" t="n"/>
      <c r="E673" s="84">
        <f>IF($A673="","",B673+C673+D673)</f>
        <v/>
      </c>
      <c r="F673" s="85">
        <f>IF($A673="","",SUMIFS($E$5:$E$800,$A$5:$A$800,"&gt;="&amp;DATE(YEAR($A673),MONTH($A673),1),$A$5:$A$800,"&lt;="&amp;$A673)+IF(AND(YEAR($A673)=YEAR(Settings!$B$3),MONTH($A673)=MONTH(Settings!$B$3)),Settings!$B$14,0))</f>
        <v/>
      </c>
    </row>
    <row r="674">
      <c r="A674" s="67" t="n"/>
      <c r="B674" s="69" t="n"/>
      <c r="C674" s="69" t="n"/>
      <c r="D674" s="69" t="n"/>
      <c r="E674" s="84">
        <f>IF($A674="","",B674+C674+D674)</f>
        <v/>
      </c>
      <c r="F674" s="85">
        <f>IF($A674="","",SUMIFS($E$5:$E$800,$A$5:$A$800,"&gt;="&amp;DATE(YEAR($A674),MONTH($A674),1),$A$5:$A$800,"&lt;="&amp;$A674)+IF(AND(YEAR($A674)=YEAR(Settings!$B$3),MONTH($A674)=MONTH(Settings!$B$3)),Settings!$B$14,0))</f>
        <v/>
      </c>
    </row>
    <row r="675">
      <c r="A675" s="67" t="n"/>
      <c r="B675" s="69" t="n"/>
      <c r="C675" s="69" t="n"/>
      <c r="D675" s="69" t="n"/>
      <c r="E675" s="84">
        <f>IF($A675="","",B675+C675+D675)</f>
        <v/>
      </c>
      <c r="F675" s="85">
        <f>IF($A675="","",SUMIFS($E$5:$E$800,$A$5:$A$800,"&gt;="&amp;DATE(YEAR($A675),MONTH($A675),1),$A$5:$A$800,"&lt;="&amp;$A675)+IF(AND(YEAR($A675)=YEAR(Settings!$B$3),MONTH($A675)=MONTH(Settings!$B$3)),Settings!$B$14,0))</f>
        <v/>
      </c>
    </row>
    <row r="676">
      <c r="A676" s="67" t="n"/>
      <c r="B676" s="69" t="n"/>
      <c r="C676" s="69" t="n"/>
      <c r="D676" s="69" t="n"/>
      <c r="E676" s="84">
        <f>IF($A676="","",B676+C676+D676)</f>
        <v/>
      </c>
      <c r="F676" s="85">
        <f>IF($A676="","",SUMIFS($E$5:$E$800,$A$5:$A$800,"&gt;="&amp;DATE(YEAR($A676),MONTH($A676),1),$A$5:$A$800,"&lt;="&amp;$A676)+IF(AND(YEAR($A676)=YEAR(Settings!$B$3),MONTH($A676)=MONTH(Settings!$B$3)),Settings!$B$14,0))</f>
        <v/>
      </c>
    </row>
    <row r="677">
      <c r="A677" s="67" t="n"/>
      <c r="B677" s="69" t="n"/>
      <c r="C677" s="69" t="n"/>
      <c r="D677" s="69" t="n"/>
      <c r="E677" s="84">
        <f>IF($A677="","",B677+C677+D677)</f>
        <v/>
      </c>
      <c r="F677" s="85">
        <f>IF($A677="","",SUMIFS($E$5:$E$800,$A$5:$A$800,"&gt;="&amp;DATE(YEAR($A677),MONTH($A677),1),$A$5:$A$800,"&lt;="&amp;$A677)+IF(AND(YEAR($A677)=YEAR(Settings!$B$3),MONTH($A677)=MONTH(Settings!$B$3)),Settings!$B$14,0))</f>
        <v/>
      </c>
    </row>
    <row r="678">
      <c r="A678" s="67" t="n"/>
      <c r="B678" s="69" t="n"/>
      <c r="C678" s="69" t="n"/>
      <c r="D678" s="69" t="n"/>
      <c r="E678" s="84">
        <f>IF($A678="","",B678+C678+D678)</f>
        <v/>
      </c>
      <c r="F678" s="85">
        <f>IF($A678="","",SUMIFS($E$5:$E$800,$A$5:$A$800,"&gt;="&amp;DATE(YEAR($A678),MONTH($A678),1),$A$5:$A$800,"&lt;="&amp;$A678)+IF(AND(YEAR($A678)=YEAR(Settings!$B$3),MONTH($A678)=MONTH(Settings!$B$3)),Settings!$B$14,0))</f>
        <v/>
      </c>
    </row>
    <row r="679">
      <c r="A679" s="67" t="n"/>
      <c r="B679" s="69" t="n"/>
      <c r="C679" s="69" t="n"/>
      <c r="D679" s="69" t="n"/>
      <c r="E679" s="84">
        <f>IF($A679="","",B679+C679+D679)</f>
        <v/>
      </c>
      <c r="F679" s="85">
        <f>IF($A679="","",SUMIFS($E$5:$E$800,$A$5:$A$800,"&gt;="&amp;DATE(YEAR($A679),MONTH($A679),1),$A$5:$A$800,"&lt;="&amp;$A679)+IF(AND(YEAR($A679)=YEAR(Settings!$B$3),MONTH($A679)=MONTH(Settings!$B$3)),Settings!$B$14,0))</f>
        <v/>
      </c>
    </row>
    <row r="680">
      <c r="A680" s="67" t="n"/>
      <c r="B680" s="69" t="n"/>
      <c r="C680" s="69" t="n"/>
      <c r="D680" s="69" t="n"/>
      <c r="E680" s="84">
        <f>IF($A680="","",B680+C680+D680)</f>
        <v/>
      </c>
      <c r="F680" s="85">
        <f>IF($A680="","",SUMIFS($E$5:$E$800,$A$5:$A$800,"&gt;="&amp;DATE(YEAR($A680),MONTH($A680),1),$A$5:$A$800,"&lt;="&amp;$A680)+IF(AND(YEAR($A680)=YEAR(Settings!$B$3),MONTH($A680)=MONTH(Settings!$B$3)),Settings!$B$14,0))</f>
        <v/>
      </c>
    </row>
    <row r="681">
      <c r="A681" s="67" t="n"/>
      <c r="B681" s="69" t="n"/>
      <c r="C681" s="69" t="n"/>
      <c r="D681" s="69" t="n"/>
      <c r="E681" s="84">
        <f>IF($A681="","",B681+C681+D681)</f>
        <v/>
      </c>
      <c r="F681" s="85">
        <f>IF($A681="","",SUMIFS($E$5:$E$800,$A$5:$A$800,"&gt;="&amp;DATE(YEAR($A681),MONTH($A681),1),$A$5:$A$800,"&lt;="&amp;$A681)+IF(AND(YEAR($A681)=YEAR(Settings!$B$3),MONTH($A681)=MONTH(Settings!$B$3)),Settings!$B$14,0))</f>
        <v/>
      </c>
    </row>
    <row r="682">
      <c r="A682" s="67" t="n"/>
      <c r="B682" s="69" t="n"/>
      <c r="C682" s="69" t="n"/>
      <c r="D682" s="69" t="n"/>
      <c r="E682" s="84">
        <f>IF($A682="","",B682+C682+D682)</f>
        <v/>
      </c>
      <c r="F682" s="85">
        <f>IF($A682="","",SUMIFS($E$5:$E$800,$A$5:$A$800,"&gt;="&amp;DATE(YEAR($A682),MONTH($A682),1),$A$5:$A$800,"&lt;="&amp;$A682)+IF(AND(YEAR($A682)=YEAR(Settings!$B$3),MONTH($A682)=MONTH(Settings!$B$3)),Settings!$B$14,0))</f>
        <v/>
      </c>
    </row>
    <row r="683">
      <c r="A683" s="67" t="n"/>
      <c r="B683" s="69" t="n"/>
      <c r="C683" s="69" t="n"/>
      <c r="D683" s="69" t="n"/>
      <c r="E683" s="84">
        <f>IF($A683="","",B683+C683+D683)</f>
        <v/>
      </c>
      <c r="F683" s="85">
        <f>IF($A683="","",SUMIFS($E$5:$E$800,$A$5:$A$800,"&gt;="&amp;DATE(YEAR($A683),MONTH($A683),1),$A$5:$A$800,"&lt;="&amp;$A683)+IF(AND(YEAR($A683)=YEAR(Settings!$B$3),MONTH($A683)=MONTH(Settings!$B$3)),Settings!$B$14,0))</f>
        <v/>
      </c>
    </row>
    <row r="684">
      <c r="A684" s="67" t="n"/>
      <c r="B684" s="69" t="n"/>
      <c r="C684" s="69" t="n"/>
      <c r="D684" s="69" t="n"/>
      <c r="E684" s="84">
        <f>IF($A684="","",B684+C684+D684)</f>
        <v/>
      </c>
      <c r="F684" s="85">
        <f>IF($A684="","",SUMIFS($E$5:$E$800,$A$5:$A$800,"&gt;="&amp;DATE(YEAR($A684),MONTH($A684),1),$A$5:$A$800,"&lt;="&amp;$A684)+IF(AND(YEAR($A684)=YEAR(Settings!$B$3),MONTH($A684)=MONTH(Settings!$B$3)),Settings!$B$14,0))</f>
        <v/>
      </c>
    </row>
    <row r="685">
      <c r="A685" s="67" t="n"/>
      <c r="B685" s="69" t="n"/>
      <c r="C685" s="69" t="n"/>
      <c r="D685" s="69" t="n"/>
      <c r="E685" s="84">
        <f>IF($A685="","",B685+C685+D685)</f>
        <v/>
      </c>
      <c r="F685" s="85">
        <f>IF($A685="","",SUMIFS($E$5:$E$800,$A$5:$A$800,"&gt;="&amp;DATE(YEAR($A685),MONTH($A685),1),$A$5:$A$800,"&lt;="&amp;$A685)+IF(AND(YEAR($A685)=YEAR(Settings!$B$3),MONTH($A685)=MONTH(Settings!$B$3)),Settings!$B$14,0))</f>
        <v/>
      </c>
    </row>
    <row r="686">
      <c r="A686" s="67" t="n"/>
      <c r="B686" s="69" t="n"/>
      <c r="C686" s="69" t="n"/>
      <c r="D686" s="69" t="n"/>
      <c r="E686" s="84">
        <f>IF($A686="","",B686+C686+D686)</f>
        <v/>
      </c>
      <c r="F686" s="85">
        <f>IF($A686="","",SUMIFS($E$5:$E$800,$A$5:$A$800,"&gt;="&amp;DATE(YEAR($A686),MONTH($A686),1),$A$5:$A$800,"&lt;="&amp;$A686)+IF(AND(YEAR($A686)=YEAR(Settings!$B$3),MONTH($A686)=MONTH(Settings!$B$3)),Settings!$B$14,0))</f>
        <v/>
      </c>
    </row>
    <row r="687">
      <c r="A687" s="67" t="n"/>
      <c r="B687" s="69" t="n"/>
      <c r="C687" s="69" t="n"/>
      <c r="D687" s="69" t="n"/>
      <c r="E687" s="84">
        <f>IF($A687="","",B687+C687+D687)</f>
        <v/>
      </c>
      <c r="F687" s="85">
        <f>IF($A687="","",SUMIFS($E$5:$E$800,$A$5:$A$800,"&gt;="&amp;DATE(YEAR($A687),MONTH($A687),1),$A$5:$A$800,"&lt;="&amp;$A687)+IF(AND(YEAR($A687)=YEAR(Settings!$B$3),MONTH($A687)=MONTH(Settings!$B$3)),Settings!$B$14,0))</f>
        <v/>
      </c>
    </row>
    <row r="688">
      <c r="A688" s="67" t="n"/>
      <c r="B688" s="69" t="n"/>
      <c r="C688" s="69" t="n"/>
      <c r="D688" s="69" t="n"/>
      <c r="E688" s="84">
        <f>IF($A688="","",B688+C688+D688)</f>
        <v/>
      </c>
      <c r="F688" s="85">
        <f>IF($A688="","",SUMIFS($E$5:$E$800,$A$5:$A$800,"&gt;="&amp;DATE(YEAR($A688),MONTH($A688),1),$A$5:$A$800,"&lt;="&amp;$A688)+IF(AND(YEAR($A688)=YEAR(Settings!$B$3),MONTH($A688)=MONTH(Settings!$B$3)),Settings!$B$14,0))</f>
        <v/>
      </c>
    </row>
    <row r="689">
      <c r="A689" s="67" t="n"/>
      <c r="B689" s="69" t="n"/>
      <c r="C689" s="69" t="n"/>
      <c r="D689" s="69" t="n"/>
      <c r="E689" s="84">
        <f>IF($A689="","",B689+C689+D689)</f>
        <v/>
      </c>
      <c r="F689" s="85">
        <f>IF($A689="","",SUMIFS($E$5:$E$800,$A$5:$A$800,"&gt;="&amp;DATE(YEAR($A689),MONTH($A689),1),$A$5:$A$800,"&lt;="&amp;$A689)+IF(AND(YEAR($A689)=YEAR(Settings!$B$3),MONTH($A689)=MONTH(Settings!$B$3)),Settings!$B$14,0))</f>
        <v/>
      </c>
    </row>
    <row r="690">
      <c r="A690" s="67" t="n"/>
      <c r="B690" s="69" t="n"/>
      <c r="C690" s="69" t="n"/>
      <c r="D690" s="69" t="n"/>
      <c r="E690" s="84">
        <f>IF($A690="","",B690+C690+D690)</f>
        <v/>
      </c>
      <c r="F690" s="85">
        <f>IF($A690="","",SUMIFS($E$5:$E$800,$A$5:$A$800,"&gt;="&amp;DATE(YEAR($A690),MONTH($A690),1),$A$5:$A$800,"&lt;="&amp;$A690)+IF(AND(YEAR($A690)=YEAR(Settings!$B$3),MONTH($A690)=MONTH(Settings!$B$3)),Settings!$B$14,0))</f>
        <v/>
      </c>
    </row>
    <row r="691">
      <c r="A691" s="67" t="n"/>
      <c r="B691" s="69" t="n"/>
      <c r="C691" s="69" t="n"/>
      <c r="D691" s="69" t="n"/>
      <c r="E691" s="84">
        <f>IF($A691="","",B691+C691+D691)</f>
        <v/>
      </c>
      <c r="F691" s="85">
        <f>IF($A691="","",SUMIFS($E$5:$E$800,$A$5:$A$800,"&gt;="&amp;DATE(YEAR($A691),MONTH($A691),1),$A$5:$A$800,"&lt;="&amp;$A691)+IF(AND(YEAR($A691)=YEAR(Settings!$B$3),MONTH($A691)=MONTH(Settings!$B$3)),Settings!$B$14,0))</f>
        <v/>
      </c>
    </row>
    <row r="692">
      <c r="A692" s="67" t="n"/>
      <c r="B692" s="69" t="n"/>
      <c r="C692" s="69" t="n"/>
      <c r="D692" s="69" t="n"/>
      <c r="E692" s="84">
        <f>IF($A692="","",B692+C692+D692)</f>
        <v/>
      </c>
      <c r="F692" s="85">
        <f>IF($A692="","",SUMIFS($E$5:$E$800,$A$5:$A$800,"&gt;="&amp;DATE(YEAR($A692),MONTH($A692),1),$A$5:$A$800,"&lt;="&amp;$A692)+IF(AND(YEAR($A692)=YEAR(Settings!$B$3),MONTH($A692)=MONTH(Settings!$B$3)),Settings!$B$14,0))</f>
        <v/>
      </c>
    </row>
    <row r="693">
      <c r="A693" s="67" t="n"/>
      <c r="B693" s="69" t="n"/>
      <c r="C693" s="69" t="n"/>
      <c r="D693" s="69" t="n"/>
      <c r="E693" s="84">
        <f>IF($A693="","",B693+C693+D693)</f>
        <v/>
      </c>
      <c r="F693" s="85">
        <f>IF($A693="","",SUMIFS($E$5:$E$800,$A$5:$A$800,"&gt;="&amp;DATE(YEAR($A693),MONTH($A693),1),$A$5:$A$800,"&lt;="&amp;$A693)+IF(AND(YEAR($A693)=YEAR(Settings!$B$3),MONTH($A693)=MONTH(Settings!$B$3)),Settings!$B$14,0))</f>
        <v/>
      </c>
    </row>
    <row r="694">
      <c r="A694" s="67" t="n"/>
      <c r="B694" s="69" t="n"/>
      <c r="C694" s="69" t="n"/>
      <c r="D694" s="69" t="n"/>
      <c r="E694" s="84">
        <f>IF($A694="","",B694+C694+D694)</f>
        <v/>
      </c>
      <c r="F694" s="85">
        <f>IF($A694="","",SUMIFS($E$5:$E$800,$A$5:$A$800,"&gt;="&amp;DATE(YEAR($A694),MONTH($A694),1),$A$5:$A$800,"&lt;="&amp;$A694)+IF(AND(YEAR($A694)=YEAR(Settings!$B$3),MONTH($A694)=MONTH(Settings!$B$3)),Settings!$B$14,0))</f>
        <v/>
      </c>
    </row>
    <row r="695">
      <c r="A695" s="67" t="n"/>
      <c r="B695" s="69" t="n"/>
      <c r="C695" s="69" t="n"/>
      <c r="D695" s="69" t="n"/>
      <c r="E695" s="84">
        <f>IF($A695="","",B695+C695+D695)</f>
        <v/>
      </c>
      <c r="F695" s="85">
        <f>IF($A695="","",SUMIFS($E$5:$E$800,$A$5:$A$800,"&gt;="&amp;DATE(YEAR($A695),MONTH($A695),1),$A$5:$A$800,"&lt;="&amp;$A695)+IF(AND(YEAR($A695)=YEAR(Settings!$B$3),MONTH($A695)=MONTH(Settings!$B$3)),Settings!$B$14,0))</f>
        <v/>
      </c>
    </row>
    <row r="696">
      <c r="A696" s="67" t="n"/>
      <c r="B696" s="69" t="n"/>
      <c r="C696" s="69" t="n"/>
      <c r="D696" s="69" t="n"/>
      <c r="E696" s="84">
        <f>IF($A696="","",B696+C696+D696)</f>
        <v/>
      </c>
      <c r="F696" s="85">
        <f>IF($A696="","",SUMIFS($E$5:$E$800,$A$5:$A$800,"&gt;="&amp;DATE(YEAR($A696),MONTH($A696),1),$A$5:$A$800,"&lt;="&amp;$A696)+IF(AND(YEAR($A696)=YEAR(Settings!$B$3),MONTH($A696)=MONTH(Settings!$B$3)),Settings!$B$14,0))</f>
        <v/>
      </c>
    </row>
    <row r="697">
      <c r="A697" s="67" t="n"/>
      <c r="B697" s="69" t="n"/>
      <c r="C697" s="69" t="n"/>
      <c r="D697" s="69" t="n"/>
      <c r="E697" s="84">
        <f>IF($A697="","",B697+C697+D697)</f>
        <v/>
      </c>
      <c r="F697" s="85">
        <f>IF($A697="","",SUMIFS($E$5:$E$800,$A$5:$A$800,"&gt;="&amp;DATE(YEAR($A697),MONTH($A697),1),$A$5:$A$800,"&lt;="&amp;$A697)+IF(AND(YEAR($A697)=YEAR(Settings!$B$3),MONTH($A697)=MONTH(Settings!$B$3)),Settings!$B$14,0))</f>
        <v/>
      </c>
    </row>
    <row r="698">
      <c r="A698" s="67" t="n"/>
      <c r="B698" s="69" t="n"/>
      <c r="C698" s="69" t="n"/>
      <c r="D698" s="69" t="n"/>
      <c r="E698" s="84">
        <f>IF($A698="","",B698+C698+D698)</f>
        <v/>
      </c>
      <c r="F698" s="85">
        <f>IF($A698="","",SUMIFS($E$5:$E$800,$A$5:$A$800,"&gt;="&amp;DATE(YEAR($A698),MONTH($A698),1),$A$5:$A$800,"&lt;="&amp;$A698)+IF(AND(YEAR($A698)=YEAR(Settings!$B$3),MONTH($A698)=MONTH(Settings!$B$3)),Settings!$B$14,0))</f>
        <v/>
      </c>
    </row>
    <row r="699">
      <c r="A699" s="67" t="n"/>
      <c r="B699" s="69" t="n"/>
      <c r="C699" s="69" t="n"/>
      <c r="D699" s="69" t="n"/>
      <c r="E699" s="84">
        <f>IF($A699="","",B699+C699+D699)</f>
        <v/>
      </c>
      <c r="F699" s="85">
        <f>IF($A699="","",SUMIFS($E$5:$E$800,$A$5:$A$800,"&gt;="&amp;DATE(YEAR($A699),MONTH($A699),1),$A$5:$A$800,"&lt;="&amp;$A699)+IF(AND(YEAR($A699)=YEAR(Settings!$B$3),MONTH($A699)=MONTH(Settings!$B$3)),Settings!$B$14,0))</f>
        <v/>
      </c>
    </row>
    <row r="700">
      <c r="A700" s="67" t="n"/>
      <c r="B700" s="69" t="n"/>
      <c r="C700" s="69" t="n"/>
      <c r="D700" s="69" t="n"/>
      <c r="E700" s="84">
        <f>IF($A700="","",B700+C700+D700)</f>
        <v/>
      </c>
      <c r="F700" s="85">
        <f>IF($A700="","",SUMIFS($E$5:$E$800,$A$5:$A$800,"&gt;="&amp;DATE(YEAR($A700),MONTH($A700),1),$A$5:$A$800,"&lt;="&amp;$A700)+IF(AND(YEAR($A700)=YEAR(Settings!$B$3),MONTH($A700)=MONTH(Settings!$B$3)),Settings!$B$14,0))</f>
        <v/>
      </c>
    </row>
    <row r="701">
      <c r="A701" s="67" t="n"/>
      <c r="B701" s="69" t="n"/>
      <c r="C701" s="69" t="n"/>
      <c r="D701" s="69" t="n"/>
      <c r="E701" s="84">
        <f>IF($A701="","",B701+C701+D701)</f>
        <v/>
      </c>
      <c r="F701" s="85">
        <f>IF($A701="","",SUMIFS($E$5:$E$800,$A$5:$A$800,"&gt;="&amp;DATE(YEAR($A701),MONTH($A701),1),$A$5:$A$800,"&lt;="&amp;$A701)+IF(AND(YEAR($A701)=YEAR(Settings!$B$3),MONTH($A701)=MONTH(Settings!$B$3)),Settings!$B$14,0))</f>
        <v/>
      </c>
    </row>
    <row r="702">
      <c r="A702" s="67" t="n"/>
      <c r="B702" s="69" t="n"/>
      <c r="C702" s="69" t="n"/>
      <c r="D702" s="69" t="n"/>
      <c r="E702" s="84">
        <f>IF($A702="","",B702+C702+D702)</f>
        <v/>
      </c>
      <c r="F702" s="85">
        <f>IF($A702="","",SUMIFS($E$5:$E$800,$A$5:$A$800,"&gt;="&amp;DATE(YEAR($A702),MONTH($A702),1),$A$5:$A$800,"&lt;="&amp;$A702)+IF(AND(YEAR($A702)=YEAR(Settings!$B$3),MONTH($A702)=MONTH(Settings!$B$3)),Settings!$B$14,0))</f>
        <v/>
      </c>
    </row>
    <row r="703">
      <c r="A703" s="67" t="n"/>
      <c r="B703" s="69" t="n"/>
      <c r="C703" s="69" t="n"/>
      <c r="D703" s="69" t="n"/>
      <c r="E703" s="84">
        <f>IF($A703="","",B703+C703+D703)</f>
        <v/>
      </c>
      <c r="F703" s="85">
        <f>IF($A703="","",SUMIFS($E$5:$E$800,$A$5:$A$800,"&gt;="&amp;DATE(YEAR($A703),MONTH($A703),1),$A$5:$A$800,"&lt;="&amp;$A703)+IF(AND(YEAR($A703)=YEAR(Settings!$B$3),MONTH($A703)=MONTH(Settings!$B$3)),Settings!$B$14,0))</f>
        <v/>
      </c>
    </row>
    <row r="704">
      <c r="A704" s="67" t="n"/>
      <c r="B704" s="69" t="n"/>
      <c r="C704" s="69" t="n"/>
      <c r="D704" s="69" t="n"/>
      <c r="E704" s="84">
        <f>IF($A704="","",B704+C704+D704)</f>
        <v/>
      </c>
      <c r="F704" s="85">
        <f>IF($A704="","",SUMIFS($E$5:$E$800,$A$5:$A$800,"&gt;="&amp;DATE(YEAR($A704),MONTH($A704),1),$A$5:$A$800,"&lt;="&amp;$A704)+IF(AND(YEAR($A704)=YEAR(Settings!$B$3),MONTH($A704)=MONTH(Settings!$B$3)),Settings!$B$14,0))</f>
        <v/>
      </c>
    </row>
    <row r="705">
      <c r="A705" s="67" t="n"/>
      <c r="B705" s="69" t="n"/>
      <c r="C705" s="69" t="n"/>
      <c r="D705" s="69" t="n"/>
      <c r="E705" s="84">
        <f>IF($A705="","",B705+C705+D705)</f>
        <v/>
      </c>
      <c r="F705" s="85">
        <f>IF($A705="","",SUMIFS($E$5:$E$800,$A$5:$A$800,"&gt;="&amp;DATE(YEAR($A705),MONTH($A705),1),$A$5:$A$800,"&lt;="&amp;$A705)+IF(AND(YEAR($A705)=YEAR(Settings!$B$3),MONTH($A705)=MONTH(Settings!$B$3)),Settings!$B$14,0))</f>
        <v/>
      </c>
    </row>
    <row r="706">
      <c r="A706" s="67" t="n"/>
      <c r="B706" s="69" t="n"/>
      <c r="C706" s="69" t="n"/>
      <c r="D706" s="69" t="n"/>
      <c r="E706" s="84">
        <f>IF($A706="","",B706+C706+D706)</f>
        <v/>
      </c>
      <c r="F706" s="85">
        <f>IF($A706="","",SUMIFS($E$5:$E$800,$A$5:$A$800,"&gt;="&amp;DATE(YEAR($A706),MONTH($A706),1),$A$5:$A$800,"&lt;="&amp;$A706)+IF(AND(YEAR($A706)=YEAR(Settings!$B$3),MONTH($A706)=MONTH(Settings!$B$3)),Settings!$B$14,0))</f>
        <v/>
      </c>
    </row>
    <row r="707">
      <c r="A707" s="67" t="n"/>
      <c r="B707" s="69" t="n"/>
      <c r="C707" s="69" t="n"/>
      <c r="D707" s="69" t="n"/>
      <c r="E707" s="84">
        <f>IF($A707="","",B707+C707+D707)</f>
        <v/>
      </c>
      <c r="F707" s="85">
        <f>IF($A707="","",SUMIFS($E$5:$E$800,$A$5:$A$800,"&gt;="&amp;DATE(YEAR($A707),MONTH($A707),1),$A$5:$A$800,"&lt;="&amp;$A707)+IF(AND(YEAR($A707)=YEAR(Settings!$B$3),MONTH($A707)=MONTH(Settings!$B$3)),Settings!$B$14,0))</f>
        <v/>
      </c>
    </row>
    <row r="708">
      <c r="A708" s="67" t="n"/>
      <c r="B708" s="69" t="n"/>
      <c r="C708" s="69" t="n"/>
      <c r="D708" s="69" t="n"/>
      <c r="E708" s="84">
        <f>IF($A708="","",B708+C708+D708)</f>
        <v/>
      </c>
      <c r="F708" s="85">
        <f>IF($A708="","",SUMIFS($E$5:$E$800,$A$5:$A$800,"&gt;="&amp;DATE(YEAR($A708),MONTH($A708),1),$A$5:$A$800,"&lt;="&amp;$A708)+IF(AND(YEAR($A708)=YEAR(Settings!$B$3),MONTH($A708)=MONTH(Settings!$B$3)),Settings!$B$14,0))</f>
        <v/>
      </c>
    </row>
    <row r="709">
      <c r="A709" s="67" t="n"/>
      <c r="B709" s="69" t="n"/>
      <c r="C709" s="69" t="n"/>
      <c r="D709" s="69" t="n"/>
      <c r="E709" s="84">
        <f>IF($A709="","",B709+C709+D709)</f>
        <v/>
      </c>
      <c r="F709" s="85">
        <f>IF($A709="","",SUMIFS($E$5:$E$800,$A$5:$A$800,"&gt;="&amp;DATE(YEAR($A709),MONTH($A709),1),$A$5:$A$800,"&lt;="&amp;$A709)+IF(AND(YEAR($A709)=YEAR(Settings!$B$3),MONTH($A709)=MONTH(Settings!$B$3)),Settings!$B$14,0))</f>
        <v/>
      </c>
    </row>
    <row r="710">
      <c r="A710" s="67" t="n"/>
      <c r="B710" s="69" t="n"/>
      <c r="C710" s="69" t="n"/>
      <c r="D710" s="69" t="n"/>
      <c r="E710" s="84">
        <f>IF($A710="","",B710+C710+D710)</f>
        <v/>
      </c>
      <c r="F710" s="85">
        <f>IF($A710="","",SUMIFS($E$5:$E$800,$A$5:$A$800,"&gt;="&amp;DATE(YEAR($A710),MONTH($A710),1),$A$5:$A$800,"&lt;="&amp;$A710)+IF(AND(YEAR($A710)=YEAR(Settings!$B$3),MONTH($A710)=MONTH(Settings!$B$3)),Settings!$B$14,0))</f>
        <v/>
      </c>
    </row>
    <row r="711">
      <c r="A711" s="67" t="n"/>
      <c r="B711" s="69" t="n"/>
      <c r="C711" s="69" t="n"/>
      <c r="D711" s="69" t="n"/>
      <c r="E711" s="84">
        <f>IF($A711="","",B711+C711+D711)</f>
        <v/>
      </c>
      <c r="F711" s="85">
        <f>IF($A711="","",SUMIFS($E$5:$E$800,$A$5:$A$800,"&gt;="&amp;DATE(YEAR($A711),MONTH($A711),1),$A$5:$A$800,"&lt;="&amp;$A711)+IF(AND(YEAR($A711)=YEAR(Settings!$B$3),MONTH($A711)=MONTH(Settings!$B$3)),Settings!$B$14,0))</f>
        <v/>
      </c>
    </row>
    <row r="712">
      <c r="A712" s="67" t="n"/>
      <c r="B712" s="69" t="n"/>
      <c r="C712" s="69" t="n"/>
      <c r="D712" s="69" t="n"/>
      <c r="E712" s="84">
        <f>IF($A712="","",B712+C712+D712)</f>
        <v/>
      </c>
      <c r="F712" s="85">
        <f>IF($A712="","",SUMIFS($E$5:$E$800,$A$5:$A$800,"&gt;="&amp;DATE(YEAR($A712),MONTH($A712),1),$A$5:$A$800,"&lt;="&amp;$A712)+IF(AND(YEAR($A712)=YEAR(Settings!$B$3),MONTH($A712)=MONTH(Settings!$B$3)),Settings!$B$14,0))</f>
        <v/>
      </c>
    </row>
    <row r="713">
      <c r="A713" s="67" t="n"/>
      <c r="B713" s="69" t="n"/>
      <c r="C713" s="69" t="n"/>
      <c r="D713" s="69" t="n"/>
      <c r="E713" s="84">
        <f>IF($A713="","",B713+C713+D713)</f>
        <v/>
      </c>
      <c r="F713" s="85">
        <f>IF($A713="","",SUMIFS($E$5:$E$800,$A$5:$A$800,"&gt;="&amp;DATE(YEAR($A713),MONTH($A713),1),$A$5:$A$800,"&lt;="&amp;$A713)+IF(AND(YEAR($A713)=YEAR(Settings!$B$3),MONTH($A713)=MONTH(Settings!$B$3)),Settings!$B$14,0))</f>
        <v/>
      </c>
    </row>
    <row r="714">
      <c r="A714" s="67" t="n"/>
      <c r="B714" s="69" t="n"/>
      <c r="C714" s="69" t="n"/>
      <c r="D714" s="69" t="n"/>
      <c r="E714" s="84">
        <f>IF($A714="","",B714+C714+D714)</f>
        <v/>
      </c>
      <c r="F714" s="85">
        <f>IF($A714="","",SUMIFS($E$5:$E$800,$A$5:$A$800,"&gt;="&amp;DATE(YEAR($A714),MONTH($A714),1),$A$5:$A$800,"&lt;="&amp;$A714)+IF(AND(YEAR($A714)=YEAR(Settings!$B$3),MONTH($A714)=MONTH(Settings!$B$3)),Settings!$B$14,0))</f>
        <v/>
      </c>
    </row>
    <row r="715">
      <c r="A715" s="67" t="n"/>
      <c r="B715" s="69" t="n"/>
      <c r="C715" s="69" t="n"/>
      <c r="D715" s="69" t="n"/>
      <c r="E715" s="84">
        <f>IF($A715="","",B715+C715+D715)</f>
        <v/>
      </c>
      <c r="F715" s="85">
        <f>IF($A715="","",SUMIFS($E$5:$E$800,$A$5:$A$800,"&gt;="&amp;DATE(YEAR($A715),MONTH($A715),1),$A$5:$A$800,"&lt;="&amp;$A715)+IF(AND(YEAR($A715)=YEAR(Settings!$B$3),MONTH($A715)=MONTH(Settings!$B$3)),Settings!$B$14,0))</f>
        <v/>
      </c>
    </row>
    <row r="716">
      <c r="A716" s="67" t="n"/>
      <c r="B716" s="69" t="n"/>
      <c r="C716" s="69" t="n"/>
      <c r="D716" s="69" t="n"/>
      <c r="E716" s="84">
        <f>IF($A716="","",B716+C716+D716)</f>
        <v/>
      </c>
      <c r="F716" s="85">
        <f>IF($A716="","",SUMIFS($E$5:$E$800,$A$5:$A$800,"&gt;="&amp;DATE(YEAR($A716),MONTH($A716),1),$A$5:$A$800,"&lt;="&amp;$A716)+IF(AND(YEAR($A716)=YEAR(Settings!$B$3),MONTH($A716)=MONTH(Settings!$B$3)),Settings!$B$14,0))</f>
        <v/>
      </c>
    </row>
    <row r="717">
      <c r="A717" s="67" t="n"/>
      <c r="B717" s="69" t="n"/>
      <c r="C717" s="69" t="n"/>
      <c r="D717" s="69" t="n"/>
      <c r="E717" s="84">
        <f>IF($A717="","",B717+C717+D717)</f>
        <v/>
      </c>
      <c r="F717" s="85">
        <f>IF($A717="","",SUMIFS($E$5:$E$800,$A$5:$A$800,"&gt;="&amp;DATE(YEAR($A717),MONTH($A717),1),$A$5:$A$800,"&lt;="&amp;$A717)+IF(AND(YEAR($A717)=YEAR(Settings!$B$3),MONTH($A717)=MONTH(Settings!$B$3)),Settings!$B$14,0))</f>
        <v/>
      </c>
    </row>
    <row r="718">
      <c r="A718" s="67" t="n"/>
      <c r="B718" s="69" t="n"/>
      <c r="C718" s="69" t="n"/>
      <c r="D718" s="69" t="n"/>
      <c r="E718" s="84">
        <f>IF($A718="","",B718+C718+D718)</f>
        <v/>
      </c>
      <c r="F718" s="85">
        <f>IF($A718="","",SUMIFS($E$5:$E$800,$A$5:$A$800,"&gt;="&amp;DATE(YEAR($A718),MONTH($A718),1),$A$5:$A$800,"&lt;="&amp;$A718)+IF(AND(YEAR($A718)=YEAR(Settings!$B$3),MONTH($A718)=MONTH(Settings!$B$3)),Settings!$B$14,0))</f>
        <v/>
      </c>
    </row>
    <row r="719">
      <c r="A719" s="67" t="n"/>
      <c r="B719" s="69" t="n"/>
      <c r="C719" s="69" t="n"/>
      <c r="D719" s="69" t="n"/>
      <c r="E719" s="84">
        <f>IF($A719="","",B719+C719+D719)</f>
        <v/>
      </c>
      <c r="F719" s="85">
        <f>IF($A719="","",SUMIFS($E$5:$E$800,$A$5:$A$800,"&gt;="&amp;DATE(YEAR($A719),MONTH($A719),1),$A$5:$A$800,"&lt;="&amp;$A719)+IF(AND(YEAR($A719)=YEAR(Settings!$B$3),MONTH($A719)=MONTH(Settings!$B$3)),Settings!$B$14,0))</f>
        <v/>
      </c>
    </row>
    <row r="720">
      <c r="A720" s="67" t="n"/>
      <c r="B720" s="69" t="n"/>
      <c r="C720" s="69" t="n"/>
      <c r="D720" s="69" t="n"/>
      <c r="E720" s="84">
        <f>IF($A720="","",B720+C720+D720)</f>
        <v/>
      </c>
      <c r="F720" s="85">
        <f>IF($A720="","",SUMIFS($E$5:$E$800,$A$5:$A$800,"&gt;="&amp;DATE(YEAR($A720),MONTH($A720),1),$A$5:$A$800,"&lt;="&amp;$A720)+IF(AND(YEAR($A720)=YEAR(Settings!$B$3),MONTH($A720)=MONTH(Settings!$B$3)),Settings!$B$14,0))</f>
        <v/>
      </c>
    </row>
    <row r="721">
      <c r="A721" s="67" t="n"/>
      <c r="B721" s="69" t="n"/>
      <c r="C721" s="69" t="n"/>
      <c r="D721" s="69" t="n"/>
      <c r="E721" s="84">
        <f>IF($A721="","",B721+C721+D721)</f>
        <v/>
      </c>
      <c r="F721" s="85">
        <f>IF($A721="","",SUMIFS($E$5:$E$800,$A$5:$A$800,"&gt;="&amp;DATE(YEAR($A721),MONTH($A721),1),$A$5:$A$800,"&lt;="&amp;$A721)+IF(AND(YEAR($A721)=YEAR(Settings!$B$3),MONTH($A721)=MONTH(Settings!$B$3)),Settings!$B$14,0))</f>
        <v/>
      </c>
    </row>
    <row r="722">
      <c r="A722" s="67" t="n"/>
      <c r="B722" s="69" t="n"/>
      <c r="C722" s="69" t="n"/>
      <c r="D722" s="69" t="n"/>
      <c r="E722" s="84">
        <f>IF($A722="","",B722+C722+D722)</f>
        <v/>
      </c>
      <c r="F722" s="85">
        <f>IF($A722="","",SUMIFS($E$5:$E$800,$A$5:$A$800,"&gt;="&amp;DATE(YEAR($A722),MONTH($A722),1),$A$5:$A$800,"&lt;="&amp;$A722)+IF(AND(YEAR($A722)=YEAR(Settings!$B$3),MONTH($A722)=MONTH(Settings!$B$3)),Settings!$B$14,0))</f>
        <v/>
      </c>
    </row>
    <row r="723">
      <c r="A723" s="67" t="n"/>
      <c r="B723" s="69" t="n"/>
      <c r="C723" s="69" t="n"/>
      <c r="D723" s="69" t="n"/>
      <c r="E723" s="84">
        <f>IF($A723="","",B723+C723+D723)</f>
        <v/>
      </c>
      <c r="F723" s="85">
        <f>IF($A723="","",SUMIFS($E$5:$E$800,$A$5:$A$800,"&gt;="&amp;DATE(YEAR($A723),MONTH($A723),1),$A$5:$A$800,"&lt;="&amp;$A723)+IF(AND(YEAR($A723)=YEAR(Settings!$B$3),MONTH($A723)=MONTH(Settings!$B$3)),Settings!$B$14,0))</f>
        <v/>
      </c>
    </row>
    <row r="724">
      <c r="A724" s="67" t="n"/>
      <c r="B724" s="69" t="n"/>
      <c r="C724" s="69" t="n"/>
      <c r="D724" s="69" t="n"/>
      <c r="E724" s="84">
        <f>IF($A724="","",B724+C724+D724)</f>
        <v/>
      </c>
      <c r="F724" s="85">
        <f>IF($A724="","",SUMIFS($E$5:$E$800,$A$5:$A$800,"&gt;="&amp;DATE(YEAR($A724),MONTH($A724),1),$A$5:$A$800,"&lt;="&amp;$A724)+IF(AND(YEAR($A724)=YEAR(Settings!$B$3),MONTH($A724)=MONTH(Settings!$B$3)),Settings!$B$14,0))</f>
        <v/>
      </c>
    </row>
    <row r="725">
      <c r="A725" s="67" t="n"/>
      <c r="B725" s="69" t="n"/>
      <c r="C725" s="69" t="n"/>
      <c r="D725" s="69" t="n"/>
      <c r="E725" s="84">
        <f>IF($A725="","",B725+C725+D725)</f>
        <v/>
      </c>
      <c r="F725" s="85">
        <f>IF($A725="","",SUMIFS($E$5:$E$800,$A$5:$A$800,"&gt;="&amp;DATE(YEAR($A725),MONTH($A725),1),$A$5:$A$800,"&lt;="&amp;$A725)+IF(AND(YEAR($A725)=YEAR(Settings!$B$3),MONTH($A725)=MONTH(Settings!$B$3)),Settings!$B$14,0))</f>
        <v/>
      </c>
    </row>
    <row r="726">
      <c r="A726" s="67" t="n"/>
      <c r="B726" s="69" t="n"/>
      <c r="C726" s="69" t="n"/>
      <c r="D726" s="69" t="n"/>
      <c r="E726" s="84">
        <f>IF($A726="","",B726+C726+D726)</f>
        <v/>
      </c>
      <c r="F726" s="85">
        <f>IF($A726="","",SUMIFS($E$5:$E$800,$A$5:$A$800,"&gt;="&amp;DATE(YEAR($A726),MONTH($A726),1),$A$5:$A$800,"&lt;="&amp;$A726)+IF(AND(YEAR($A726)=YEAR(Settings!$B$3),MONTH($A726)=MONTH(Settings!$B$3)),Settings!$B$14,0))</f>
        <v/>
      </c>
    </row>
    <row r="727">
      <c r="A727" s="67" t="n"/>
      <c r="B727" s="69" t="n"/>
      <c r="C727" s="69" t="n"/>
      <c r="D727" s="69" t="n"/>
      <c r="E727" s="84">
        <f>IF($A727="","",B727+C727+D727)</f>
        <v/>
      </c>
      <c r="F727" s="85">
        <f>IF($A727="","",SUMIFS($E$5:$E$800,$A$5:$A$800,"&gt;="&amp;DATE(YEAR($A727),MONTH($A727),1),$A$5:$A$800,"&lt;="&amp;$A727)+IF(AND(YEAR($A727)=YEAR(Settings!$B$3),MONTH($A727)=MONTH(Settings!$B$3)),Settings!$B$14,0))</f>
        <v/>
      </c>
    </row>
    <row r="728">
      <c r="A728" s="67" t="n"/>
      <c r="B728" s="69" t="n"/>
      <c r="C728" s="69" t="n"/>
      <c r="D728" s="69" t="n"/>
      <c r="E728" s="84">
        <f>IF($A728="","",B728+C728+D728)</f>
        <v/>
      </c>
      <c r="F728" s="85">
        <f>IF($A728="","",SUMIFS($E$5:$E$800,$A$5:$A$800,"&gt;="&amp;DATE(YEAR($A728),MONTH($A728),1),$A$5:$A$800,"&lt;="&amp;$A728)+IF(AND(YEAR($A728)=YEAR(Settings!$B$3),MONTH($A728)=MONTH(Settings!$B$3)),Settings!$B$14,0))</f>
        <v/>
      </c>
    </row>
    <row r="729">
      <c r="A729" s="67" t="n"/>
      <c r="B729" s="69" t="n"/>
      <c r="C729" s="69" t="n"/>
      <c r="D729" s="69" t="n"/>
      <c r="E729" s="84">
        <f>IF($A729="","",B729+C729+D729)</f>
        <v/>
      </c>
      <c r="F729" s="85">
        <f>IF($A729="","",SUMIFS($E$5:$E$800,$A$5:$A$800,"&gt;="&amp;DATE(YEAR($A729),MONTH($A729),1),$A$5:$A$800,"&lt;="&amp;$A729)+IF(AND(YEAR($A729)=YEAR(Settings!$B$3),MONTH($A729)=MONTH(Settings!$B$3)),Settings!$B$14,0))</f>
        <v/>
      </c>
    </row>
    <row r="730">
      <c r="A730" s="67" t="n"/>
      <c r="B730" s="69" t="n"/>
      <c r="C730" s="69" t="n"/>
      <c r="D730" s="69" t="n"/>
      <c r="E730" s="84">
        <f>IF($A730="","",B730+C730+D730)</f>
        <v/>
      </c>
      <c r="F730" s="85">
        <f>IF($A730="","",SUMIFS($E$5:$E$800,$A$5:$A$800,"&gt;="&amp;DATE(YEAR($A730),MONTH($A730),1),$A$5:$A$800,"&lt;="&amp;$A730)+IF(AND(YEAR($A730)=YEAR(Settings!$B$3),MONTH($A730)=MONTH(Settings!$B$3)),Settings!$B$14,0))</f>
        <v/>
      </c>
    </row>
    <row r="731">
      <c r="A731" s="67" t="n"/>
      <c r="B731" s="69" t="n"/>
      <c r="C731" s="69" t="n"/>
      <c r="D731" s="69" t="n"/>
      <c r="E731" s="84">
        <f>IF($A731="","",B731+C731+D731)</f>
        <v/>
      </c>
      <c r="F731" s="85">
        <f>IF($A731="","",SUMIFS($E$5:$E$800,$A$5:$A$800,"&gt;="&amp;DATE(YEAR($A731),MONTH($A731),1),$A$5:$A$800,"&lt;="&amp;$A731)+IF(AND(YEAR($A731)=YEAR(Settings!$B$3),MONTH($A731)=MONTH(Settings!$B$3)),Settings!$B$14,0))</f>
        <v/>
      </c>
    </row>
    <row r="732">
      <c r="A732" s="67" t="n"/>
      <c r="B732" s="69" t="n"/>
      <c r="C732" s="69" t="n"/>
      <c r="D732" s="69" t="n"/>
      <c r="E732" s="84">
        <f>IF($A732="","",B732+C732+D732)</f>
        <v/>
      </c>
      <c r="F732" s="85">
        <f>IF($A732="","",SUMIFS($E$5:$E$800,$A$5:$A$800,"&gt;="&amp;DATE(YEAR($A732),MONTH($A732),1),$A$5:$A$800,"&lt;="&amp;$A732)+IF(AND(YEAR($A732)=YEAR(Settings!$B$3),MONTH($A732)=MONTH(Settings!$B$3)),Settings!$B$14,0))</f>
        <v/>
      </c>
    </row>
    <row r="733">
      <c r="A733" s="67" t="n"/>
      <c r="B733" s="69" t="n"/>
      <c r="C733" s="69" t="n"/>
      <c r="D733" s="69" t="n"/>
      <c r="E733" s="84">
        <f>IF($A733="","",B733+C733+D733)</f>
        <v/>
      </c>
      <c r="F733" s="85">
        <f>IF($A733="","",SUMIFS($E$5:$E$800,$A$5:$A$800,"&gt;="&amp;DATE(YEAR($A733),MONTH($A733),1),$A$5:$A$800,"&lt;="&amp;$A733)+IF(AND(YEAR($A733)=YEAR(Settings!$B$3),MONTH($A733)=MONTH(Settings!$B$3)),Settings!$B$14,0))</f>
        <v/>
      </c>
    </row>
    <row r="734">
      <c r="A734" s="67" t="n"/>
      <c r="B734" s="69" t="n"/>
      <c r="C734" s="69" t="n"/>
      <c r="D734" s="69" t="n"/>
      <c r="E734" s="84">
        <f>IF($A734="","",B734+C734+D734)</f>
        <v/>
      </c>
      <c r="F734" s="85">
        <f>IF($A734="","",SUMIFS($E$5:$E$800,$A$5:$A$800,"&gt;="&amp;DATE(YEAR($A734),MONTH($A734),1),$A$5:$A$800,"&lt;="&amp;$A734)+IF(AND(YEAR($A734)=YEAR(Settings!$B$3),MONTH($A734)=MONTH(Settings!$B$3)),Settings!$B$14,0))</f>
        <v/>
      </c>
    </row>
    <row r="735">
      <c r="A735" s="67" t="n"/>
      <c r="B735" s="69" t="n"/>
      <c r="C735" s="69" t="n"/>
      <c r="D735" s="69" t="n"/>
      <c r="E735" s="84">
        <f>IF($A735="","",B735+C735+D735)</f>
        <v/>
      </c>
      <c r="F735" s="85">
        <f>IF($A735="","",SUMIFS($E$5:$E$800,$A$5:$A$800,"&gt;="&amp;DATE(YEAR($A735),MONTH($A735),1),$A$5:$A$800,"&lt;="&amp;$A735)+IF(AND(YEAR($A735)=YEAR(Settings!$B$3),MONTH($A735)=MONTH(Settings!$B$3)),Settings!$B$14,0))</f>
        <v/>
      </c>
    </row>
    <row r="736">
      <c r="A736" s="67" t="n"/>
      <c r="B736" s="69" t="n"/>
      <c r="C736" s="69" t="n"/>
      <c r="D736" s="69" t="n"/>
      <c r="E736" s="84">
        <f>IF($A736="","",B736+C736+D736)</f>
        <v/>
      </c>
      <c r="F736" s="85">
        <f>IF($A736="","",SUMIFS($E$5:$E$800,$A$5:$A$800,"&gt;="&amp;DATE(YEAR($A736),MONTH($A736),1),$A$5:$A$800,"&lt;="&amp;$A736)+IF(AND(YEAR($A736)=YEAR(Settings!$B$3),MONTH($A736)=MONTH(Settings!$B$3)),Settings!$B$14,0))</f>
        <v/>
      </c>
    </row>
    <row r="737">
      <c r="A737" s="67" t="n"/>
      <c r="B737" s="69" t="n"/>
      <c r="C737" s="69" t="n"/>
      <c r="D737" s="69" t="n"/>
      <c r="E737" s="84">
        <f>IF($A737="","",B737+C737+D737)</f>
        <v/>
      </c>
      <c r="F737" s="85">
        <f>IF($A737="","",SUMIFS($E$5:$E$800,$A$5:$A$800,"&gt;="&amp;DATE(YEAR($A737),MONTH($A737),1),$A$5:$A$800,"&lt;="&amp;$A737)+IF(AND(YEAR($A737)=YEAR(Settings!$B$3),MONTH($A737)=MONTH(Settings!$B$3)),Settings!$B$14,0))</f>
        <v/>
      </c>
    </row>
    <row r="738">
      <c r="A738" s="67" t="n"/>
      <c r="B738" s="69" t="n"/>
      <c r="C738" s="69" t="n"/>
      <c r="D738" s="69" t="n"/>
      <c r="E738" s="84">
        <f>IF($A738="","",B738+C738+D738)</f>
        <v/>
      </c>
      <c r="F738" s="85">
        <f>IF($A738="","",SUMIFS($E$5:$E$800,$A$5:$A$800,"&gt;="&amp;DATE(YEAR($A738),MONTH($A738),1),$A$5:$A$800,"&lt;="&amp;$A738)+IF(AND(YEAR($A738)=YEAR(Settings!$B$3),MONTH($A738)=MONTH(Settings!$B$3)),Settings!$B$14,0))</f>
        <v/>
      </c>
    </row>
    <row r="739">
      <c r="A739" s="67" t="n"/>
      <c r="B739" s="69" t="n"/>
      <c r="C739" s="69" t="n"/>
      <c r="D739" s="69" t="n"/>
      <c r="E739" s="84">
        <f>IF($A739="","",B739+C739+D739)</f>
        <v/>
      </c>
      <c r="F739" s="85">
        <f>IF($A739="","",SUMIFS($E$5:$E$800,$A$5:$A$800,"&gt;="&amp;DATE(YEAR($A739),MONTH($A739),1),$A$5:$A$800,"&lt;="&amp;$A739)+IF(AND(YEAR($A739)=YEAR(Settings!$B$3),MONTH($A739)=MONTH(Settings!$B$3)),Settings!$B$14,0))</f>
        <v/>
      </c>
    </row>
    <row r="740">
      <c r="A740" s="67" t="n"/>
      <c r="B740" s="69" t="n"/>
      <c r="C740" s="69" t="n"/>
      <c r="D740" s="69" t="n"/>
      <c r="E740" s="84">
        <f>IF($A740="","",B740+C740+D740)</f>
        <v/>
      </c>
      <c r="F740" s="85">
        <f>IF($A740="","",SUMIFS($E$5:$E$800,$A$5:$A$800,"&gt;="&amp;DATE(YEAR($A740),MONTH($A740),1),$A$5:$A$800,"&lt;="&amp;$A740)+IF(AND(YEAR($A740)=YEAR(Settings!$B$3),MONTH($A740)=MONTH(Settings!$B$3)),Settings!$B$14,0))</f>
        <v/>
      </c>
    </row>
    <row r="741">
      <c r="A741" s="67" t="n"/>
      <c r="B741" s="69" t="n"/>
      <c r="C741" s="69" t="n"/>
      <c r="D741" s="69" t="n"/>
      <c r="E741" s="84">
        <f>IF($A741="","",B741+C741+D741)</f>
        <v/>
      </c>
      <c r="F741" s="85">
        <f>IF($A741="","",SUMIFS($E$5:$E$800,$A$5:$A$800,"&gt;="&amp;DATE(YEAR($A741),MONTH($A741),1),$A$5:$A$800,"&lt;="&amp;$A741)+IF(AND(YEAR($A741)=YEAR(Settings!$B$3),MONTH($A741)=MONTH(Settings!$B$3)),Settings!$B$14,0))</f>
        <v/>
      </c>
    </row>
    <row r="742">
      <c r="A742" s="67" t="n"/>
      <c r="B742" s="69" t="n"/>
      <c r="C742" s="69" t="n"/>
      <c r="D742" s="69" t="n"/>
      <c r="E742" s="84">
        <f>IF($A742="","",B742+C742+D742)</f>
        <v/>
      </c>
      <c r="F742" s="85">
        <f>IF($A742="","",SUMIFS($E$5:$E$800,$A$5:$A$800,"&gt;="&amp;DATE(YEAR($A742),MONTH($A742),1),$A$5:$A$800,"&lt;="&amp;$A742)+IF(AND(YEAR($A742)=YEAR(Settings!$B$3),MONTH($A742)=MONTH(Settings!$B$3)),Settings!$B$14,0))</f>
        <v/>
      </c>
    </row>
    <row r="743">
      <c r="A743" s="67" t="n"/>
      <c r="B743" s="69" t="n"/>
      <c r="C743" s="69" t="n"/>
      <c r="D743" s="69" t="n"/>
      <c r="E743" s="84">
        <f>IF($A743="","",B743+C743+D743)</f>
        <v/>
      </c>
      <c r="F743" s="85">
        <f>IF($A743="","",SUMIFS($E$5:$E$800,$A$5:$A$800,"&gt;="&amp;DATE(YEAR($A743),MONTH($A743),1),$A$5:$A$800,"&lt;="&amp;$A743)+IF(AND(YEAR($A743)=YEAR(Settings!$B$3),MONTH($A743)=MONTH(Settings!$B$3)),Settings!$B$14,0))</f>
        <v/>
      </c>
    </row>
    <row r="744">
      <c r="A744" s="67" t="n"/>
      <c r="B744" s="69" t="n"/>
      <c r="C744" s="69" t="n"/>
      <c r="D744" s="69" t="n"/>
      <c r="E744" s="84">
        <f>IF($A744="","",B744+C744+D744)</f>
        <v/>
      </c>
      <c r="F744" s="85">
        <f>IF($A744="","",SUMIFS($E$5:$E$800,$A$5:$A$800,"&gt;="&amp;DATE(YEAR($A744),MONTH($A744),1),$A$5:$A$800,"&lt;="&amp;$A744)+IF(AND(YEAR($A744)=YEAR(Settings!$B$3),MONTH($A744)=MONTH(Settings!$B$3)),Settings!$B$14,0))</f>
        <v/>
      </c>
    </row>
    <row r="745">
      <c r="A745" s="67" t="n"/>
      <c r="B745" s="69" t="n"/>
      <c r="C745" s="69" t="n"/>
      <c r="D745" s="69" t="n"/>
      <c r="E745" s="84">
        <f>IF($A745="","",B745+C745+D745)</f>
        <v/>
      </c>
      <c r="F745" s="85">
        <f>IF($A745="","",SUMIFS($E$5:$E$800,$A$5:$A$800,"&gt;="&amp;DATE(YEAR($A745),MONTH($A745),1),$A$5:$A$800,"&lt;="&amp;$A745)+IF(AND(YEAR($A745)=YEAR(Settings!$B$3),MONTH($A745)=MONTH(Settings!$B$3)),Settings!$B$14,0))</f>
        <v/>
      </c>
    </row>
    <row r="746">
      <c r="A746" s="67" t="n"/>
      <c r="B746" s="69" t="n"/>
      <c r="C746" s="69" t="n"/>
      <c r="D746" s="69" t="n"/>
      <c r="E746" s="84">
        <f>IF($A746="","",B746+C746+D746)</f>
        <v/>
      </c>
      <c r="F746" s="85">
        <f>IF($A746="","",SUMIFS($E$5:$E$800,$A$5:$A$800,"&gt;="&amp;DATE(YEAR($A746),MONTH($A746),1),$A$5:$A$800,"&lt;="&amp;$A746)+IF(AND(YEAR($A746)=YEAR(Settings!$B$3),MONTH($A746)=MONTH(Settings!$B$3)),Settings!$B$14,0))</f>
        <v/>
      </c>
    </row>
    <row r="747">
      <c r="A747" s="67" t="n"/>
      <c r="B747" s="69" t="n"/>
      <c r="C747" s="69" t="n"/>
      <c r="D747" s="69" t="n"/>
      <c r="E747" s="84">
        <f>IF($A747="","",B747+C747+D747)</f>
        <v/>
      </c>
      <c r="F747" s="85">
        <f>IF($A747="","",SUMIFS($E$5:$E$800,$A$5:$A$800,"&gt;="&amp;DATE(YEAR($A747),MONTH($A747),1),$A$5:$A$800,"&lt;="&amp;$A747)+IF(AND(YEAR($A747)=YEAR(Settings!$B$3),MONTH($A747)=MONTH(Settings!$B$3)),Settings!$B$14,0))</f>
        <v/>
      </c>
    </row>
    <row r="748">
      <c r="A748" s="67" t="n"/>
      <c r="B748" s="69" t="n"/>
      <c r="C748" s="69" t="n"/>
      <c r="D748" s="69" t="n"/>
      <c r="E748" s="84">
        <f>IF($A748="","",B748+C748+D748)</f>
        <v/>
      </c>
      <c r="F748" s="85">
        <f>IF($A748="","",SUMIFS($E$5:$E$800,$A$5:$A$800,"&gt;="&amp;DATE(YEAR($A748),MONTH($A748),1),$A$5:$A$800,"&lt;="&amp;$A748)+IF(AND(YEAR($A748)=YEAR(Settings!$B$3),MONTH($A748)=MONTH(Settings!$B$3)),Settings!$B$14,0))</f>
        <v/>
      </c>
    </row>
    <row r="749">
      <c r="A749" s="67" t="n"/>
      <c r="B749" s="69" t="n"/>
      <c r="C749" s="69" t="n"/>
      <c r="D749" s="69" t="n"/>
      <c r="E749" s="84">
        <f>IF($A749="","",B749+C749+D749)</f>
        <v/>
      </c>
      <c r="F749" s="85">
        <f>IF($A749="","",SUMIFS($E$5:$E$800,$A$5:$A$800,"&gt;="&amp;DATE(YEAR($A749),MONTH($A749),1),$A$5:$A$800,"&lt;="&amp;$A749)+IF(AND(YEAR($A749)=YEAR(Settings!$B$3),MONTH($A749)=MONTH(Settings!$B$3)),Settings!$B$14,0))</f>
        <v/>
      </c>
    </row>
    <row r="750">
      <c r="A750" s="67" t="n"/>
      <c r="B750" s="69" t="n"/>
      <c r="C750" s="69" t="n"/>
      <c r="D750" s="69" t="n"/>
      <c r="E750" s="84">
        <f>IF($A750="","",B750+C750+D750)</f>
        <v/>
      </c>
      <c r="F750" s="85">
        <f>IF($A750="","",SUMIFS($E$5:$E$800,$A$5:$A$800,"&gt;="&amp;DATE(YEAR($A750),MONTH($A750),1),$A$5:$A$800,"&lt;="&amp;$A750)+IF(AND(YEAR($A750)=YEAR(Settings!$B$3),MONTH($A750)=MONTH(Settings!$B$3)),Settings!$B$14,0))</f>
        <v/>
      </c>
    </row>
    <row r="751">
      <c r="A751" s="67" t="n"/>
      <c r="B751" s="69" t="n"/>
      <c r="C751" s="69" t="n"/>
      <c r="D751" s="69" t="n"/>
      <c r="E751" s="84">
        <f>IF($A751="","",B751+C751+D751)</f>
        <v/>
      </c>
      <c r="F751" s="85">
        <f>IF($A751="","",SUMIFS($E$5:$E$800,$A$5:$A$800,"&gt;="&amp;DATE(YEAR($A751),MONTH($A751),1),$A$5:$A$800,"&lt;="&amp;$A751)+IF(AND(YEAR($A751)=YEAR(Settings!$B$3),MONTH($A751)=MONTH(Settings!$B$3)),Settings!$B$14,0))</f>
        <v/>
      </c>
    </row>
    <row r="752">
      <c r="A752" s="67" t="n"/>
      <c r="B752" s="69" t="n"/>
      <c r="C752" s="69" t="n"/>
      <c r="D752" s="69" t="n"/>
      <c r="E752" s="84">
        <f>IF($A752="","",B752+C752+D752)</f>
        <v/>
      </c>
      <c r="F752" s="85">
        <f>IF($A752="","",SUMIFS($E$5:$E$800,$A$5:$A$800,"&gt;="&amp;DATE(YEAR($A752),MONTH($A752),1),$A$5:$A$800,"&lt;="&amp;$A752)+IF(AND(YEAR($A752)=YEAR(Settings!$B$3),MONTH($A752)=MONTH(Settings!$B$3)),Settings!$B$14,0))</f>
        <v/>
      </c>
    </row>
    <row r="753">
      <c r="A753" s="67" t="n"/>
      <c r="B753" s="69" t="n"/>
      <c r="C753" s="69" t="n"/>
      <c r="D753" s="69" t="n"/>
      <c r="E753" s="84">
        <f>IF($A753="","",B753+C753+D753)</f>
        <v/>
      </c>
      <c r="F753" s="85">
        <f>IF($A753="","",SUMIFS($E$5:$E$800,$A$5:$A$800,"&gt;="&amp;DATE(YEAR($A753),MONTH($A753),1),$A$5:$A$800,"&lt;="&amp;$A753)+IF(AND(YEAR($A753)=YEAR(Settings!$B$3),MONTH($A753)=MONTH(Settings!$B$3)),Settings!$B$14,0))</f>
        <v/>
      </c>
    </row>
    <row r="754">
      <c r="A754" s="67" t="n"/>
      <c r="B754" s="69" t="n"/>
      <c r="C754" s="69" t="n"/>
      <c r="D754" s="69" t="n"/>
      <c r="E754" s="84">
        <f>IF($A754="","",B754+C754+D754)</f>
        <v/>
      </c>
      <c r="F754" s="85">
        <f>IF($A754="","",SUMIFS($E$5:$E$800,$A$5:$A$800,"&gt;="&amp;DATE(YEAR($A754),MONTH($A754),1),$A$5:$A$800,"&lt;="&amp;$A754)+IF(AND(YEAR($A754)=YEAR(Settings!$B$3),MONTH($A754)=MONTH(Settings!$B$3)),Settings!$B$14,0))</f>
        <v/>
      </c>
    </row>
    <row r="755">
      <c r="A755" s="67" t="n"/>
      <c r="B755" s="69" t="n"/>
      <c r="C755" s="69" t="n"/>
      <c r="D755" s="69" t="n"/>
      <c r="E755" s="84">
        <f>IF($A755="","",B755+C755+D755)</f>
        <v/>
      </c>
      <c r="F755" s="85">
        <f>IF($A755="","",SUMIFS($E$5:$E$800,$A$5:$A$800,"&gt;="&amp;DATE(YEAR($A755),MONTH($A755),1),$A$5:$A$800,"&lt;="&amp;$A755)+IF(AND(YEAR($A755)=YEAR(Settings!$B$3),MONTH($A755)=MONTH(Settings!$B$3)),Settings!$B$14,0))</f>
        <v/>
      </c>
    </row>
    <row r="756">
      <c r="A756" s="67" t="n"/>
      <c r="B756" s="69" t="n"/>
      <c r="C756" s="69" t="n"/>
      <c r="D756" s="69" t="n"/>
      <c r="E756" s="84">
        <f>IF($A756="","",B756+C756+D756)</f>
        <v/>
      </c>
      <c r="F756" s="85">
        <f>IF($A756="","",SUMIFS($E$5:$E$800,$A$5:$A$800,"&gt;="&amp;DATE(YEAR($A756),MONTH($A756),1),$A$5:$A$800,"&lt;="&amp;$A756)+IF(AND(YEAR($A756)=YEAR(Settings!$B$3),MONTH($A756)=MONTH(Settings!$B$3)),Settings!$B$14,0))</f>
        <v/>
      </c>
    </row>
    <row r="757">
      <c r="A757" s="67" t="n"/>
      <c r="B757" s="69" t="n"/>
      <c r="C757" s="69" t="n"/>
      <c r="D757" s="69" t="n"/>
      <c r="E757" s="84">
        <f>IF($A757="","",B757+C757+D757)</f>
        <v/>
      </c>
      <c r="F757" s="85">
        <f>IF($A757="","",SUMIFS($E$5:$E$800,$A$5:$A$800,"&gt;="&amp;DATE(YEAR($A757),MONTH($A757),1),$A$5:$A$800,"&lt;="&amp;$A757)+IF(AND(YEAR($A757)=YEAR(Settings!$B$3),MONTH($A757)=MONTH(Settings!$B$3)),Settings!$B$14,0))</f>
        <v/>
      </c>
    </row>
    <row r="758">
      <c r="A758" s="67" t="n"/>
      <c r="B758" s="69" t="n"/>
      <c r="C758" s="69" t="n"/>
      <c r="D758" s="69" t="n"/>
      <c r="E758" s="84">
        <f>IF($A758="","",B758+C758+D758)</f>
        <v/>
      </c>
      <c r="F758" s="85">
        <f>IF($A758="","",SUMIFS($E$5:$E$800,$A$5:$A$800,"&gt;="&amp;DATE(YEAR($A758),MONTH($A758),1),$A$5:$A$800,"&lt;="&amp;$A758)+IF(AND(YEAR($A758)=YEAR(Settings!$B$3),MONTH($A758)=MONTH(Settings!$B$3)),Settings!$B$14,0))</f>
        <v/>
      </c>
    </row>
    <row r="759">
      <c r="A759" s="67" t="n"/>
      <c r="B759" s="69" t="n"/>
      <c r="C759" s="69" t="n"/>
      <c r="D759" s="69" t="n"/>
      <c r="E759" s="84">
        <f>IF($A759="","",B759+C759+D759)</f>
        <v/>
      </c>
      <c r="F759" s="85">
        <f>IF($A759="","",SUMIFS($E$5:$E$800,$A$5:$A$800,"&gt;="&amp;DATE(YEAR($A759),MONTH($A759),1),$A$5:$A$800,"&lt;="&amp;$A759)+IF(AND(YEAR($A759)=YEAR(Settings!$B$3),MONTH($A759)=MONTH(Settings!$B$3)),Settings!$B$14,0))</f>
        <v/>
      </c>
    </row>
    <row r="760">
      <c r="A760" s="67" t="n"/>
      <c r="B760" s="69" t="n"/>
      <c r="C760" s="69" t="n"/>
      <c r="D760" s="69" t="n"/>
      <c r="E760" s="84">
        <f>IF($A760="","",B760+C760+D760)</f>
        <v/>
      </c>
      <c r="F760" s="85">
        <f>IF($A760="","",SUMIFS($E$5:$E$800,$A$5:$A$800,"&gt;="&amp;DATE(YEAR($A760),MONTH($A760),1),$A$5:$A$800,"&lt;="&amp;$A760)+IF(AND(YEAR($A760)=YEAR(Settings!$B$3),MONTH($A760)=MONTH(Settings!$B$3)),Settings!$B$14,0))</f>
        <v/>
      </c>
    </row>
    <row r="761">
      <c r="A761" s="67" t="n"/>
      <c r="B761" s="69" t="n"/>
      <c r="C761" s="69" t="n"/>
      <c r="D761" s="69" t="n"/>
      <c r="E761" s="84">
        <f>IF($A761="","",B761+C761+D761)</f>
        <v/>
      </c>
      <c r="F761" s="85">
        <f>IF($A761="","",SUMIFS($E$5:$E$800,$A$5:$A$800,"&gt;="&amp;DATE(YEAR($A761),MONTH($A761),1),$A$5:$A$800,"&lt;="&amp;$A761)+IF(AND(YEAR($A761)=YEAR(Settings!$B$3),MONTH($A761)=MONTH(Settings!$B$3)),Settings!$B$14,0))</f>
        <v/>
      </c>
    </row>
    <row r="762">
      <c r="A762" s="67" t="n"/>
      <c r="B762" s="69" t="n"/>
      <c r="C762" s="69" t="n"/>
      <c r="D762" s="69" t="n"/>
      <c r="E762" s="84">
        <f>IF($A762="","",B762+C762+D762)</f>
        <v/>
      </c>
      <c r="F762" s="85">
        <f>IF($A762="","",SUMIFS($E$5:$E$800,$A$5:$A$800,"&gt;="&amp;DATE(YEAR($A762),MONTH($A762),1),$A$5:$A$800,"&lt;="&amp;$A762)+IF(AND(YEAR($A762)=YEAR(Settings!$B$3),MONTH($A762)=MONTH(Settings!$B$3)),Settings!$B$14,0))</f>
        <v/>
      </c>
    </row>
    <row r="763">
      <c r="A763" s="67" t="n"/>
      <c r="B763" s="69" t="n"/>
      <c r="C763" s="69" t="n"/>
      <c r="D763" s="69" t="n"/>
      <c r="E763" s="84">
        <f>IF($A763="","",B763+C763+D763)</f>
        <v/>
      </c>
      <c r="F763" s="85">
        <f>IF($A763="","",SUMIFS($E$5:$E$800,$A$5:$A$800,"&gt;="&amp;DATE(YEAR($A763),MONTH($A763),1),$A$5:$A$800,"&lt;="&amp;$A763)+IF(AND(YEAR($A763)=YEAR(Settings!$B$3),MONTH($A763)=MONTH(Settings!$B$3)),Settings!$B$14,0))</f>
        <v/>
      </c>
    </row>
    <row r="764">
      <c r="A764" s="67" t="n"/>
      <c r="B764" s="69" t="n"/>
      <c r="C764" s="69" t="n"/>
      <c r="D764" s="69" t="n"/>
      <c r="E764" s="84">
        <f>IF($A764="","",B764+C764+D764)</f>
        <v/>
      </c>
      <c r="F764" s="85">
        <f>IF($A764="","",SUMIFS($E$5:$E$800,$A$5:$A$800,"&gt;="&amp;DATE(YEAR($A764),MONTH($A764),1),$A$5:$A$800,"&lt;="&amp;$A764)+IF(AND(YEAR($A764)=YEAR(Settings!$B$3),MONTH($A764)=MONTH(Settings!$B$3)),Settings!$B$14,0))</f>
        <v/>
      </c>
    </row>
    <row r="765">
      <c r="A765" s="67" t="n"/>
      <c r="B765" s="69" t="n"/>
      <c r="C765" s="69" t="n"/>
      <c r="D765" s="69" t="n"/>
      <c r="E765" s="84">
        <f>IF($A765="","",B765+C765+D765)</f>
        <v/>
      </c>
      <c r="F765" s="85">
        <f>IF($A765="","",SUMIFS($E$5:$E$800,$A$5:$A$800,"&gt;="&amp;DATE(YEAR($A765),MONTH($A765),1),$A$5:$A$800,"&lt;="&amp;$A765)+IF(AND(YEAR($A765)=YEAR(Settings!$B$3),MONTH($A765)=MONTH(Settings!$B$3)),Settings!$B$14,0))</f>
        <v/>
      </c>
    </row>
    <row r="766">
      <c r="A766" s="67" t="n"/>
      <c r="B766" s="69" t="n"/>
      <c r="C766" s="69" t="n"/>
      <c r="D766" s="69" t="n"/>
      <c r="E766" s="84">
        <f>IF($A766="","",B766+C766+D766)</f>
        <v/>
      </c>
      <c r="F766" s="85">
        <f>IF($A766="","",SUMIFS($E$5:$E$800,$A$5:$A$800,"&gt;="&amp;DATE(YEAR($A766),MONTH($A766),1),$A$5:$A$800,"&lt;="&amp;$A766)+IF(AND(YEAR($A766)=YEAR(Settings!$B$3),MONTH($A766)=MONTH(Settings!$B$3)),Settings!$B$14,0))</f>
        <v/>
      </c>
    </row>
    <row r="767">
      <c r="A767" s="67" t="n"/>
      <c r="B767" s="69" t="n"/>
      <c r="C767" s="69" t="n"/>
      <c r="D767" s="69" t="n"/>
      <c r="E767" s="84">
        <f>IF($A767="","",B767+C767+D767)</f>
        <v/>
      </c>
      <c r="F767" s="85">
        <f>IF($A767="","",SUMIFS($E$5:$E$800,$A$5:$A$800,"&gt;="&amp;DATE(YEAR($A767),MONTH($A767),1),$A$5:$A$800,"&lt;="&amp;$A767)+IF(AND(YEAR($A767)=YEAR(Settings!$B$3),MONTH($A767)=MONTH(Settings!$B$3)),Settings!$B$14,0))</f>
        <v/>
      </c>
    </row>
    <row r="768">
      <c r="A768" s="67" t="n"/>
      <c r="B768" s="69" t="n"/>
      <c r="C768" s="69" t="n"/>
      <c r="D768" s="69" t="n"/>
      <c r="E768" s="84">
        <f>IF($A768="","",B768+C768+D768)</f>
        <v/>
      </c>
      <c r="F768" s="85">
        <f>IF($A768="","",SUMIFS($E$5:$E$800,$A$5:$A$800,"&gt;="&amp;DATE(YEAR($A768),MONTH($A768),1),$A$5:$A$800,"&lt;="&amp;$A768)+IF(AND(YEAR($A768)=YEAR(Settings!$B$3),MONTH($A768)=MONTH(Settings!$B$3)),Settings!$B$14,0))</f>
        <v/>
      </c>
    </row>
    <row r="769">
      <c r="A769" s="67" t="n"/>
      <c r="B769" s="69" t="n"/>
      <c r="C769" s="69" t="n"/>
      <c r="D769" s="69" t="n"/>
      <c r="E769" s="84">
        <f>IF($A769="","",B769+C769+D769)</f>
        <v/>
      </c>
      <c r="F769" s="85">
        <f>IF($A769="","",SUMIFS($E$5:$E$800,$A$5:$A$800,"&gt;="&amp;DATE(YEAR($A769),MONTH($A769),1),$A$5:$A$800,"&lt;="&amp;$A769)+IF(AND(YEAR($A769)=YEAR(Settings!$B$3),MONTH($A769)=MONTH(Settings!$B$3)),Settings!$B$14,0))</f>
        <v/>
      </c>
    </row>
    <row r="770">
      <c r="A770" s="67" t="n"/>
      <c r="B770" s="69" t="n"/>
      <c r="C770" s="69" t="n"/>
      <c r="D770" s="69" t="n"/>
      <c r="E770" s="84">
        <f>IF($A770="","",B770+C770+D770)</f>
        <v/>
      </c>
      <c r="F770" s="85">
        <f>IF($A770="","",SUMIFS($E$5:$E$800,$A$5:$A$800,"&gt;="&amp;DATE(YEAR($A770),MONTH($A770),1),$A$5:$A$800,"&lt;="&amp;$A770)+IF(AND(YEAR($A770)=YEAR(Settings!$B$3),MONTH($A770)=MONTH(Settings!$B$3)),Settings!$B$14,0))</f>
        <v/>
      </c>
    </row>
    <row r="771">
      <c r="A771" s="67" t="n"/>
      <c r="B771" s="69" t="n"/>
      <c r="C771" s="69" t="n"/>
      <c r="D771" s="69" t="n"/>
      <c r="E771" s="84">
        <f>IF($A771="","",B771+C771+D771)</f>
        <v/>
      </c>
      <c r="F771" s="85">
        <f>IF($A771="","",SUMIFS($E$5:$E$800,$A$5:$A$800,"&gt;="&amp;DATE(YEAR($A771),MONTH($A771),1),$A$5:$A$800,"&lt;="&amp;$A771)+IF(AND(YEAR($A771)=YEAR(Settings!$B$3),MONTH($A771)=MONTH(Settings!$B$3)),Settings!$B$14,0))</f>
        <v/>
      </c>
    </row>
    <row r="772">
      <c r="A772" s="67" t="n"/>
      <c r="B772" s="69" t="n"/>
      <c r="C772" s="69" t="n"/>
      <c r="D772" s="69" t="n"/>
      <c r="E772" s="84">
        <f>IF($A772="","",B772+C772+D772)</f>
        <v/>
      </c>
      <c r="F772" s="85">
        <f>IF($A772="","",SUMIFS($E$5:$E$800,$A$5:$A$800,"&gt;="&amp;DATE(YEAR($A772),MONTH($A772),1),$A$5:$A$800,"&lt;="&amp;$A772)+IF(AND(YEAR($A772)=YEAR(Settings!$B$3),MONTH($A772)=MONTH(Settings!$B$3)),Settings!$B$14,0))</f>
        <v/>
      </c>
    </row>
    <row r="773">
      <c r="A773" s="67" t="n"/>
      <c r="B773" s="69" t="n"/>
      <c r="C773" s="69" t="n"/>
      <c r="D773" s="69" t="n"/>
      <c r="E773" s="84">
        <f>IF($A773="","",B773+C773+D773)</f>
        <v/>
      </c>
      <c r="F773" s="85">
        <f>IF($A773="","",SUMIFS($E$5:$E$800,$A$5:$A$800,"&gt;="&amp;DATE(YEAR($A773),MONTH($A773),1),$A$5:$A$800,"&lt;="&amp;$A773)+IF(AND(YEAR($A773)=YEAR(Settings!$B$3),MONTH($A773)=MONTH(Settings!$B$3)),Settings!$B$14,0))</f>
        <v/>
      </c>
    </row>
    <row r="774">
      <c r="A774" s="67" t="n"/>
      <c r="B774" s="69" t="n"/>
      <c r="C774" s="69" t="n"/>
      <c r="D774" s="69" t="n"/>
      <c r="E774" s="84">
        <f>IF($A774="","",B774+C774+D774)</f>
        <v/>
      </c>
      <c r="F774" s="85">
        <f>IF($A774="","",SUMIFS($E$5:$E$800,$A$5:$A$800,"&gt;="&amp;DATE(YEAR($A774),MONTH($A774),1),$A$5:$A$800,"&lt;="&amp;$A774)+IF(AND(YEAR($A774)=YEAR(Settings!$B$3),MONTH($A774)=MONTH(Settings!$B$3)),Settings!$B$14,0))</f>
        <v/>
      </c>
    </row>
    <row r="775">
      <c r="A775" s="67" t="n"/>
      <c r="B775" s="69" t="n"/>
      <c r="C775" s="69" t="n"/>
      <c r="D775" s="69" t="n"/>
      <c r="E775" s="84">
        <f>IF($A775="","",B775+C775+D775)</f>
        <v/>
      </c>
      <c r="F775" s="85">
        <f>IF($A775="","",SUMIFS($E$5:$E$800,$A$5:$A$800,"&gt;="&amp;DATE(YEAR($A775),MONTH($A775),1),$A$5:$A$800,"&lt;="&amp;$A775)+IF(AND(YEAR($A775)=YEAR(Settings!$B$3),MONTH($A775)=MONTH(Settings!$B$3)),Settings!$B$14,0))</f>
        <v/>
      </c>
    </row>
    <row r="776">
      <c r="A776" s="67" t="n"/>
      <c r="B776" s="69" t="n"/>
      <c r="C776" s="69" t="n"/>
      <c r="D776" s="69" t="n"/>
      <c r="E776" s="84">
        <f>IF($A776="","",B776+C776+D776)</f>
        <v/>
      </c>
      <c r="F776" s="85">
        <f>IF($A776="","",SUMIFS($E$5:$E$800,$A$5:$A$800,"&gt;="&amp;DATE(YEAR($A776),MONTH($A776),1),$A$5:$A$800,"&lt;="&amp;$A776)+IF(AND(YEAR($A776)=YEAR(Settings!$B$3),MONTH($A776)=MONTH(Settings!$B$3)),Settings!$B$14,0))</f>
        <v/>
      </c>
    </row>
    <row r="777">
      <c r="A777" s="67" t="n"/>
      <c r="B777" s="69" t="n"/>
      <c r="C777" s="69" t="n"/>
      <c r="D777" s="69" t="n"/>
      <c r="E777" s="84">
        <f>IF($A777="","",B777+C777+D777)</f>
        <v/>
      </c>
      <c r="F777" s="85">
        <f>IF($A777="","",SUMIFS($E$5:$E$800,$A$5:$A$800,"&gt;="&amp;DATE(YEAR($A777),MONTH($A777),1),$A$5:$A$800,"&lt;="&amp;$A777)+IF(AND(YEAR($A777)=YEAR(Settings!$B$3),MONTH($A777)=MONTH(Settings!$B$3)),Settings!$B$14,0))</f>
        <v/>
      </c>
    </row>
    <row r="778">
      <c r="A778" s="67" t="n"/>
      <c r="B778" s="69" t="n"/>
      <c r="C778" s="69" t="n"/>
      <c r="D778" s="69" t="n"/>
      <c r="E778" s="84">
        <f>IF($A778="","",B778+C778+D778)</f>
        <v/>
      </c>
      <c r="F778" s="85">
        <f>IF($A778="","",SUMIFS($E$5:$E$800,$A$5:$A$800,"&gt;="&amp;DATE(YEAR($A778),MONTH($A778),1),$A$5:$A$800,"&lt;="&amp;$A778)+IF(AND(YEAR($A778)=YEAR(Settings!$B$3),MONTH($A778)=MONTH(Settings!$B$3)),Settings!$B$14,0))</f>
        <v/>
      </c>
    </row>
    <row r="779">
      <c r="A779" s="67" t="n"/>
      <c r="B779" s="69" t="n"/>
      <c r="C779" s="69" t="n"/>
      <c r="D779" s="69" t="n"/>
      <c r="E779" s="84">
        <f>IF($A779="","",B779+C779+D779)</f>
        <v/>
      </c>
      <c r="F779" s="85">
        <f>IF($A779="","",SUMIFS($E$5:$E$800,$A$5:$A$800,"&gt;="&amp;DATE(YEAR($A779),MONTH($A779),1),$A$5:$A$800,"&lt;="&amp;$A779)+IF(AND(YEAR($A779)=YEAR(Settings!$B$3),MONTH($A779)=MONTH(Settings!$B$3)),Settings!$B$14,0))</f>
        <v/>
      </c>
    </row>
    <row r="780">
      <c r="A780" s="67" t="n"/>
      <c r="B780" s="69" t="n"/>
      <c r="C780" s="69" t="n"/>
      <c r="D780" s="69" t="n"/>
      <c r="E780" s="84">
        <f>IF($A780="","",B780+C780+D780)</f>
        <v/>
      </c>
      <c r="F780" s="85">
        <f>IF($A780="","",SUMIFS($E$5:$E$800,$A$5:$A$800,"&gt;="&amp;DATE(YEAR($A780),MONTH($A780),1),$A$5:$A$800,"&lt;="&amp;$A780)+IF(AND(YEAR($A780)=YEAR(Settings!$B$3),MONTH($A780)=MONTH(Settings!$B$3)),Settings!$B$14,0))</f>
        <v/>
      </c>
    </row>
    <row r="781">
      <c r="A781" s="67" t="n"/>
      <c r="B781" s="69" t="n"/>
      <c r="C781" s="69" t="n"/>
      <c r="D781" s="69" t="n"/>
      <c r="E781" s="84">
        <f>IF($A781="","",B781+C781+D781)</f>
        <v/>
      </c>
      <c r="F781" s="85">
        <f>IF($A781="","",SUMIFS($E$5:$E$800,$A$5:$A$800,"&gt;="&amp;DATE(YEAR($A781),MONTH($A781),1),$A$5:$A$800,"&lt;="&amp;$A781)+IF(AND(YEAR($A781)=YEAR(Settings!$B$3),MONTH($A781)=MONTH(Settings!$B$3)),Settings!$B$14,0))</f>
        <v/>
      </c>
    </row>
    <row r="782">
      <c r="A782" s="67" t="n"/>
      <c r="B782" s="69" t="n"/>
      <c r="C782" s="69" t="n"/>
      <c r="D782" s="69" t="n"/>
      <c r="E782" s="84">
        <f>IF($A782="","",B782+C782+D782)</f>
        <v/>
      </c>
      <c r="F782" s="85">
        <f>IF($A782="","",SUMIFS($E$5:$E$800,$A$5:$A$800,"&gt;="&amp;DATE(YEAR($A782),MONTH($A782),1),$A$5:$A$800,"&lt;="&amp;$A782)+IF(AND(YEAR($A782)=YEAR(Settings!$B$3),MONTH($A782)=MONTH(Settings!$B$3)),Settings!$B$14,0))</f>
        <v/>
      </c>
    </row>
    <row r="783">
      <c r="A783" s="67" t="n"/>
      <c r="B783" s="69" t="n"/>
      <c r="C783" s="69" t="n"/>
      <c r="D783" s="69" t="n"/>
      <c r="E783" s="84">
        <f>IF($A783="","",B783+C783+D783)</f>
        <v/>
      </c>
      <c r="F783" s="85">
        <f>IF($A783="","",SUMIFS($E$5:$E$800,$A$5:$A$800,"&gt;="&amp;DATE(YEAR($A783),MONTH($A783),1),$A$5:$A$800,"&lt;="&amp;$A783)+IF(AND(YEAR($A783)=YEAR(Settings!$B$3),MONTH($A783)=MONTH(Settings!$B$3)),Settings!$B$14,0))</f>
        <v/>
      </c>
    </row>
    <row r="784">
      <c r="A784" s="67" t="n"/>
      <c r="B784" s="69" t="n"/>
      <c r="C784" s="69" t="n"/>
      <c r="D784" s="69" t="n"/>
      <c r="E784" s="84">
        <f>IF($A784="","",B784+C784+D784)</f>
        <v/>
      </c>
      <c r="F784" s="85">
        <f>IF($A784="","",SUMIFS($E$5:$E$800,$A$5:$A$800,"&gt;="&amp;DATE(YEAR($A784),MONTH($A784),1),$A$5:$A$800,"&lt;="&amp;$A784)+IF(AND(YEAR($A784)=YEAR(Settings!$B$3),MONTH($A784)=MONTH(Settings!$B$3)),Settings!$B$14,0))</f>
        <v/>
      </c>
    </row>
    <row r="785">
      <c r="A785" s="67" t="n"/>
      <c r="B785" s="69" t="n"/>
      <c r="C785" s="69" t="n"/>
      <c r="D785" s="69" t="n"/>
      <c r="E785" s="84">
        <f>IF($A785="","",B785+C785+D785)</f>
        <v/>
      </c>
      <c r="F785" s="85">
        <f>IF($A785="","",SUMIFS($E$5:$E$800,$A$5:$A$800,"&gt;="&amp;DATE(YEAR($A785),MONTH($A785),1),$A$5:$A$800,"&lt;="&amp;$A785)+IF(AND(YEAR($A785)=YEAR(Settings!$B$3),MONTH($A785)=MONTH(Settings!$B$3)),Settings!$B$14,0))</f>
        <v/>
      </c>
    </row>
    <row r="786">
      <c r="A786" s="67" t="n"/>
      <c r="B786" s="69" t="n"/>
      <c r="C786" s="69" t="n"/>
      <c r="D786" s="69" t="n"/>
      <c r="E786" s="84">
        <f>IF($A786="","",B786+C786+D786)</f>
        <v/>
      </c>
      <c r="F786" s="85">
        <f>IF($A786="","",SUMIFS($E$5:$E$800,$A$5:$A$800,"&gt;="&amp;DATE(YEAR($A786),MONTH($A786),1),$A$5:$A$800,"&lt;="&amp;$A786)+IF(AND(YEAR($A786)=YEAR(Settings!$B$3),MONTH($A786)=MONTH(Settings!$B$3)),Settings!$B$14,0))</f>
        <v/>
      </c>
    </row>
    <row r="787">
      <c r="A787" s="67" t="n"/>
      <c r="B787" s="69" t="n"/>
      <c r="C787" s="69" t="n"/>
      <c r="D787" s="69" t="n"/>
      <c r="E787" s="84">
        <f>IF($A787="","",B787+C787+D787)</f>
        <v/>
      </c>
      <c r="F787" s="85">
        <f>IF($A787="","",SUMIFS($E$5:$E$800,$A$5:$A$800,"&gt;="&amp;DATE(YEAR($A787),MONTH($A787),1),$A$5:$A$800,"&lt;="&amp;$A787)+IF(AND(YEAR($A787)=YEAR(Settings!$B$3),MONTH($A787)=MONTH(Settings!$B$3)),Settings!$B$14,0))</f>
        <v/>
      </c>
    </row>
    <row r="788">
      <c r="A788" s="67" t="n"/>
      <c r="B788" s="69" t="n"/>
      <c r="C788" s="69" t="n"/>
      <c r="D788" s="69" t="n"/>
      <c r="E788" s="84">
        <f>IF($A788="","",B788+C788+D788)</f>
        <v/>
      </c>
      <c r="F788" s="85">
        <f>IF($A788="","",SUMIFS($E$5:$E$800,$A$5:$A$800,"&gt;="&amp;DATE(YEAR($A788),MONTH($A788),1),$A$5:$A$800,"&lt;="&amp;$A788)+IF(AND(YEAR($A788)=YEAR(Settings!$B$3),MONTH($A788)=MONTH(Settings!$B$3)),Settings!$B$14,0))</f>
        <v/>
      </c>
    </row>
    <row r="789">
      <c r="A789" s="67" t="n"/>
      <c r="B789" s="69" t="n"/>
      <c r="C789" s="69" t="n"/>
      <c r="D789" s="69" t="n"/>
      <c r="E789" s="84">
        <f>IF($A789="","",B789+C789+D789)</f>
        <v/>
      </c>
      <c r="F789" s="85">
        <f>IF($A789="","",SUMIFS($E$5:$E$800,$A$5:$A$800,"&gt;="&amp;DATE(YEAR($A789),MONTH($A789),1),$A$5:$A$800,"&lt;="&amp;$A789)+IF(AND(YEAR($A789)=YEAR(Settings!$B$3),MONTH($A789)=MONTH(Settings!$B$3)),Settings!$B$14,0))</f>
        <v/>
      </c>
    </row>
    <row r="790">
      <c r="A790" s="67" t="n"/>
      <c r="B790" s="69" t="n"/>
      <c r="C790" s="69" t="n"/>
      <c r="D790" s="69" t="n"/>
      <c r="E790" s="84">
        <f>IF($A790="","",B790+C790+D790)</f>
        <v/>
      </c>
      <c r="F790" s="85">
        <f>IF($A790="","",SUMIFS($E$5:$E$800,$A$5:$A$800,"&gt;="&amp;DATE(YEAR($A790),MONTH($A790),1),$A$5:$A$800,"&lt;="&amp;$A790)+IF(AND(YEAR($A790)=YEAR(Settings!$B$3),MONTH($A790)=MONTH(Settings!$B$3)),Settings!$B$14,0))</f>
        <v/>
      </c>
    </row>
    <row r="791">
      <c r="A791" s="67" t="n"/>
      <c r="B791" s="69" t="n"/>
      <c r="C791" s="69" t="n"/>
      <c r="D791" s="69" t="n"/>
      <c r="E791" s="84">
        <f>IF($A791="","",B791+C791+D791)</f>
        <v/>
      </c>
      <c r="F791" s="85">
        <f>IF($A791="","",SUMIFS($E$5:$E$800,$A$5:$A$800,"&gt;="&amp;DATE(YEAR($A791),MONTH($A791),1),$A$5:$A$800,"&lt;="&amp;$A791)+IF(AND(YEAR($A791)=YEAR(Settings!$B$3),MONTH($A791)=MONTH(Settings!$B$3)),Settings!$B$14,0))</f>
        <v/>
      </c>
    </row>
    <row r="792">
      <c r="A792" s="67" t="n"/>
      <c r="B792" s="69" t="n"/>
      <c r="C792" s="69" t="n"/>
      <c r="D792" s="69" t="n"/>
      <c r="E792" s="84">
        <f>IF($A792="","",B792+C792+D792)</f>
        <v/>
      </c>
      <c r="F792" s="85">
        <f>IF($A792="","",SUMIFS($E$5:$E$800,$A$5:$A$800,"&gt;="&amp;DATE(YEAR($A792),MONTH($A792),1),$A$5:$A$800,"&lt;="&amp;$A792)+IF(AND(YEAR($A792)=YEAR(Settings!$B$3),MONTH($A792)=MONTH(Settings!$B$3)),Settings!$B$14,0))</f>
        <v/>
      </c>
    </row>
    <row r="793">
      <c r="A793" s="67" t="n"/>
      <c r="B793" s="69" t="n"/>
      <c r="C793" s="69" t="n"/>
      <c r="D793" s="69" t="n"/>
      <c r="E793" s="84">
        <f>IF($A793="","",B793+C793+D793)</f>
        <v/>
      </c>
      <c r="F793" s="85">
        <f>IF($A793="","",SUMIFS($E$5:$E$800,$A$5:$A$800,"&gt;="&amp;DATE(YEAR($A793),MONTH($A793),1),$A$5:$A$800,"&lt;="&amp;$A793)+IF(AND(YEAR($A793)=YEAR(Settings!$B$3),MONTH($A793)=MONTH(Settings!$B$3)),Settings!$B$14,0))</f>
        <v/>
      </c>
    </row>
    <row r="794">
      <c r="A794" s="67" t="n"/>
      <c r="B794" s="69" t="n"/>
      <c r="C794" s="69" t="n"/>
      <c r="D794" s="69" t="n"/>
      <c r="E794" s="84">
        <f>IF($A794="","",B794+C794+D794)</f>
        <v/>
      </c>
      <c r="F794" s="85">
        <f>IF($A794="","",SUMIFS($E$5:$E$800,$A$5:$A$800,"&gt;="&amp;DATE(YEAR($A794),MONTH($A794),1),$A$5:$A$800,"&lt;="&amp;$A794)+IF(AND(YEAR($A794)=YEAR(Settings!$B$3),MONTH($A794)=MONTH(Settings!$B$3)),Settings!$B$14,0))</f>
        <v/>
      </c>
    </row>
    <row r="795">
      <c r="A795" s="67" t="n"/>
      <c r="B795" s="69" t="n"/>
      <c r="C795" s="69" t="n"/>
      <c r="D795" s="69" t="n"/>
      <c r="E795" s="84">
        <f>IF($A795="","",B795+C795+D795)</f>
        <v/>
      </c>
      <c r="F795" s="85">
        <f>IF($A795="","",SUMIFS($E$5:$E$800,$A$5:$A$800,"&gt;="&amp;DATE(YEAR($A795),MONTH($A795),1),$A$5:$A$800,"&lt;="&amp;$A795)+IF(AND(YEAR($A795)=YEAR(Settings!$B$3),MONTH($A795)=MONTH(Settings!$B$3)),Settings!$B$14,0))</f>
        <v/>
      </c>
    </row>
    <row r="796">
      <c r="A796" s="67" t="n"/>
      <c r="B796" s="69" t="n"/>
      <c r="C796" s="69" t="n"/>
      <c r="D796" s="69" t="n"/>
      <c r="E796" s="84">
        <f>IF($A796="","",B796+C796+D796)</f>
        <v/>
      </c>
      <c r="F796" s="85">
        <f>IF($A796="","",SUMIFS($E$5:$E$800,$A$5:$A$800,"&gt;="&amp;DATE(YEAR($A796),MONTH($A796),1),$A$5:$A$800,"&lt;="&amp;$A796)+IF(AND(YEAR($A796)=YEAR(Settings!$B$3),MONTH($A796)=MONTH(Settings!$B$3)),Settings!$B$14,0))</f>
        <v/>
      </c>
    </row>
    <row r="797">
      <c r="A797" s="67" t="n"/>
      <c r="B797" s="69" t="n"/>
      <c r="C797" s="69" t="n"/>
      <c r="D797" s="69" t="n"/>
      <c r="E797" s="84">
        <f>IF($A797="","",B797+C797+D797)</f>
        <v/>
      </c>
      <c r="F797" s="85">
        <f>IF($A797="","",SUMIFS($E$5:$E$800,$A$5:$A$800,"&gt;="&amp;DATE(YEAR($A797),MONTH($A797),1),$A$5:$A$800,"&lt;="&amp;$A797)+IF(AND(YEAR($A797)=YEAR(Settings!$B$3),MONTH($A797)=MONTH(Settings!$B$3)),Settings!$B$14,0))</f>
        <v/>
      </c>
    </row>
    <row r="798">
      <c r="A798" s="67" t="n"/>
      <c r="B798" s="69" t="n"/>
      <c r="C798" s="69" t="n"/>
      <c r="D798" s="69" t="n"/>
      <c r="E798" s="84">
        <f>IF($A798="","",B798+C798+D798)</f>
        <v/>
      </c>
      <c r="F798" s="85">
        <f>IF($A798="","",SUMIFS($E$5:$E$800,$A$5:$A$800,"&gt;="&amp;DATE(YEAR($A798),MONTH($A798),1),$A$5:$A$800,"&lt;="&amp;$A798)+IF(AND(YEAR($A798)=YEAR(Settings!$B$3),MONTH($A798)=MONTH(Settings!$B$3)),Settings!$B$14,0))</f>
        <v/>
      </c>
    </row>
    <row r="799">
      <c r="A799" s="67" t="n"/>
      <c r="B799" s="69" t="n"/>
      <c r="C799" s="69" t="n"/>
      <c r="D799" s="69" t="n"/>
      <c r="E799" s="84">
        <f>IF($A799="","",B799+C799+D799)</f>
        <v/>
      </c>
      <c r="F799" s="85">
        <f>IF($A799="","",SUMIFS($E$5:$E$800,$A$5:$A$800,"&gt;="&amp;DATE(YEAR($A799),MONTH($A799),1),$A$5:$A$800,"&lt;="&amp;$A799)+IF(AND(YEAR($A799)=YEAR(Settings!$B$3),MONTH($A799)=MONTH(Settings!$B$3)),Settings!$B$14,0))</f>
        <v/>
      </c>
    </row>
    <row r="800">
      <c r="A800" s="67" t="n"/>
      <c r="B800" s="69" t="n"/>
      <c r="C800" s="69" t="n"/>
      <c r="D800" s="69" t="n"/>
      <c r="E800" s="84">
        <f>IF($A800="","",B800+C800+D800)</f>
        <v/>
      </c>
      <c r="F800" s="85">
        <f>IF($A800="","",SUMIFS($E$5:$E$800,$A$5:$A$800,"&gt;="&amp;DATE(YEAR($A800),MONTH($A800),1),$A$5:$A$800,"&lt;="&amp;$A800)+IF(AND(YEAR($A800)=YEAR(Settings!$B$3),MONTH($A800)=MONTH(Settings!$B$3)),Settings!$B$14,0))</f>
        <v/>
      </c>
    </row>
  </sheetData>
  <dataValidations count="2">
    <dataValidation sqref="A5:A800" showDropDown="0" showInputMessage="0" showErrorMessage="1" allowBlank="0" error="Enter a valid date" type="date" operator="greaterThan">
      <formula1>DATE(2000,1,1)</formula1>
    </dataValidation>
    <dataValidation sqref="B5:D800" showDropDown="0" showInputMessage="0" showErrorMessage="1" allowBlank="0" error="Enter a number ≥ 0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00" customWidth="1" min="3" max="3"/>
  </cols>
  <sheetData>
    <row r="1">
      <c r="A1" s="60" t="inlineStr">
        <is>
          <t>SETTINGS – fill once when you start using this file</t>
        </is>
      </c>
    </row>
    <row r="3">
      <c r="A3" s="86" t="inlineStr">
        <is>
          <t>Start date (first day entered)</t>
        </is>
      </c>
      <c r="B3" s="67" t="n">
        <v>46296</v>
      </c>
      <c r="C3" s="87" t="inlineStr">
        <is>
          <t>First row in the daily sheets: 01-10-2026.</t>
        </is>
      </c>
    </row>
    <row r="4">
      <c r="A4" s="86" t="inlineStr">
        <is>
          <t>Boulder stock at start of first day (MT)</t>
        </is>
      </c>
      <c r="B4" s="68" t="n">
        <v>355</v>
      </c>
      <c r="C4" s="87" t="inlineStr">
        <is>
          <t>Back-calculated from the 01-10 report: closing 235 = opening + 100 to stock − 220 crushed from stock → opening 355.</t>
        </is>
      </c>
    </row>
    <row r="5">
      <c r="A5" s="86" t="inlineStr">
        <is>
          <t>Starting avg MT per vehicle (report note)</t>
        </is>
      </c>
      <c r="B5" s="68" t="n">
        <v>20</v>
      </c>
      <c r="C5" s="87" t="inlineStr">
        <is>
          <t>Used for the report Note only until the first day with trips. After that the Note averages are worked out from MT ÷ trips.</t>
        </is>
      </c>
    </row>
    <row r="6">
      <c r="A6" s="86" t="inlineStr">
        <is>
          <t>OPENING – Boulder received this month before start date (MT)</t>
        </is>
      </c>
      <c r="B6" s="68" t="n">
        <v>0</v>
      </c>
      <c r="C6" s="87" t="inlineStr">
        <is>
          <t>Start date is the 1st, so nothing before it this month.</t>
        </is>
      </c>
    </row>
    <row r="7">
      <c r="A7" s="86" t="inlineStr">
        <is>
          <t>OPENING – Boulder received this month before start date (Trips)</t>
        </is>
      </c>
      <c r="B7" s="69" t="n">
        <v>0</v>
      </c>
      <c r="C7" s="87" t="inlineStr"/>
    </row>
    <row r="8">
      <c r="A8" s="86" t="inlineStr">
        <is>
          <t>OPENING – Cumulative production before start date (MT)</t>
        </is>
      </c>
      <c r="B8" s="68" t="n">
        <v>67417.5</v>
      </c>
      <c r="C8" s="87" t="inlineStr">
        <is>
          <t>01-10 report: 67882.320 cumulative − 464.820 received on 1st.</t>
        </is>
      </c>
    </row>
    <row r="9">
      <c r="A9" s="86" t="inlineStr">
        <is>
          <t>OPENING – Cumulative production before start date (Trips)</t>
        </is>
      </c>
      <c r="B9" s="69" t="n">
        <v>2864</v>
      </c>
      <c r="C9" s="87" t="inlineStr">
        <is>
          <t>2883 − 19.</t>
        </is>
      </c>
    </row>
    <row r="10">
      <c r="A10" s="86" t="inlineStr">
        <is>
          <t>OPENING – Aggregate dispatch this month before start date (MT)</t>
        </is>
      </c>
      <c r="B10" s="68" t="n">
        <v>0</v>
      </c>
      <c r="C10" s="87" t="inlineStr"/>
    </row>
    <row r="11">
      <c r="A11" s="86" t="inlineStr">
        <is>
          <t>OPENING – Aggregate dispatch this month before start date (Trips)</t>
        </is>
      </c>
      <c r="B11" s="69" t="n">
        <v>0</v>
      </c>
      <c r="C11" s="87" t="inlineStr"/>
    </row>
    <row r="12">
      <c r="A12" s="86" t="inlineStr">
        <is>
          <t>OPENING – M-Sand dispatch this month before start date (MT)</t>
        </is>
      </c>
      <c r="B12" s="68" t="n">
        <v>0</v>
      </c>
      <c r="C12" s="87" t="inlineStr"/>
    </row>
    <row r="13">
      <c r="A13" s="86" t="inlineStr">
        <is>
          <t>OPENING – M-Sand dispatch this month before start date (Trips)</t>
        </is>
      </c>
      <c r="B13" s="69" t="n">
        <v>0</v>
      </c>
      <c r="C13" s="87" t="inlineStr"/>
    </row>
    <row r="14">
      <c r="A14" s="86" t="inlineStr">
        <is>
          <t>OPENING – Diesel this month before start date (Ltr)</t>
        </is>
      </c>
      <c r="B14" s="69" t="n">
        <v>0</v>
      </c>
      <c r="C14" s="87" t="inlineStr">
        <is>
          <t>Month diesel = sum of diesel received (confirmed by the reports: 294 → 625 → 900 → … → 2422).</t>
        </is>
      </c>
    </row>
    <row r="15">
      <c r="A15" s="86" t="inlineStr">
        <is>
          <t>Prepared by</t>
        </is>
      </c>
      <c r="B15" s="88" t="inlineStr">
        <is>
          <t>Hemant Shukla</t>
        </is>
      </c>
      <c r="C15" s="87" t="inlineStr">
        <is>
          <t>Name printed at the bottom of the report.</t>
        </is>
      </c>
    </row>
    <row r="18">
      <c r="A18" s="89" t="inlineStr">
        <is>
          <t>Legend:</t>
        </is>
      </c>
    </row>
    <row r="19">
      <c r="A19" s="90" t="inlineStr">
        <is>
          <t>Yellow cells, blue text = you type</t>
        </is>
      </c>
    </row>
    <row r="20">
      <c r="A20" s="91" t="inlineStr">
        <is>
          <t>Green cells, black text = formula (don't type)</t>
        </is>
      </c>
    </row>
    <row r="21">
      <c r="A21" t="inlineStr">
        <is>
          <t>Opening values only apply to the start month; next month starts from zero. Cumulative never resets.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4" customWidth="1" min="16" max="16"/>
  </cols>
  <sheetData>
    <row r="1">
      <c r="A1" s="89" t="inlineStr">
        <is>
          <t>Date</t>
        </is>
      </c>
      <c r="B1" s="89" t="inlineStr">
        <is>
          <t>Direct to Hopper</t>
        </is>
      </c>
      <c r="C1" s="89" t="inlineStr">
        <is>
          <t>Crushed from Stock</t>
        </is>
      </c>
      <c r="D1" s="89" t="inlineStr">
        <is>
          <t>Closing Stock</t>
        </is>
      </c>
      <c r="E1" s="89" t="inlineStr">
        <is>
          <t>10 MM</t>
        </is>
      </c>
      <c r="F1" s="89" t="inlineStr">
        <is>
          <t>20 MM</t>
        </is>
      </c>
      <c r="G1" s="89" t="inlineStr">
        <is>
          <t>30 MM</t>
        </is>
      </c>
      <c r="H1" s="89" t="inlineStr">
        <is>
          <t>M-Sand</t>
        </is>
      </c>
      <c r="I1" s="89" t="inlineStr">
        <is>
          <t>Primary Section</t>
        </is>
      </c>
      <c r="J1" s="89" t="inlineStr">
        <is>
          <t>Secondary Section</t>
        </is>
      </c>
      <c r="K1" s="89" t="inlineStr">
        <is>
          <t>Diesel Received</t>
        </is>
      </c>
      <c r="M1" t="inlineStr">
        <is>
          <t>Material</t>
        </is>
      </c>
      <c r="N1" t="inlineStr">
        <is>
          <t>This Month MT</t>
        </is>
      </c>
      <c r="P1" t="inlineStr">
        <is>
          <t>Latest</t>
        </is>
      </c>
    </row>
    <row r="2">
      <c r="A2" s="92">
        <f>Dashboard!$E$2-14</f>
        <v/>
      </c>
      <c r="B2">
        <f>SUMIFS('Daily Boulder'!$D$5:$D$800,'Daily Boulder'!$A$5:$A$800,$A2)</f>
        <v/>
      </c>
      <c r="C2">
        <f>SUMIFS('Daily Boulder'!$F$5:$F$800,'Daily Boulder'!$A$5:$A$800,$A2)</f>
        <v/>
      </c>
      <c r="D2">
        <f>SUMIFS('Daily Boulder'!$R$5:$R$800,'Daily Boulder'!$A$5:$A$800,$A2)</f>
        <v/>
      </c>
      <c r="E2">
        <f>SUMIFS('Daily Dispatch'!$B$5:$B$800,'Daily Dispatch'!$A$5:$A$800,$A2)</f>
        <v/>
      </c>
      <c r="F2">
        <f>SUMIFS('Daily Dispatch'!$D$5:$D$800,'Daily Dispatch'!$A$5:$A$800,$A2)</f>
        <v/>
      </c>
      <c r="G2">
        <f>SUMIFS('Daily Dispatch'!$F$5:$F$800,'Daily Dispatch'!$A$5:$A$800,$A2)</f>
        <v/>
      </c>
      <c r="H2">
        <f>SUMIFS('Daily Dispatch'!$H$5:$H$800,'Daily Dispatch'!$A$5:$A$800,$A2)</f>
        <v/>
      </c>
      <c r="I2">
        <f>SUMIFS('Hours &amp; Remarks'!$B$5:$B$800,'Hours &amp; Remarks'!$A$5:$A$800,$A2)</f>
        <v/>
      </c>
      <c r="J2">
        <f>SUMIFS('Hours &amp; Remarks'!$C$5:$C$800,'Hours &amp; Remarks'!$A$5:$A$800,$A2)</f>
        <v/>
      </c>
      <c r="K2">
        <f>SUMIFS(Diesel!$E$5:$E$800,Diesel!$A$5:$A$800,$A2)</f>
        <v/>
      </c>
      <c r="M2" t="inlineStr">
        <is>
          <t>Aggregate</t>
        </is>
      </c>
      <c r="N2">
        <f>IF(ISNUMBER(Dashboard!$G$17),Dashboard!$G$17,0)</f>
        <v/>
      </c>
      <c r="P2">
        <f>IFERROR(TEXT(LARGE('Daily Boulder'!$A$5:$A$800,1),"dd-mmm-yyyy"),"")</f>
        <v/>
      </c>
    </row>
    <row r="3">
      <c r="A3" s="92">
        <f>Dashboard!$E$2-13</f>
        <v/>
      </c>
      <c r="B3">
        <f>SUMIFS('Daily Boulder'!$D$5:$D$800,'Daily Boulder'!$A$5:$A$800,$A3)</f>
        <v/>
      </c>
      <c r="C3">
        <f>SUMIFS('Daily Boulder'!$F$5:$F$800,'Daily Boulder'!$A$5:$A$800,$A3)</f>
        <v/>
      </c>
      <c r="D3">
        <f>SUMIFS('Daily Boulder'!$R$5:$R$800,'Daily Boulder'!$A$5:$A$800,$A3)</f>
        <v/>
      </c>
      <c r="E3">
        <f>SUMIFS('Daily Dispatch'!$B$5:$B$800,'Daily Dispatch'!$A$5:$A$800,$A3)</f>
        <v/>
      </c>
      <c r="F3">
        <f>SUMIFS('Daily Dispatch'!$D$5:$D$800,'Daily Dispatch'!$A$5:$A$800,$A3)</f>
        <v/>
      </c>
      <c r="G3">
        <f>SUMIFS('Daily Dispatch'!$F$5:$F$800,'Daily Dispatch'!$A$5:$A$800,$A3)</f>
        <v/>
      </c>
      <c r="H3">
        <f>SUMIFS('Daily Dispatch'!$H$5:$H$800,'Daily Dispatch'!$A$5:$A$800,$A3)</f>
        <v/>
      </c>
      <c r="I3">
        <f>SUMIFS('Hours &amp; Remarks'!$B$5:$B$800,'Hours &amp; Remarks'!$A$5:$A$800,$A3)</f>
        <v/>
      </c>
      <c r="J3">
        <f>SUMIFS('Hours &amp; Remarks'!$C$5:$C$800,'Hours &amp; Remarks'!$A$5:$A$800,$A3)</f>
        <v/>
      </c>
      <c r="K3">
        <f>SUMIFS(Diesel!$E$5:$E$800,Diesel!$A$5:$A$800,$A3)</f>
        <v/>
      </c>
      <c r="M3" t="inlineStr">
        <is>
          <t>M-Sand</t>
        </is>
      </c>
      <c r="N3">
        <f>IF(ISNUMBER(Dashboard!$G$18),Dashboard!$G$18,0)</f>
        <v/>
      </c>
      <c r="P3">
        <f>IFERROR(TEXT(LARGE('Daily Boulder'!$A$5:$A$800,2),"dd-mmm-yyyy"),"")</f>
        <v/>
      </c>
    </row>
    <row r="4">
      <c r="A4" s="92">
        <f>Dashboard!$E$2-12</f>
        <v/>
      </c>
      <c r="B4">
        <f>SUMIFS('Daily Boulder'!$D$5:$D$800,'Daily Boulder'!$A$5:$A$800,$A4)</f>
        <v/>
      </c>
      <c r="C4">
        <f>SUMIFS('Daily Boulder'!$F$5:$F$800,'Daily Boulder'!$A$5:$A$800,$A4)</f>
        <v/>
      </c>
      <c r="D4">
        <f>SUMIFS('Daily Boulder'!$R$5:$R$800,'Daily Boulder'!$A$5:$A$800,$A4)</f>
        <v/>
      </c>
      <c r="E4">
        <f>SUMIFS('Daily Dispatch'!$B$5:$B$800,'Daily Dispatch'!$A$5:$A$800,$A4)</f>
        <v/>
      </c>
      <c r="F4">
        <f>SUMIFS('Daily Dispatch'!$D$5:$D$800,'Daily Dispatch'!$A$5:$A$800,$A4)</f>
        <v/>
      </c>
      <c r="G4">
        <f>SUMIFS('Daily Dispatch'!$F$5:$F$800,'Daily Dispatch'!$A$5:$A$800,$A4)</f>
        <v/>
      </c>
      <c r="H4">
        <f>SUMIFS('Daily Dispatch'!$H$5:$H$800,'Daily Dispatch'!$A$5:$A$800,$A4)</f>
        <v/>
      </c>
      <c r="I4">
        <f>SUMIFS('Hours &amp; Remarks'!$B$5:$B$800,'Hours &amp; Remarks'!$A$5:$A$800,$A4)</f>
        <v/>
      </c>
      <c r="J4">
        <f>SUMIFS('Hours &amp; Remarks'!$C$5:$C$800,'Hours &amp; Remarks'!$A$5:$A$800,$A4)</f>
        <v/>
      </c>
      <c r="K4">
        <f>SUMIFS(Diesel!$E$5:$E$800,Diesel!$A$5:$A$800,$A4)</f>
        <v/>
      </c>
      <c r="P4">
        <f>IFERROR(TEXT(LARGE('Daily Boulder'!$A$5:$A$800,3),"dd-mmm-yyyy"),"")</f>
        <v/>
      </c>
    </row>
    <row r="5">
      <c r="A5" s="92">
        <f>Dashboard!$E$2-11</f>
        <v/>
      </c>
      <c r="B5">
        <f>SUMIFS('Daily Boulder'!$D$5:$D$800,'Daily Boulder'!$A$5:$A$800,$A5)</f>
        <v/>
      </c>
      <c r="C5">
        <f>SUMIFS('Daily Boulder'!$F$5:$F$800,'Daily Boulder'!$A$5:$A$800,$A5)</f>
        <v/>
      </c>
      <c r="D5">
        <f>SUMIFS('Daily Boulder'!$R$5:$R$800,'Daily Boulder'!$A$5:$A$800,$A5)</f>
        <v/>
      </c>
      <c r="E5">
        <f>SUMIFS('Daily Dispatch'!$B$5:$B$800,'Daily Dispatch'!$A$5:$A$800,$A5)</f>
        <v/>
      </c>
      <c r="F5">
        <f>SUMIFS('Daily Dispatch'!$D$5:$D$800,'Daily Dispatch'!$A$5:$A$800,$A5)</f>
        <v/>
      </c>
      <c r="G5">
        <f>SUMIFS('Daily Dispatch'!$F$5:$F$800,'Daily Dispatch'!$A$5:$A$800,$A5)</f>
        <v/>
      </c>
      <c r="H5">
        <f>SUMIFS('Daily Dispatch'!$H$5:$H$800,'Daily Dispatch'!$A$5:$A$800,$A5)</f>
        <v/>
      </c>
      <c r="I5">
        <f>SUMIFS('Hours &amp; Remarks'!$B$5:$B$800,'Hours &amp; Remarks'!$A$5:$A$800,$A5)</f>
        <v/>
      </c>
      <c r="J5">
        <f>SUMIFS('Hours &amp; Remarks'!$C$5:$C$800,'Hours &amp; Remarks'!$A$5:$A$800,$A5)</f>
        <v/>
      </c>
      <c r="K5">
        <f>SUMIFS(Diesel!$E$5:$E$800,Diesel!$A$5:$A$800,$A5)</f>
        <v/>
      </c>
      <c r="P5">
        <f>IFERROR(TEXT(LARGE('Daily Boulder'!$A$5:$A$800,4),"dd-mmm-yyyy"),"")</f>
        <v/>
      </c>
    </row>
    <row r="6">
      <c r="A6" s="92">
        <f>Dashboard!$E$2-10</f>
        <v/>
      </c>
      <c r="B6">
        <f>SUMIFS('Daily Boulder'!$D$5:$D$800,'Daily Boulder'!$A$5:$A$800,$A6)</f>
        <v/>
      </c>
      <c r="C6">
        <f>SUMIFS('Daily Boulder'!$F$5:$F$800,'Daily Boulder'!$A$5:$A$800,$A6)</f>
        <v/>
      </c>
      <c r="D6">
        <f>SUMIFS('Daily Boulder'!$R$5:$R$800,'Daily Boulder'!$A$5:$A$800,$A6)</f>
        <v/>
      </c>
      <c r="E6">
        <f>SUMIFS('Daily Dispatch'!$B$5:$B$800,'Daily Dispatch'!$A$5:$A$800,$A6)</f>
        <v/>
      </c>
      <c r="F6">
        <f>SUMIFS('Daily Dispatch'!$D$5:$D$800,'Daily Dispatch'!$A$5:$A$800,$A6)</f>
        <v/>
      </c>
      <c r="G6">
        <f>SUMIFS('Daily Dispatch'!$F$5:$F$800,'Daily Dispatch'!$A$5:$A$800,$A6)</f>
        <v/>
      </c>
      <c r="H6">
        <f>SUMIFS('Daily Dispatch'!$H$5:$H$800,'Daily Dispatch'!$A$5:$A$800,$A6)</f>
        <v/>
      </c>
      <c r="I6">
        <f>SUMIFS('Hours &amp; Remarks'!$B$5:$B$800,'Hours &amp; Remarks'!$A$5:$A$800,$A6)</f>
        <v/>
      </c>
      <c r="J6">
        <f>SUMIFS('Hours &amp; Remarks'!$C$5:$C$800,'Hours &amp; Remarks'!$A$5:$A$800,$A6)</f>
        <v/>
      </c>
      <c r="K6">
        <f>SUMIFS(Diesel!$E$5:$E$800,Diesel!$A$5:$A$800,$A6)</f>
        <v/>
      </c>
      <c r="P6">
        <f>IFERROR(TEXT(LARGE('Daily Boulder'!$A$5:$A$800,5),"dd-mmm-yyyy"),"")</f>
        <v/>
      </c>
    </row>
    <row r="7">
      <c r="A7" s="92">
        <f>Dashboard!$E$2-9</f>
        <v/>
      </c>
      <c r="B7">
        <f>SUMIFS('Daily Boulder'!$D$5:$D$800,'Daily Boulder'!$A$5:$A$800,$A7)</f>
        <v/>
      </c>
      <c r="C7">
        <f>SUMIFS('Daily Boulder'!$F$5:$F$800,'Daily Boulder'!$A$5:$A$800,$A7)</f>
        <v/>
      </c>
      <c r="D7">
        <f>SUMIFS('Daily Boulder'!$R$5:$R$800,'Daily Boulder'!$A$5:$A$800,$A7)</f>
        <v/>
      </c>
      <c r="E7">
        <f>SUMIFS('Daily Dispatch'!$B$5:$B$800,'Daily Dispatch'!$A$5:$A$800,$A7)</f>
        <v/>
      </c>
      <c r="F7">
        <f>SUMIFS('Daily Dispatch'!$D$5:$D$800,'Daily Dispatch'!$A$5:$A$800,$A7)</f>
        <v/>
      </c>
      <c r="G7">
        <f>SUMIFS('Daily Dispatch'!$F$5:$F$800,'Daily Dispatch'!$A$5:$A$800,$A7)</f>
        <v/>
      </c>
      <c r="H7">
        <f>SUMIFS('Daily Dispatch'!$H$5:$H$800,'Daily Dispatch'!$A$5:$A$800,$A7)</f>
        <v/>
      </c>
      <c r="I7">
        <f>SUMIFS('Hours &amp; Remarks'!$B$5:$B$800,'Hours &amp; Remarks'!$A$5:$A$800,$A7)</f>
        <v/>
      </c>
      <c r="J7">
        <f>SUMIFS('Hours &amp; Remarks'!$C$5:$C$800,'Hours &amp; Remarks'!$A$5:$A$800,$A7)</f>
        <v/>
      </c>
      <c r="K7">
        <f>SUMIFS(Diesel!$E$5:$E$800,Diesel!$A$5:$A$800,$A7)</f>
        <v/>
      </c>
      <c r="P7">
        <f>IFERROR(TEXT(LARGE('Daily Boulder'!$A$5:$A$800,6),"dd-mmm-yyyy"),"")</f>
        <v/>
      </c>
    </row>
    <row r="8">
      <c r="A8" s="92">
        <f>Dashboard!$E$2-8</f>
        <v/>
      </c>
      <c r="B8">
        <f>SUMIFS('Daily Boulder'!$D$5:$D$800,'Daily Boulder'!$A$5:$A$800,$A8)</f>
        <v/>
      </c>
      <c r="C8">
        <f>SUMIFS('Daily Boulder'!$F$5:$F$800,'Daily Boulder'!$A$5:$A$800,$A8)</f>
        <v/>
      </c>
      <c r="D8">
        <f>SUMIFS('Daily Boulder'!$R$5:$R$800,'Daily Boulder'!$A$5:$A$800,$A8)</f>
        <v/>
      </c>
      <c r="E8">
        <f>SUMIFS('Daily Dispatch'!$B$5:$B$800,'Daily Dispatch'!$A$5:$A$800,$A8)</f>
        <v/>
      </c>
      <c r="F8">
        <f>SUMIFS('Daily Dispatch'!$D$5:$D$800,'Daily Dispatch'!$A$5:$A$800,$A8)</f>
        <v/>
      </c>
      <c r="G8">
        <f>SUMIFS('Daily Dispatch'!$F$5:$F$800,'Daily Dispatch'!$A$5:$A$800,$A8)</f>
        <v/>
      </c>
      <c r="H8">
        <f>SUMIFS('Daily Dispatch'!$H$5:$H$800,'Daily Dispatch'!$A$5:$A$800,$A8)</f>
        <v/>
      </c>
      <c r="I8">
        <f>SUMIFS('Hours &amp; Remarks'!$B$5:$B$800,'Hours &amp; Remarks'!$A$5:$A$800,$A8)</f>
        <v/>
      </c>
      <c r="J8">
        <f>SUMIFS('Hours &amp; Remarks'!$C$5:$C$800,'Hours &amp; Remarks'!$A$5:$A$800,$A8)</f>
        <v/>
      </c>
      <c r="K8">
        <f>SUMIFS(Diesel!$E$5:$E$800,Diesel!$A$5:$A$800,$A8)</f>
        <v/>
      </c>
      <c r="P8">
        <f>IFERROR(TEXT(LARGE('Daily Boulder'!$A$5:$A$800,7),"dd-mmm-yyyy"),"")</f>
        <v/>
      </c>
    </row>
    <row r="9">
      <c r="A9" s="92">
        <f>Dashboard!$E$2-7</f>
        <v/>
      </c>
      <c r="B9">
        <f>SUMIFS('Daily Boulder'!$D$5:$D$800,'Daily Boulder'!$A$5:$A$800,$A9)</f>
        <v/>
      </c>
      <c r="C9">
        <f>SUMIFS('Daily Boulder'!$F$5:$F$800,'Daily Boulder'!$A$5:$A$800,$A9)</f>
        <v/>
      </c>
      <c r="D9">
        <f>SUMIFS('Daily Boulder'!$R$5:$R$800,'Daily Boulder'!$A$5:$A$800,$A9)</f>
        <v/>
      </c>
      <c r="E9">
        <f>SUMIFS('Daily Dispatch'!$B$5:$B$800,'Daily Dispatch'!$A$5:$A$800,$A9)</f>
        <v/>
      </c>
      <c r="F9">
        <f>SUMIFS('Daily Dispatch'!$D$5:$D$800,'Daily Dispatch'!$A$5:$A$800,$A9)</f>
        <v/>
      </c>
      <c r="G9">
        <f>SUMIFS('Daily Dispatch'!$F$5:$F$800,'Daily Dispatch'!$A$5:$A$800,$A9)</f>
        <v/>
      </c>
      <c r="H9">
        <f>SUMIFS('Daily Dispatch'!$H$5:$H$800,'Daily Dispatch'!$A$5:$A$800,$A9)</f>
        <v/>
      </c>
      <c r="I9">
        <f>SUMIFS('Hours &amp; Remarks'!$B$5:$B$800,'Hours &amp; Remarks'!$A$5:$A$800,$A9)</f>
        <v/>
      </c>
      <c r="J9">
        <f>SUMIFS('Hours &amp; Remarks'!$C$5:$C$800,'Hours &amp; Remarks'!$A$5:$A$800,$A9)</f>
        <v/>
      </c>
      <c r="K9">
        <f>SUMIFS(Diesel!$E$5:$E$800,Diesel!$A$5:$A$800,$A9)</f>
        <v/>
      </c>
      <c r="P9">
        <f>IFERROR(TEXT(LARGE('Daily Boulder'!$A$5:$A$800,8),"dd-mmm-yyyy"),"")</f>
        <v/>
      </c>
    </row>
    <row r="10">
      <c r="A10" s="92">
        <f>Dashboard!$E$2-6</f>
        <v/>
      </c>
      <c r="B10">
        <f>SUMIFS('Daily Boulder'!$D$5:$D$800,'Daily Boulder'!$A$5:$A$800,$A10)</f>
        <v/>
      </c>
      <c r="C10">
        <f>SUMIFS('Daily Boulder'!$F$5:$F$800,'Daily Boulder'!$A$5:$A$800,$A10)</f>
        <v/>
      </c>
      <c r="D10">
        <f>SUMIFS('Daily Boulder'!$R$5:$R$800,'Daily Boulder'!$A$5:$A$800,$A10)</f>
        <v/>
      </c>
      <c r="E10">
        <f>SUMIFS('Daily Dispatch'!$B$5:$B$800,'Daily Dispatch'!$A$5:$A$800,$A10)</f>
        <v/>
      </c>
      <c r="F10">
        <f>SUMIFS('Daily Dispatch'!$D$5:$D$800,'Daily Dispatch'!$A$5:$A$800,$A10)</f>
        <v/>
      </c>
      <c r="G10">
        <f>SUMIFS('Daily Dispatch'!$F$5:$F$800,'Daily Dispatch'!$A$5:$A$800,$A10)</f>
        <v/>
      </c>
      <c r="H10">
        <f>SUMIFS('Daily Dispatch'!$H$5:$H$800,'Daily Dispatch'!$A$5:$A$800,$A10)</f>
        <v/>
      </c>
      <c r="I10">
        <f>SUMIFS('Hours &amp; Remarks'!$B$5:$B$800,'Hours &amp; Remarks'!$A$5:$A$800,$A10)</f>
        <v/>
      </c>
      <c r="J10">
        <f>SUMIFS('Hours &amp; Remarks'!$C$5:$C$800,'Hours &amp; Remarks'!$A$5:$A$800,$A10)</f>
        <v/>
      </c>
      <c r="K10">
        <f>SUMIFS(Diesel!$E$5:$E$800,Diesel!$A$5:$A$800,$A10)</f>
        <v/>
      </c>
      <c r="P10">
        <f>IFERROR(TEXT(LARGE('Daily Boulder'!$A$5:$A$800,9),"dd-mmm-yyyy"),"")</f>
        <v/>
      </c>
    </row>
    <row r="11">
      <c r="A11" s="92">
        <f>Dashboard!$E$2-5</f>
        <v/>
      </c>
      <c r="B11">
        <f>SUMIFS('Daily Boulder'!$D$5:$D$800,'Daily Boulder'!$A$5:$A$800,$A11)</f>
        <v/>
      </c>
      <c r="C11">
        <f>SUMIFS('Daily Boulder'!$F$5:$F$800,'Daily Boulder'!$A$5:$A$800,$A11)</f>
        <v/>
      </c>
      <c r="D11">
        <f>SUMIFS('Daily Boulder'!$R$5:$R$800,'Daily Boulder'!$A$5:$A$800,$A11)</f>
        <v/>
      </c>
      <c r="E11">
        <f>SUMIFS('Daily Dispatch'!$B$5:$B$800,'Daily Dispatch'!$A$5:$A$800,$A11)</f>
        <v/>
      </c>
      <c r="F11">
        <f>SUMIFS('Daily Dispatch'!$D$5:$D$800,'Daily Dispatch'!$A$5:$A$800,$A11)</f>
        <v/>
      </c>
      <c r="G11">
        <f>SUMIFS('Daily Dispatch'!$F$5:$F$800,'Daily Dispatch'!$A$5:$A$800,$A11)</f>
        <v/>
      </c>
      <c r="H11">
        <f>SUMIFS('Daily Dispatch'!$H$5:$H$800,'Daily Dispatch'!$A$5:$A$800,$A11)</f>
        <v/>
      </c>
      <c r="I11">
        <f>SUMIFS('Hours &amp; Remarks'!$B$5:$B$800,'Hours &amp; Remarks'!$A$5:$A$800,$A11)</f>
        <v/>
      </c>
      <c r="J11">
        <f>SUMIFS('Hours &amp; Remarks'!$C$5:$C$800,'Hours &amp; Remarks'!$A$5:$A$800,$A11)</f>
        <v/>
      </c>
      <c r="K11">
        <f>SUMIFS(Diesel!$E$5:$E$800,Diesel!$A$5:$A$800,$A11)</f>
        <v/>
      </c>
      <c r="P11">
        <f>IFERROR(TEXT(LARGE('Daily Boulder'!$A$5:$A$800,10),"dd-mmm-yyyy"),"")</f>
        <v/>
      </c>
    </row>
    <row r="12">
      <c r="A12" s="92">
        <f>Dashboard!$E$2-4</f>
        <v/>
      </c>
      <c r="B12">
        <f>SUMIFS('Daily Boulder'!$D$5:$D$800,'Daily Boulder'!$A$5:$A$800,$A12)</f>
        <v/>
      </c>
      <c r="C12">
        <f>SUMIFS('Daily Boulder'!$F$5:$F$800,'Daily Boulder'!$A$5:$A$800,$A12)</f>
        <v/>
      </c>
      <c r="D12">
        <f>SUMIFS('Daily Boulder'!$R$5:$R$800,'Daily Boulder'!$A$5:$A$800,$A12)</f>
        <v/>
      </c>
      <c r="E12">
        <f>SUMIFS('Daily Dispatch'!$B$5:$B$800,'Daily Dispatch'!$A$5:$A$800,$A12)</f>
        <v/>
      </c>
      <c r="F12">
        <f>SUMIFS('Daily Dispatch'!$D$5:$D$800,'Daily Dispatch'!$A$5:$A$800,$A12)</f>
        <v/>
      </c>
      <c r="G12">
        <f>SUMIFS('Daily Dispatch'!$F$5:$F$800,'Daily Dispatch'!$A$5:$A$800,$A12)</f>
        <v/>
      </c>
      <c r="H12">
        <f>SUMIFS('Daily Dispatch'!$H$5:$H$800,'Daily Dispatch'!$A$5:$A$800,$A12)</f>
        <v/>
      </c>
      <c r="I12">
        <f>SUMIFS('Hours &amp; Remarks'!$B$5:$B$800,'Hours &amp; Remarks'!$A$5:$A$800,$A12)</f>
        <v/>
      </c>
      <c r="J12">
        <f>SUMIFS('Hours &amp; Remarks'!$C$5:$C$800,'Hours &amp; Remarks'!$A$5:$A$800,$A12)</f>
        <v/>
      </c>
      <c r="K12">
        <f>SUMIFS(Diesel!$E$5:$E$800,Diesel!$A$5:$A$800,$A12)</f>
        <v/>
      </c>
      <c r="P12">
        <f>IFERROR(TEXT(LARGE('Daily Boulder'!$A$5:$A$800,11),"dd-mmm-yyyy"),"")</f>
        <v/>
      </c>
    </row>
    <row r="13">
      <c r="A13" s="92">
        <f>Dashboard!$E$2-3</f>
        <v/>
      </c>
      <c r="B13">
        <f>SUMIFS('Daily Boulder'!$D$5:$D$800,'Daily Boulder'!$A$5:$A$800,$A13)</f>
        <v/>
      </c>
      <c r="C13">
        <f>SUMIFS('Daily Boulder'!$F$5:$F$800,'Daily Boulder'!$A$5:$A$800,$A13)</f>
        <v/>
      </c>
      <c r="D13">
        <f>SUMIFS('Daily Boulder'!$R$5:$R$800,'Daily Boulder'!$A$5:$A$800,$A13)</f>
        <v/>
      </c>
      <c r="E13">
        <f>SUMIFS('Daily Dispatch'!$B$5:$B$800,'Daily Dispatch'!$A$5:$A$800,$A13)</f>
        <v/>
      </c>
      <c r="F13">
        <f>SUMIFS('Daily Dispatch'!$D$5:$D$800,'Daily Dispatch'!$A$5:$A$800,$A13)</f>
        <v/>
      </c>
      <c r="G13">
        <f>SUMIFS('Daily Dispatch'!$F$5:$F$800,'Daily Dispatch'!$A$5:$A$800,$A13)</f>
        <v/>
      </c>
      <c r="H13">
        <f>SUMIFS('Daily Dispatch'!$H$5:$H$800,'Daily Dispatch'!$A$5:$A$800,$A13)</f>
        <v/>
      </c>
      <c r="I13">
        <f>SUMIFS('Hours &amp; Remarks'!$B$5:$B$800,'Hours &amp; Remarks'!$A$5:$A$800,$A13)</f>
        <v/>
      </c>
      <c r="J13">
        <f>SUMIFS('Hours &amp; Remarks'!$C$5:$C$800,'Hours &amp; Remarks'!$A$5:$A$800,$A13)</f>
        <v/>
      </c>
      <c r="K13">
        <f>SUMIFS(Diesel!$E$5:$E$800,Diesel!$A$5:$A$800,$A13)</f>
        <v/>
      </c>
      <c r="P13">
        <f>IFERROR(TEXT(LARGE('Daily Boulder'!$A$5:$A$800,12),"dd-mmm-yyyy"),"")</f>
        <v/>
      </c>
    </row>
    <row r="14">
      <c r="A14" s="92">
        <f>Dashboard!$E$2-2</f>
        <v/>
      </c>
      <c r="B14">
        <f>SUMIFS('Daily Boulder'!$D$5:$D$800,'Daily Boulder'!$A$5:$A$800,$A14)</f>
        <v/>
      </c>
      <c r="C14">
        <f>SUMIFS('Daily Boulder'!$F$5:$F$800,'Daily Boulder'!$A$5:$A$800,$A14)</f>
        <v/>
      </c>
      <c r="D14">
        <f>SUMIFS('Daily Boulder'!$R$5:$R$800,'Daily Boulder'!$A$5:$A$800,$A14)</f>
        <v/>
      </c>
      <c r="E14">
        <f>SUMIFS('Daily Dispatch'!$B$5:$B$800,'Daily Dispatch'!$A$5:$A$800,$A14)</f>
        <v/>
      </c>
      <c r="F14">
        <f>SUMIFS('Daily Dispatch'!$D$5:$D$800,'Daily Dispatch'!$A$5:$A$800,$A14)</f>
        <v/>
      </c>
      <c r="G14">
        <f>SUMIFS('Daily Dispatch'!$F$5:$F$800,'Daily Dispatch'!$A$5:$A$800,$A14)</f>
        <v/>
      </c>
      <c r="H14">
        <f>SUMIFS('Daily Dispatch'!$H$5:$H$800,'Daily Dispatch'!$A$5:$A$800,$A14)</f>
        <v/>
      </c>
      <c r="I14">
        <f>SUMIFS('Hours &amp; Remarks'!$B$5:$B$800,'Hours &amp; Remarks'!$A$5:$A$800,$A14)</f>
        <v/>
      </c>
      <c r="J14">
        <f>SUMIFS('Hours &amp; Remarks'!$C$5:$C$800,'Hours &amp; Remarks'!$A$5:$A$800,$A14)</f>
        <v/>
      </c>
      <c r="K14">
        <f>SUMIFS(Diesel!$E$5:$E$800,Diesel!$A$5:$A$800,$A14)</f>
        <v/>
      </c>
      <c r="P14">
        <f>IFERROR(TEXT(LARGE('Daily Boulder'!$A$5:$A$800,13),"dd-mmm-yyyy"),"")</f>
        <v/>
      </c>
    </row>
    <row r="15">
      <c r="A15" s="92">
        <f>Dashboard!$E$2-1</f>
        <v/>
      </c>
      <c r="B15">
        <f>SUMIFS('Daily Boulder'!$D$5:$D$800,'Daily Boulder'!$A$5:$A$800,$A15)</f>
        <v/>
      </c>
      <c r="C15">
        <f>SUMIFS('Daily Boulder'!$F$5:$F$800,'Daily Boulder'!$A$5:$A$800,$A15)</f>
        <v/>
      </c>
      <c r="D15">
        <f>SUMIFS('Daily Boulder'!$R$5:$R$800,'Daily Boulder'!$A$5:$A$800,$A15)</f>
        <v/>
      </c>
      <c r="E15">
        <f>SUMIFS('Daily Dispatch'!$B$5:$B$800,'Daily Dispatch'!$A$5:$A$800,$A15)</f>
        <v/>
      </c>
      <c r="F15">
        <f>SUMIFS('Daily Dispatch'!$D$5:$D$800,'Daily Dispatch'!$A$5:$A$800,$A15)</f>
        <v/>
      </c>
      <c r="G15">
        <f>SUMIFS('Daily Dispatch'!$F$5:$F$800,'Daily Dispatch'!$A$5:$A$800,$A15)</f>
        <v/>
      </c>
      <c r="H15">
        <f>SUMIFS('Daily Dispatch'!$H$5:$H$800,'Daily Dispatch'!$A$5:$A$800,$A15)</f>
        <v/>
      </c>
      <c r="I15">
        <f>SUMIFS('Hours &amp; Remarks'!$B$5:$B$800,'Hours &amp; Remarks'!$A$5:$A$800,$A15)</f>
        <v/>
      </c>
      <c r="J15">
        <f>SUMIFS('Hours &amp; Remarks'!$C$5:$C$800,'Hours &amp; Remarks'!$A$5:$A$800,$A15)</f>
        <v/>
      </c>
      <c r="K15">
        <f>SUMIFS(Diesel!$E$5:$E$800,Diesel!$A$5:$A$800,$A15)</f>
        <v/>
      </c>
      <c r="P15">
        <f>IFERROR(TEXT(LARGE('Daily Boulder'!$A$5:$A$800,14),"dd-mmm-yyyy"),"")</f>
        <v/>
      </c>
    </row>
    <row r="16">
      <c r="A16" s="92">
        <f>Dashboard!$E$2-0</f>
        <v/>
      </c>
      <c r="B16">
        <f>SUMIFS('Daily Boulder'!$D$5:$D$800,'Daily Boulder'!$A$5:$A$800,$A16)</f>
        <v/>
      </c>
      <c r="C16">
        <f>SUMIFS('Daily Boulder'!$F$5:$F$800,'Daily Boulder'!$A$5:$A$800,$A16)</f>
        <v/>
      </c>
      <c r="D16">
        <f>SUMIFS('Daily Boulder'!$R$5:$R$800,'Daily Boulder'!$A$5:$A$800,$A16)</f>
        <v/>
      </c>
      <c r="E16">
        <f>SUMIFS('Daily Dispatch'!$B$5:$B$800,'Daily Dispatch'!$A$5:$A$800,$A16)</f>
        <v/>
      </c>
      <c r="F16">
        <f>SUMIFS('Daily Dispatch'!$D$5:$D$800,'Daily Dispatch'!$A$5:$A$800,$A16)</f>
        <v/>
      </c>
      <c r="G16">
        <f>SUMIFS('Daily Dispatch'!$F$5:$F$800,'Daily Dispatch'!$A$5:$A$800,$A16)</f>
        <v/>
      </c>
      <c r="H16">
        <f>SUMIFS('Daily Dispatch'!$H$5:$H$800,'Daily Dispatch'!$A$5:$A$800,$A16)</f>
        <v/>
      </c>
      <c r="I16">
        <f>SUMIFS('Hours &amp; Remarks'!$B$5:$B$800,'Hours &amp; Remarks'!$A$5:$A$800,$A16)</f>
        <v/>
      </c>
      <c r="J16">
        <f>SUMIFS('Hours &amp; Remarks'!$C$5:$C$800,'Hours &amp; Remarks'!$A$5:$A$800,$A16)</f>
        <v/>
      </c>
      <c r="K16">
        <f>SUMIFS(Diesel!$E$5:$E$800,Diesel!$A$5:$A$800,$A16)</f>
        <v/>
      </c>
      <c r="P16">
        <f>IFERROR(TEXT(LARGE('Daily Boulder'!$A$5:$A$800,15),"dd-mmm-yyyy"),"")</f>
        <v/>
      </c>
    </row>
    <row r="17">
      <c r="P17">
        <f>IFERROR(TEXT(LARGE('Daily Boulder'!$A$5:$A$800,16),"dd-mmm-yyyy"),"")</f>
        <v/>
      </c>
    </row>
    <row r="18">
      <c r="P18">
        <f>IFERROR(TEXT(LARGE('Daily Boulder'!$A$5:$A$800,17),"dd-mmm-yyyy"),"")</f>
        <v/>
      </c>
    </row>
    <row r="19">
      <c r="P19">
        <f>IFERROR(TEXT(LARGE('Daily Boulder'!$A$5:$A$800,18),"dd-mmm-yyyy"),"")</f>
        <v/>
      </c>
    </row>
    <row r="20">
      <c r="P20">
        <f>IFERROR(TEXT(LARGE('Daily Boulder'!$A$5:$A$800,19),"dd-mmm-yyyy"),"")</f>
        <v/>
      </c>
    </row>
    <row r="21">
      <c r="P21">
        <f>IFERROR(TEXT(LARGE('Daily Boulder'!$A$5:$A$800,20),"dd-mmm-yyyy"),"")</f>
        <v/>
      </c>
    </row>
    <row r="22">
      <c r="P22">
        <f>IFERROR(TEXT(LARGE('Daily Boulder'!$A$5:$A$800,21),"dd-mmm-yyyy"),"")</f>
        <v/>
      </c>
    </row>
    <row r="23">
      <c r="P23">
        <f>IFERROR(TEXT(LARGE('Daily Boulder'!$A$5:$A$800,22),"dd-mmm-yyyy"),"")</f>
        <v/>
      </c>
    </row>
    <row r="24">
      <c r="P24">
        <f>IFERROR(TEXT(LARGE('Daily Boulder'!$A$5:$A$800,23),"dd-mmm-yyyy"),"")</f>
        <v/>
      </c>
    </row>
    <row r="25">
      <c r="P25">
        <f>IFERROR(TEXT(LARGE('Daily Boulder'!$A$5:$A$800,24),"dd-mmm-yyyy"),"")</f>
        <v/>
      </c>
    </row>
    <row r="26">
      <c r="P26">
        <f>IFERROR(TEXT(LARGE('Daily Boulder'!$A$5:$A$800,25),"dd-mmm-yyyy"),"")</f>
        <v/>
      </c>
    </row>
    <row r="27">
      <c r="P27">
        <f>IFERROR(TEXT(LARGE('Daily Boulder'!$A$5:$A$800,26),"dd-mmm-yyyy"),"")</f>
        <v/>
      </c>
    </row>
    <row r="28">
      <c r="P28">
        <f>IFERROR(TEXT(LARGE('Daily Boulder'!$A$5:$A$800,27),"dd-mmm-yyyy"),"")</f>
        <v/>
      </c>
    </row>
    <row r="29">
      <c r="P29">
        <f>IFERROR(TEXT(LARGE('Daily Boulder'!$A$5:$A$800,28),"dd-mmm-yyyy"),"")</f>
        <v/>
      </c>
    </row>
    <row r="30">
      <c r="P30">
        <f>IFERROR(TEXT(LARGE('Daily Boulder'!$A$5:$A$800,29),"dd-mmm-yyyy"),"")</f>
        <v/>
      </c>
    </row>
    <row r="31">
      <c r="P31">
        <f>IFERROR(TEXT(LARGE('Daily Boulder'!$A$5:$A$800,30),"dd-mmm-yyyy"),"")</f>
        <v/>
      </c>
    </row>
    <row r="32">
      <c r="P32">
        <f>IFERROR(TEXT(LARGE('Daily Boulder'!$A$5:$A$800,31),"dd-mmm-yyyy"),"")</f>
        <v/>
      </c>
    </row>
    <row r="33">
      <c r="P33">
        <f>IFERROR(TEXT(LARGE('Daily Boulder'!$A$5:$A$800,32),"dd-mmm-yyyy"),"")</f>
        <v/>
      </c>
    </row>
    <row r="34">
      <c r="P34">
        <f>IFERROR(TEXT(LARGE('Daily Boulder'!$A$5:$A$800,33),"dd-mmm-yyyy"),"")</f>
        <v/>
      </c>
    </row>
    <row r="35">
      <c r="P35">
        <f>IFERROR(TEXT(LARGE('Daily Boulder'!$A$5:$A$800,34),"dd-mmm-yyyy"),"")</f>
        <v/>
      </c>
    </row>
    <row r="36">
      <c r="P36">
        <f>IFERROR(TEXT(LARGE('Daily Boulder'!$A$5:$A$800,35),"dd-mmm-yyyy"),"")</f>
        <v/>
      </c>
    </row>
    <row r="37">
      <c r="P37">
        <f>IFERROR(TEXT(LARGE('Daily Boulder'!$A$5:$A$800,36),"dd-mmm-yyyy"),"")</f>
        <v/>
      </c>
    </row>
    <row r="38">
      <c r="P38">
        <f>IFERROR(TEXT(LARGE('Daily Boulder'!$A$5:$A$800,37),"dd-mmm-yyyy"),"")</f>
        <v/>
      </c>
    </row>
    <row r="39">
      <c r="P39">
        <f>IFERROR(TEXT(LARGE('Daily Boulder'!$A$5:$A$800,38),"dd-mmm-yyyy"),"")</f>
        <v/>
      </c>
    </row>
    <row r="40">
      <c r="P40">
        <f>IFERROR(TEXT(LARGE('Daily Boulder'!$A$5:$A$800,39),"dd-mmm-yyyy"),"")</f>
        <v/>
      </c>
    </row>
    <row r="41">
      <c r="P41">
        <f>IFERROR(TEXT(LARGE('Daily Boulder'!$A$5:$A$800,40),"dd-mmm-yyyy"),"")</f>
        <v/>
      </c>
    </row>
    <row r="42">
      <c r="P42">
        <f>IFERROR(TEXT(LARGE('Daily Boulder'!$A$5:$A$800,41),"dd-mmm-yyyy"),"")</f>
        <v/>
      </c>
    </row>
    <row r="43">
      <c r="P43">
        <f>IFERROR(TEXT(LARGE('Daily Boulder'!$A$5:$A$800,42),"dd-mmm-yyyy"),"")</f>
        <v/>
      </c>
    </row>
    <row r="44">
      <c r="P44">
        <f>IFERROR(TEXT(LARGE('Daily Boulder'!$A$5:$A$800,43),"dd-mmm-yyyy"),"")</f>
        <v/>
      </c>
    </row>
    <row r="45">
      <c r="P45">
        <f>IFERROR(TEXT(LARGE('Daily Boulder'!$A$5:$A$800,44),"dd-mmm-yyyy"),"")</f>
        <v/>
      </c>
    </row>
    <row r="46">
      <c r="P46">
        <f>IFERROR(TEXT(LARGE('Daily Boulder'!$A$5:$A$800,45),"dd-mmm-yyyy"),"")</f>
        <v/>
      </c>
    </row>
    <row r="47">
      <c r="P47">
        <f>IFERROR(TEXT(LARGE('Daily Boulder'!$A$5:$A$800,46),"dd-mmm-yyyy"),"")</f>
        <v/>
      </c>
    </row>
    <row r="48">
      <c r="P48">
        <f>IFERROR(TEXT(LARGE('Daily Boulder'!$A$5:$A$800,47),"dd-mmm-yyyy"),"")</f>
        <v/>
      </c>
    </row>
    <row r="49">
      <c r="P49">
        <f>IFERROR(TEXT(LARGE('Daily Boulder'!$A$5:$A$800,48),"dd-mmm-yyyy"),"")</f>
        <v/>
      </c>
    </row>
    <row r="50">
      <c r="P50">
        <f>IFERROR(TEXT(LARGE('Daily Boulder'!$A$5:$A$800,49),"dd-mmm-yyyy"),"")</f>
        <v/>
      </c>
    </row>
    <row r="51">
      <c r="P51">
        <f>IFERROR(TEXT(LARGE('Daily Boulder'!$A$5:$A$800,50),"dd-mmm-yyyy"),"")</f>
        <v/>
      </c>
    </row>
    <row r="52">
      <c r="P52">
        <f>IFERROR(TEXT(LARGE('Daily Boulder'!$A$5:$A$800,51),"dd-mmm-yyyy"),"")</f>
        <v/>
      </c>
    </row>
    <row r="53">
      <c r="P53">
        <f>IFERROR(TEXT(LARGE('Daily Boulder'!$A$5:$A$800,52),"dd-mmm-yyyy"),"")</f>
        <v/>
      </c>
    </row>
    <row r="54">
      <c r="P54">
        <f>IFERROR(TEXT(LARGE('Daily Boulder'!$A$5:$A$800,53),"dd-mmm-yyyy"),"")</f>
        <v/>
      </c>
    </row>
    <row r="55">
      <c r="P55">
        <f>IFERROR(TEXT(LARGE('Daily Boulder'!$A$5:$A$800,54),"dd-mmm-yyyy"),"")</f>
        <v/>
      </c>
    </row>
    <row r="56">
      <c r="P56">
        <f>IFERROR(TEXT(LARGE('Daily Boulder'!$A$5:$A$800,55),"dd-mmm-yyyy"),"")</f>
        <v/>
      </c>
    </row>
    <row r="57">
      <c r="P57">
        <f>IFERROR(TEXT(LARGE('Daily Boulder'!$A$5:$A$800,56),"dd-mmm-yyyy"),"")</f>
        <v/>
      </c>
    </row>
    <row r="58">
      <c r="P58">
        <f>IFERROR(TEXT(LARGE('Daily Boulder'!$A$5:$A$800,57),"dd-mmm-yyyy"),"")</f>
        <v/>
      </c>
    </row>
    <row r="59">
      <c r="P59">
        <f>IFERROR(TEXT(LARGE('Daily Boulder'!$A$5:$A$800,58),"dd-mmm-yyyy"),"")</f>
        <v/>
      </c>
    </row>
    <row r="60">
      <c r="P60">
        <f>IFERROR(TEXT(LARGE('Daily Boulder'!$A$5:$A$800,59),"dd-mmm-yyyy"),"")</f>
        <v/>
      </c>
    </row>
    <row r="61">
      <c r="P61">
        <f>IFERROR(TEXT(LARGE('Daily Boulder'!$A$5:$A$800,60),"dd-mmm-yyyy"),"")</f>
        <v/>
      </c>
    </row>
    <row r="62">
      <c r="P62">
        <f>IFERROR(TEXT(LARGE('Daily Boulder'!$A$5:$A$800,61),"dd-mmm-yyyy"),"")</f>
        <v/>
      </c>
    </row>
    <row r="63">
      <c r="P63">
        <f>IFERROR(TEXT(LARGE('Daily Boulder'!$A$5:$A$800,62),"dd-mmm-yyyy"),"")</f>
        <v/>
      </c>
    </row>
    <row r="64">
      <c r="P64">
        <f>IFERROR(TEXT(LARGE('Daily Boulder'!$A$5:$A$800,63),"dd-mmm-yyyy"),"")</f>
        <v/>
      </c>
    </row>
    <row r="65">
      <c r="P65">
        <f>IFERROR(TEXT(LARGE('Daily Boulder'!$A$5:$A$800,64),"dd-mmm-yyyy"),"")</f>
        <v/>
      </c>
    </row>
    <row r="66">
      <c r="P66">
        <f>IFERROR(TEXT(LARGE('Daily Boulder'!$A$5:$A$800,65),"dd-mmm-yyyy"),"")</f>
        <v/>
      </c>
    </row>
    <row r="67">
      <c r="P67">
        <f>IFERROR(TEXT(LARGE('Daily Boulder'!$A$5:$A$800,66),"dd-mmm-yyyy"),"")</f>
        <v/>
      </c>
    </row>
    <row r="68">
      <c r="P68">
        <f>IFERROR(TEXT(LARGE('Daily Boulder'!$A$5:$A$800,67),"dd-mmm-yyyy"),"")</f>
        <v/>
      </c>
    </row>
    <row r="69">
      <c r="P69">
        <f>IFERROR(TEXT(LARGE('Daily Boulder'!$A$5:$A$800,68),"dd-mmm-yyyy"),"")</f>
        <v/>
      </c>
    </row>
    <row r="70">
      <c r="P70">
        <f>IFERROR(TEXT(LARGE('Daily Boulder'!$A$5:$A$800,69),"dd-mmm-yyyy"),"")</f>
        <v/>
      </c>
    </row>
    <row r="71">
      <c r="P71">
        <f>IFERROR(TEXT(LARGE('Daily Boulder'!$A$5:$A$800,70),"dd-mmm-yyyy"),"")</f>
        <v/>
      </c>
    </row>
    <row r="72">
      <c r="P72">
        <f>IFERROR(TEXT(LARGE('Daily Boulder'!$A$5:$A$800,71),"dd-mmm-yyyy"),"")</f>
        <v/>
      </c>
    </row>
    <row r="73">
      <c r="P73">
        <f>IFERROR(TEXT(LARGE('Daily Boulder'!$A$5:$A$800,72),"dd-mmm-yyyy"),"")</f>
        <v/>
      </c>
    </row>
    <row r="74">
      <c r="P74">
        <f>IFERROR(TEXT(LARGE('Daily Boulder'!$A$5:$A$800,73),"dd-mmm-yyyy"),"")</f>
        <v/>
      </c>
    </row>
    <row r="75">
      <c r="P75">
        <f>IFERROR(TEXT(LARGE('Daily Boulder'!$A$5:$A$800,74),"dd-mmm-yyyy"),"")</f>
        <v/>
      </c>
    </row>
    <row r="76">
      <c r="P76">
        <f>IFERROR(TEXT(LARGE('Daily Boulder'!$A$5:$A$800,75),"dd-mmm-yyyy"),"")</f>
        <v/>
      </c>
    </row>
    <row r="77">
      <c r="P77">
        <f>IFERROR(TEXT(LARGE('Daily Boulder'!$A$5:$A$800,76),"dd-mmm-yyyy"),"")</f>
        <v/>
      </c>
    </row>
    <row r="78">
      <c r="P78">
        <f>IFERROR(TEXT(LARGE('Daily Boulder'!$A$5:$A$800,77),"dd-mmm-yyyy"),"")</f>
        <v/>
      </c>
    </row>
    <row r="79">
      <c r="P79">
        <f>IFERROR(TEXT(LARGE('Daily Boulder'!$A$5:$A$800,78),"dd-mmm-yyyy"),"")</f>
        <v/>
      </c>
    </row>
    <row r="80">
      <c r="P80">
        <f>IFERROR(TEXT(LARGE('Daily Boulder'!$A$5:$A$800,79),"dd-mmm-yyyy"),"")</f>
        <v/>
      </c>
    </row>
    <row r="81">
      <c r="P81">
        <f>IFERROR(TEXT(LARGE('Daily Boulder'!$A$5:$A$800,80),"dd-mmm-yyyy"),"")</f>
        <v/>
      </c>
    </row>
    <row r="82">
      <c r="P82">
        <f>IFERROR(TEXT(LARGE('Daily Boulder'!$A$5:$A$800,81),"dd-mmm-yyyy"),"")</f>
        <v/>
      </c>
    </row>
    <row r="83">
      <c r="P83">
        <f>IFERROR(TEXT(LARGE('Daily Boulder'!$A$5:$A$800,82),"dd-mmm-yyyy"),"")</f>
        <v/>
      </c>
    </row>
    <row r="84">
      <c r="P84">
        <f>IFERROR(TEXT(LARGE('Daily Boulder'!$A$5:$A$800,83),"dd-mmm-yyyy"),"")</f>
        <v/>
      </c>
    </row>
    <row r="85">
      <c r="P85">
        <f>IFERROR(TEXT(LARGE('Daily Boulder'!$A$5:$A$800,84),"dd-mmm-yyyy"),"")</f>
        <v/>
      </c>
    </row>
    <row r="86">
      <c r="P86">
        <f>IFERROR(TEXT(LARGE('Daily Boulder'!$A$5:$A$800,85),"dd-mmm-yyyy"),"")</f>
        <v/>
      </c>
    </row>
    <row r="87">
      <c r="P87">
        <f>IFERROR(TEXT(LARGE('Daily Boulder'!$A$5:$A$800,86),"dd-mmm-yyyy"),"")</f>
        <v/>
      </c>
    </row>
    <row r="88">
      <c r="P88">
        <f>IFERROR(TEXT(LARGE('Daily Boulder'!$A$5:$A$800,87),"dd-mmm-yyyy"),"")</f>
        <v/>
      </c>
    </row>
    <row r="89">
      <c r="P89">
        <f>IFERROR(TEXT(LARGE('Daily Boulder'!$A$5:$A$800,88),"dd-mmm-yyyy"),"")</f>
        <v/>
      </c>
    </row>
    <row r="90">
      <c r="P90">
        <f>IFERROR(TEXT(LARGE('Daily Boulder'!$A$5:$A$800,89),"dd-mmm-yyyy"),"")</f>
        <v/>
      </c>
    </row>
    <row r="91">
      <c r="P91">
        <f>IFERROR(TEXT(LARGE('Daily Boulder'!$A$5:$A$800,90),"dd-mmm-yyyy"),"")</f>
        <v/>
      </c>
    </row>
    <row r="92">
      <c r="P92">
        <f>IFERROR(TEXT(LARGE('Daily Boulder'!$A$5:$A$800,91),"dd-mmm-yyyy"),"")</f>
        <v/>
      </c>
    </row>
    <row r="93">
      <c r="P93">
        <f>IFERROR(TEXT(LARGE('Daily Boulder'!$A$5:$A$800,92),"dd-mmm-yyyy"),"")</f>
        <v/>
      </c>
    </row>
    <row r="94">
      <c r="P94">
        <f>IFERROR(TEXT(LARGE('Daily Boulder'!$A$5:$A$800,93),"dd-mmm-yyyy"),"")</f>
        <v/>
      </c>
    </row>
    <row r="95">
      <c r="P95">
        <f>IFERROR(TEXT(LARGE('Daily Boulder'!$A$5:$A$800,94),"dd-mmm-yyyy"),"")</f>
        <v/>
      </c>
    </row>
    <row r="96">
      <c r="P96">
        <f>IFERROR(TEXT(LARGE('Daily Boulder'!$A$5:$A$800,95),"dd-mmm-yyyy"),"")</f>
        <v/>
      </c>
    </row>
    <row r="97">
      <c r="P97">
        <f>IFERROR(TEXT(LARGE('Daily Boulder'!$A$5:$A$800,96),"dd-mmm-yyyy"),"")</f>
        <v/>
      </c>
    </row>
    <row r="98">
      <c r="P98">
        <f>IFERROR(TEXT(LARGE('Daily Boulder'!$A$5:$A$800,97),"dd-mmm-yyyy"),"")</f>
        <v/>
      </c>
    </row>
    <row r="99">
      <c r="P99">
        <f>IFERROR(TEXT(LARGE('Daily Boulder'!$A$5:$A$800,98),"dd-mmm-yyyy"),"")</f>
        <v/>
      </c>
    </row>
    <row r="100">
      <c r="P100">
        <f>IFERROR(TEXT(LARGE('Daily Boulder'!$A$5:$A$800,99),"dd-mmm-yyyy"),"")</f>
        <v/>
      </c>
    </row>
    <row r="101">
      <c r="P101">
        <f>IFERROR(TEXT(LARGE('Daily Boulder'!$A$5:$A$800,100),"dd-mmm-yyyy"),"")</f>
        <v/>
      </c>
    </row>
    <row r="102">
      <c r="P102">
        <f>IFERROR(TEXT(LARGE('Daily Boulder'!$A$5:$A$800,101),"dd-mmm-yyyy"),"")</f>
        <v/>
      </c>
    </row>
    <row r="103">
      <c r="P103">
        <f>IFERROR(TEXT(LARGE('Daily Boulder'!$A$5:$A$800,102),"dd-mmm-yyyy"),"")</f>
        <v/>
      </c>
    </row>
    <row r="104">
      <c r="P104">
        <f>IFERROR(TEXT(LARGE('Daily Boulder'!$A$5:$A$800,103),"dd-mmm-yyyy"),"")</f>
        <v/>
      </c>
    </row>
    <row r="105">
      <c r="P105">
        <f>IFERROR(TEXT(LARGE('Daily Boulder'!$A$5:$A$800,104),"dd-mmm-yyyy"),"")</f>
        <v/>
      </c>
    </row>
    <row r="106">
      <c r="P106">
        <f>IFERROR(TEXT(LARGE('Daily Boulder'!$A$5:$A$800,105),"dd-mmm-yyyy"),"")</f>
        <v/>
      </c>
    </row>
    <row r="107">
      <c r="P107">
        <f>IFERROR(TEXT(LARGE('Daily Boulder'!$A$5:$A$800,106),"dd-mmm-yyyy"),"")</f>
        <v/>
      </c>
    </row>
    <row r="108">
      <c r="P108">
        <f>IFERROR(TEXT(LARGE('Daily Boulder'!$A$5:$A$800,107),"dd-mmm-yyyy"),"")</f>
        <v/>
      </c>
    </row>
    <row r="109">
      <c r="P109">
        <f>IFERROR(TEXT(LARGE('Daily Boulder'!$A$5:$A$800,108),"dd-mmm-yyyy"),"")</f>
        <v/>
      </c>
    </row>
    <row r="110">
      <c r="P110">
        <f>IFERROR(TEXT(LARGE('Daily Boulder'!$A$5:$A$800,109),"dd-mmm-yyyy"),"")</f>
        <v/>
      </c>
    </row>
    <row r="111">
      <c r="P111">
        <f>IFERROR(TEXT(LARGE('Daily Boulder'!$A$5:$A$800,110),"dd-mmm-yyyy"),"")</f>
        <v/>
      </c>
    </row>
    <row r="112">
      <c r="P112">
        <f>IFERROR(TEXT(LARGE('Daily Boulder'!$A$5:$A$800,111),"dd-mmm-yyyy"),"")</f>
        <v/>
      </c>
    </row>
    <row r="113">
      <c r="P113">
        <f>IFERROR(TEXT(LARGE('Daily Boulder'!$A$5:$A$800,112),"dd-mmm-yyyy"),"")</f>
        <v/>
      </c>
    </row>
    <row r="114">
      <c r="P114">
        <f>IFERROR(TEXT(LARGE('Daily Boulder'!$A$5:$A$800,113),"dd-mmm-yyyy"),"")</f>
        <v/>
      </c>
    </row>
    <row r="115">
      <c r="P115">
        <f>IFERROR(TEXT(LARGE('Daily Boulder'!$A$5:$A$800,114),"dd-mmm-yyyy"),"")</f>
        <v/>
      </c>
    </row>
    <row r="116">
      <c r="P116">
        <f>IFERROR(TEXT(LARGE('Daily Boulder'!$A$5:$A$800,115),"dd-mmm-yyyy"),"")</f>
        <v/>
      </c>
    </row>
    <row r="117">
      <c r="P117">
        <f>IFERROR(TEXT(LARGE('Daily Boulder'!$A$5:$A$800,116),"dd-mmm-yyyy"),"")</f>
        <v/>
      </c>
    </row>
    <row r="118">
      <c r="P118">
        <f>IFERROR(TEXT(LARGE('Daily Boulder'!$A$5:$A$800,117),"dd-mmm-yyyy"),"")</f>
        <v/>
      </c>
    </row>
    <row r="119">
      <c r="P119">
        <f>IFERROR(TEXT(LARGE('Daily Boulder'!$A$5:$A$800,118),"dd-mmm-yyyy"),"")</f>
        <v/>
      </c>
    </row>
    <row r="120">
      <c r="P120">
        <f>IFERROR(TEXT(LARGE('Daily Boulder'!$A$5:$A$800,119),"dd-mmm-yyyy"),"")</f>
        <v/>
      </c>
    </row>
    <row r="121">
      <c r="P121">
        <f>IFERROR(TEXT(LARGE('Daily Boulder'!$A$5:$A$800,120),"dd-mmm-yyyy"),"")</f>
        <v/>
      </c>
    </row>
    <row r="122">
      <c r="P122">
        <f>IFERROR(TEXT(LARGE('Daily Boulder'!$A$5:$A$800,121),"dd-mmm-yyyy"),"")</f>
        <v/>
      </c>
    </row>
    <row r="123">
      <c r="P123">
        <f>IFERROR(TEXT(LARGE('Daily Boulder'!$A$5:$A$800,122),"dd-mmm-yyyy"),"")</f>
        <v/>
      </c>
    </row>
    <row r="124">
      <c r="P124">
        <f>IFERROR(TEXT(LARGE('Daily Boulder'!$A$5:$A$800,123),"dd-mmm-yyyy"),"")</f>
        <v/>
      </c>
    </row>
    <row r="125">
      <c r="P125">
        <f>IFERROR(TEXT(LARGE('Daily Boulder'!$A$5:$A$800,124),"dd-mmm-yyyy"),"")</f>
        <v/>
      </c>
    </row>
    <row r="126">
      <c r="P126">
        <f>IFERROR(TEXT(LARGE('Daily Boulder'!$A$5:$A$800,125),"dd-mmm-yyyy"),"")</f>
        <v/>
      </c>
    </row>
    <row r="127">
      <c r="P127">
        <f>IFERROR(TEXT(LARGE('Daily Boulder'!$A$5:$A$800,126),"dd-mmm-yyyy"),"")</f>
        <v/>
      </c>
    </row>
    <row r="128">
      <c r="P128">
        <f>IFERROR(TEXT(LARGE('Daily Boulder'!$A$5:$A$800,127),"dd-mmm-yyyy"),"")</f>
        <v/>
      </c>
    </row>
    <row r="129">
      <c r="P129">
        <f>IFERROR(TEXT(LARGE('Daily Boulder'!$A$5:$A$800,128),"dd-mmm-yyyy"),"")</f>
        <v/>
      </c>
    </row>
    <row r="130">
      <c r="P130">
        <f>IFERROR(TEXT(LARGE('Daily Boulder'!$A$5:$A$800,129),"dd-mmm-yyyy"),"")</f>
        <v/>
      </c>
    </row>
    <row r="131">
      <c r="P131">
        <f>IFERROR(TEXT(LARGE('Daily Boulder'!$A$5:$A$800,130),"dd-mmm-yyyy"),"")</f>
        <v/>
      </c>
    </row>
    <row r="132">
      <c r="P132">
        <f>IFERROR(TEXT(LARGE('Daily Boulder'!$A$5:$A$800,131),"dd-mmm-yyyy"),"")</f>
        <v/>
      </c>
    </row>
    <row r="133">
      <c r="P133">
        <f>IFERROR(TEXT(LARGE('Daily Boulder'!$A$5:$A$800,132),"dd-mmm-yyyy"),"")</f>
        <v/>
      </c>
    </row>
    <row r="134">
      <c r="P134">
        <f>IFERROR(TEXT(LARGE('Daily Boulder'!$A$5:$A$800,133),"dd-mmm-yyyy"),"")</f>
        <v/>
      </c>
    </row>
    <row r="135">
      <c r="P135">
        <f>IFERROR(TEXT(LARGE('Daily Boulder'!$A$5:$A$800,134),"dd-mmm-yyyy"),"")</f>
        <v/>
      </c>
    </row>
    <row r="136">
      <c r="P136">
        <f>IFERROR(TEXT(LARGE('Daily Boulder'!$A$5:$A$800,135),"dd-mmm-yyyy"),"")</f>
        <v/>
      </c>
    </row>
    <row r="137">
      <c r="P137">
        <f>IFERROR(TEXT(LARGE('Daily Boulder'!$A$5:$A$800,136),"dd-mmm-yyyy"),"")</f>
        <v/>
      </c>
    </row>
    <row r="138">
      <c r="P138">
        <f>IFERROR(TEXT(LARGE('Daily Boulder'!$A$5:$A$800,137),"dd-mmm-yyyy"),"")</f>
        <v/>
      </c>
    </row>
    <row r="139">
      <c r="P139">
        <f>IFERROR(TEXT(LARGE('Daily Boulder'!$A$5:$A$800,138),"dd-mmm-yyyy"),"")</f>
        <v/>
      </c>
    </row>
    <row r="140">
      <c r="P140">
        <f>IFERROR(TEXT(LARGE('Daily Boulder'!$A$5:$A$800,139),"dd-mmm-yyyy"),"")</f>
        <v/>
      </c>
    </row>
    <row r="141">
      <c r="P141">
        <f>IFERROR(TEXT(LARGE('Daily Boulder'!$A$5:$A$800,140),"dd-mmm-yyyy"),"")</f>
        <v/>
      </c>
    </row>
    <row r="142">
      <c r="P142">
        <f>IFERROR(TEXT(LARGE('Daily Boulder'!$A$5:$A$800,141),"dd-mmm-yyyy"),"")</f>
        <v/>
      </c>
    </row>
    <row r="143">
      <c r="P143">
        <f>IFERROR(TEXT(LARGE('Daily Boulder'!$A$5:$A$800,142),"dd-mmm-yyyy"),"")</f>
        <v/>
      </c>
    </row>
    <row r="144">
      <c r="P144">
        <f>IFERROR(TEXT(LARGE('Daily Boulder'!$A$5:$A$800,143),"dd-mmm-yyyy"),"")</f>
        <v/>
      </c>
    </row>
    <row r="145">
      <c r="P145">
        <f>IFERROR(TEXT(LARGE('Daily Boulder'!$A$5:$A$800,144),"dd-mmm-yyyy"),"")</f>
        <v/>
      </c>
    </row>
    <row r="146">
      <c r="P146">
        <f>IFERROR(TEXT(LARGE('Daily Boulder'!$A$5:$A$800,145),"dd-mmm-yyyy"),"")</f>
        <v/>
      </c>
    </row>
    <row r="147">
      <c r="P147">
        <f>IFERROR(TEXT(LARGE('Daily Boulder'!$A$5:$A$800,146),"dd-mmm-yyyy"),"")</f>
        <v/>
      </c>
    </row>
    <row r="148">
      <c r="P148">
        <f>IFERROR(TEXT(LARGE('Daily Boulder'!$A$5:$A$800,147),"dd-mmm-yyyy"),"")</f>
        <v/>
      </c>
    </row>
    <row r="149">
      <c r="P149">
        <f>IFERROR(TEXT(LARGE('Daily Boulder'!$A$5:$A$800,148),"dd-mmm-yyyy"),"")</f>
        <v/>
      </c>
    </row>
    <row r="150">
      <c r="P150">
        <f>IFERROR(TEXT(LARGE('Daily Boulder'!$A$5:$A$800,149),"dd-mmm-yyyy"),"")</f>
        <v/>
      </c>
    </row>
    <row r="151">
      <c r="P151">
        <f>IFERROR(TEXT(LARGE('Daily Boulder'!$A$5:$A$800,150),"dd-mmm-yyyy"),"")</f>
        <v/>
      </c>
    </row>
    <row r="152">
      <c r="P152">
        <f>IFERROR(TEXT(LARGE('Daily Boulder'!$A$5:$A$800,151),"dd-mmm-yyyy"),"")</f>
        <v/>
      </c>
    </row>
    <row r="153">
      <c r="P153">
        <f>IFERROR(TEXT(LARGE('Daily Boulder'!$A$5:$A$800,152),"dd-mmm-yyyy"),"")</f>
        <v/>
      </c>
    </row>
    <row r="154">
      <c r="P154">
        <f>IFERROR(TEXT(LARGE('Daily Boulder'!$A$5:$A$800,153),"dd-mmm-yyyy"),"")</f>
        <v/>
      </c>
    </row>
    <row r="155">
      <c r="P155">
        <f>IFERROR(TEXT(LARGE('Daily Boulder'!$A$5:$A$800,154),"dd-mmm-yyyy"),"")</f>
        <v/>
      </c>
    </row>
    <row r="156">
      <c r="P156">
        <f>IFERROR(TEXT(LARGE('Daily Boulder'!$A$5:$A$800,155),"dd-mmm-yyyy"),"")</f>
        <v/>
      </c>
    </row>
    <row r="157">
      <c r="P157">
        <f>IFERROR(TEXT(LARGE('Daily Boulder'!$A$5:$A$800,156),"dd-mmm-yyyy"),"")</f>
        <v/>
      </c>
    </row>
    <row r="158">
      <c r="P158">
        <f>IFERROR(TEXT(LARGE('Daily Boulder'!$A$5:$A$800,157),"dd-mmm-yyyy"),"")</f>
        <v/>
      </c>
    </row>
    <row r="159">
      <c r="P159">
        <f>IFERROR(TEXT(LARGE('Daily Boulder'!$A$5:$A$800,158),"dd-mmm-yyyy"),"")</f>
        <v/>
      </c>
    </row>
    <row r="160">
      <c r="P160">
        <f>IFERROR(TEXT(LARGE('Daily Boulder'!$A$5:$A$800,159),"dd-mmm-yyyy"),"")</f>
        <v/>
      </c>
    </row>
    <row r="161">
      <c r="P161">
        <f>IFERROR(TEXT(LARGE('Daily Boulder'!$A$5:$A$800,160),"dd-mmm-yyyy"),"")</f>
        <v/>
      </c>
    </row>
    <row r="162">
      <c r="P162">
        <f>IFERROR(TEXT(LARGE('Daily Boulder'!$A$5:$A$800,161),"dd-mmm-yyyy"),"")</f>
        <v/>
      </c>
    </row>
    <row r="163">
      <c r="P163">
        <f>IFERROR(TEXT(LARGE('Daily Boulder'!$A$5:$A$800,162),"dd-mmm-yyyy"),"")</f>
        <v/>
      </c>
    </row>
    <row r="164">
      <c r="P164">
        <f>IFERROR(TEXT(LARGE('Daily Boulder'!$A$5:$A$800,163),"dd-mmm-yyyy"),"")</f>
        <v/>
      </c>
    </row>
    <row r="165">
      <c r="P165">
        <f>IFERROR(TEXT(LARGE('Daily Boulder'!$A$5:$A$800,164),"dd-mmm-yyyy"),"")</f>
        <v/>
      </c>
    </row>
    <row r="166">
      <c r="P166">
        <f>IFERROR(TEXT(LARGE('Daily Boulder'!$A$5:$A$800,165),"dd-mmm-yyyy"),"")</f>
        <v/>
      </c>
    </row>
    <row r="167">
      <c r="P167">
        <f>IFERROR(TEXT(LARGE('Daily Boulder'!$A$5:$A$800,166),"dd-mmm-yyyy"),"")</f>
        <v/>
      </c>
    </row>
    <row r="168">
      <c r="P168">
        <f>IFERROR(TEXT(LARGE('Daily Boulder'!$A$5:$A$800,167),"dd-mmm-yyyy"),"")</f>
        <v/>
      </c>
    </row>
    <row r="169">
      <c r="P169">
        <f>IFERROR(TEXT(LARGE('Daily Boulder'!$A$5:$A$800,168),"dd-mmm-yyyy"),"")</f>
        <v/>
      </c>
    </row>
    <row r="170">
      <c r="P170">
        <f>IFERROR(TEXT(LARGE('Daily Boulder'!$A$5:$A$800,169),"dd-mmm-yyyy"),"")</f>
        <v/>
      </c>
    </row>
    <row r="171">
      <c r="P171">
        <f>IFERROR(TEXT(LARGE('Daily Boulder'!$A$5:$A$800,170),"dd-mmm-yyyy"),"")</f>
        <v/>
      </c>
    </row>
    <row r="172">
      <c r="P172">
        <f>IFERROR(TEXT(LARGE('Daily Boulder'!$A$5:$A$800,171),"dd-mmm-yyyy"),"")</f>
        <v/>
      </c>
    </row>
    <row r="173">
      <c r="P173">
        <f>IFERROR(TEXT(LARGE('Daily Boulder'!$A$5:$A$800,172),"dd-mmm-yyyy"),"")</f>
        <v/>
      </c>
    </row>
    <row r="174">
      <c r="P174">
        <f>IFERROR(TEXT(LARGE('Daily Boulder'!$A$5:$A$800,173),"dd-mmm-yyyy"),"")</f>
        <v/>
      </c>
    </row>
    <row r="175">
      <c r="P175">
        <f>IFERROR(TEXT(LARGE('Daily Boulder'!$A$5:$A$800,174),"dd-mmm-yyyy"),"")</f>
        <v/>
      </c>
    </row>
    <row r="176">
      <c r="P176">
        <f>IFERROR(TEXT(LARGE('Daily Boulder'!$A$5:$A$800,175),"dd-mmm-yyyy"),"")</f>
        <v/>
      </c>
    </row>
    <row r="177">
      <c r="P177">
        <f>IFERROR(TEXT(LARGE('Daily Boulder'!$A$5:$A$800,176),"dd-mmm-yyyy"),"")</f>
        <v/>
      </c>
    </row>
    <row r="178">
      <c r="P178">
        <f>IFERROR(TEXT(LARGE('Daily Boulder'!$A$5:$A$800,177),"dd-mmm-yyyy"),"")</f>
        <v/>
      </c>
    </row>
    <row r="179">
      <c r="P179">
        <f>IFERROR(TEXT(LARGE('Daily Boulder'!$A$5:$A$800,178),"dd-mmm-yyyy"),"")</f>
        <v/>
      </c>
    </row>
    <row r="180">
      <c r="P180">
        <f>IFERROR(TEXT(LARGE('Daily Boulder'!$A$5:$A$800,179),"dd-mmm-yyyy"),"")</f>
        <v/>
      </c>
    </row>
    <row r="181">
      <c r="P181">
        <f>IFERROR(TEXT(LARGE('Daily Boulder'!$A$5:$A$800,180),"dd-mmm-yyyy"),"")</f>
        <v/>
      </c>
    </row>
    <row r="182">
      <c r="P182">
        <f>IFERROR(TEXT(LARGE('Daily Boulder'!$A$5:$A$800,181),"dd-mmm-yyyy"),"")</f>
        <v/>
      </c>
    </row>
    <row r="183">
      <c r="P183">
        <f>IFERROR(TEXT(LARGE('Daily Boulder'!$A$5:$A$800,182),"dd-mmm-yyyy"),"")</f>
        <v/>
      </c>
    </row>
    <row r="184">
      <c r="P184">
        <f>IFERROR(TEXT(LARGE('Daily Boulder'!$A$5:$A$800,183),"dd-mmm-yyyy"),"")</f>
        <v/>
      </c>
    </row>
    <row r="185">
      <c r="P185">
        <f>IFERROR(TEXT(LARGE('Daily Boulder'!$A$5:$A$800,184),"dd-mmm-yyyy"),"")</f>
        <v/>
      </c>
    </row>
    <row r="186">
      <c r="P186">
        <f>IFERROR(TEXT(LARGE('Daily Boulder'!$A$5:$A$800,185),"dd-mmm-yyyy"),"")</f>
        <v/>
      </c>
    </row>
    <row r="187">
      <c r="P187">
        <f>IFERROR(TEXT(LARGE('Daily Boulder'!$A$5:$A$800,186),"dd-mmm-yyyy"),"")</f>
        <v/>
      </c>
    </row>
    <row r="188">
      <c r="P188">
        <f>IFERROR(TEXT(LARGE('Daily Boulder'!$A$5:$A$800,187),"dd-mmm-yyyy"),"")</f>
        <v/>
      </c>
    </row>
    <row r="189">
      <c r="P189">
        <f>IFERROR(TEXT(LARGE('Daily Boulder'!$A$5:$A$800,188),"dd-mmm-yyyy"),"")</f>
        <v/>
      </c>
    </row>
    <row r="190">
      <c r="P190">
        <f>IFERROR(TEXT(LARGE('Daily Boulder'!$A$5:$A$800,189),"dd-mmm-yyyy"),"")</f>
        <v/>
      </c>
    </row>
    <row r="191">
      <c r="P191">
        <f>IFERROR(TEXT(LARGE('Daily Boulder'!$A$5:$A$800,190),"dd-mmm-yyyy"),"")</f>
        <v/>
      </c>
    </row>
    <row r="192">
      <c r="P192">
        <f>IFERROR(TEXT(LARGE('Daily Boulder'!$A$5:$A$800,191),"dd-mmm-yyyy"),"")</f>
        <v/>
      </c>
    </row>
    <row r="193">
      <c r="P193">
        <f>IFERROR(TEXT(LARGE('Daily Boulder'!$A$5:$A$800,192),"dd-mmm-yyyy"),"")</f>
        <v/>
      </c>
    </row>
    <row r="194">
      <c r="P194">
        <f>IFERROR(TEXT(LARGE('Daily Boulder'!$A$5:$A$800,193),"dd-mmm-yyyy"),"")</f>
        <v/>
      </c>
    </row>
    <row r="195">
      <c r="P195">
        <f>IFERROR(TEXT(LARGE('Daily Boulder'!$A$5:$A$800,194),"dd-mmm-yyyy"),"")</f>
        <v/>
      </c>
    </row>
    <row r="196">
      <c r="P196">
        <f>IFERROR(TEXT(LARGE('Daily Boulder'!$A$5:$A$800,195),"dd-mmm-yyyy"),"")</f>
        <v/>
      </c>
    </row>
    <row r="197">
      <c r="P197">
        <f>IFERROR(TEXT(LARGE('Daily Boulder'!$A$5:$A$800,196),"dd-mmm-yyyy"),"")</f>
        <v/>
      </c>
    </row>
    <row r="198">
      <c r="P198">
        <f>IFERROR(TEXT(LARGE('Daily Boulder'!$A$5:$A$800,197),"dd-mmm-yyyy"),"")</f>
        <v/>
      </c>
    </row>
    <row r="199">
      <c r="P199">
        <f>IFERROR(TEXT(LARGE('Daily Boulder'!$A$5:$A$800,198),"dd-mmm-yyyy"),"")</f>
        <v/>
      </c>
    </row>
    <row r="200">
      <c r="P200">
        <f>IFERROR(TEXT(LARGE('Daily Boulder'!$A$5:$A$800,199),"dd-mmm-yyyy"),"")</f>
        <v/>
      </c>
    </row>
    <row r="201">
      <c r="P201">
        <f>IFERROR(TEXT(LARGE('Daily Boulder'!$A$5:$A$800,200),"dd-mmm-yyyy"),"")</f>
        <v/>
      </c>
    </row>
    <row r="202">
      <c r="P202">
        <f>IFERROR(TEXT(LARGE('Daily Boulder'!$A$5:$A$800,201),"dd-mmm-yyyy"),"")</f>
        <v/>
      </c>
    </row>
    <row r="203">
      <c r="P203">
        <f>IFERROR(TEXT(LARGE('Daily Boulder'!$A$5:$A$800,202),"dd-mmm-yyyy"),"")</f>
        <v/>
      </c>
    </row>
    <row r="204">
      <c r="P204">
        <f>IFERROR(TEXT(LARGE('Daily Boulder'!$A$5:$A$800,203),"dd-mmm-yyyy"),"")</f>
        <v/>
      </c>
    </row>
    <row r="205">
      <c r="P205">
        <f>IFERROR(TEXT(LARGE('Daily Boulder'!$A$5:$A$800,204),"dd-mmm-yyyy"),"")</f>
        <v/>
      </c>
    </row>
    <row r="206">
      <c r="P206">
        <f>IFERROR(TEXT(LARGE('Daily Boulder'!$A$5:$A$800,205),"dd-mmm-yyyy"),"")</f>
        <v/>
      </c>
    </row>
    <row r="207">
      <c r="P207">
        <f>IFERROR(TEXT(LARGE('Daily Boulder'!$A$5:$A$800,206),"dd-mmm-yyyy"),"")</f>
        <v/>
      </c>
    </row>
    <row r="208">
      <c r="P208">
        <f>IFERROR(TEXT(LARGE('Daily Boulder'!$A$5:$A$800,207),"dd-mmm-yyyy"),"")</f>
        <v/>
      </c>
    </row>
    <row r="209">
      <c r="P209">
        <f>IFERROR(TEXT(LARGE('Daily Boulder'!$A$5:$A$800,208),"dd-mmm-yyyy"),"")</f>
        <v/>
      </c>
    </row>
    <row r="210">
      <c r="P210">
        <f>IFERROR(TEXT(LARGE('Daily Boulder'!$A$5:$A$800,209),"dd-mmm-yyyy"),"")</f>
        <v/>
      </c>
    </row>
    <row r="211">
      <c r="P211">
        <f>IFERROR(TEXT(LARGE('Daily Boulder'!$A$5:$A$800,210),"dd-mmm-yyyy"),"")</f>
        <v/>
      </c>
    </row>
    <row r="212">
      <c r="P212">
        <f>IFERROR(TEXT(LARGE('Daily Boulder'!$A$5:$A$800,211),"dd-mmm-yyyy"),"")</f>
        <v/>
      </c>
    </row>
    <row r="213">
      <c r="P213">
        <f>IFERROR(TEXT(LARGE('Daily Boulder'!$A$5:$A$800,212),"dd-mmm-yyyy"),"")</f>
        <v/>
      </c>
    </row>
    <row r="214">
      <c r="P214">
        <f>IFERROR(TEXT(LARGE('Daily Boulder'!$A$5:$A$800,213),"dd-mmm-yyyy"),"")</f>
        <v/>
      </c>
    </row>
    <row r="215">
      <c r="P215">
        <f>IFERROR(TEXT(LARGE('Daily Boulder'!$A$5:$A$800,214),"dd-mmm-yyyy"),"")</f>
        <v/>
      </c>
    </row>
    <row r="216">
      <c r="P216">
        <f>IFERROR(TEXT(LARGE('Daily Boulder'!$A$5:$A$800,215),"dd-mmm-yyyy"),"")</f>
        <v/>
      </c>
    </row>
    <row r="217">
      <c r="P217">
        <f>IFERROR(TEXT(LARGE('Daily Boulder'!$A$5:$A$800,216),"dd-mmm-yyyy"),"")</f>
        <v/>
      </c>
    </row>
    <row r="218">
      <c r="P218">
        <f>IFERROR(TEXT(LARGE('Daily Boulder'!$A$5:$A$800,217),"dd-mmm-yyyy"),"")</f>
        <v/>
      </c>
    </row>
    <row r="219">
      <c r="P219">
        <f>IFERROR(TEXT(LARGE('Daily Boulder'!$A$5:$A$800,218),"dd-mmm-yyyy"),"")</f>
        <v/>
      </c>
    </row>
    <row r="220">
      <c r="P220">
        <f>IFERROR(TEXT(LARGE('Daily Boulder'!$A$5:$A$800,219),"dd-mmm-yyyy"),"")</f>
        <v/>
      </c>
    </row>
    <row r="221">
      <c r="P221">
        <f>IFERROR(TEXT(LARGE('Daily Boulder'!$A$5:$A$800,220),"dd-mmm-yyyy"),"")</f>
        <v/>
      </c>
    </row>
    <row r="222">
      <c r="P222">
        <f>IFERROR(TEXT(LARGE('Daily Boulder'!$A$5:$A$800,221),"dd-mmm-yyyy"),"")</f>
        <v/>
      </c>
    </row>
    <row r="223">
      <c r="P223">
        <f>IFERROR(TEXT(LARGE('Daily Boulder'!$A$5:$A$800,222),"dd-mmm-yyyy"),"")</f>
        <v/>
      </c>
    </row>
    <row r="224">
      <c r="P224">
        <f>IFERROR(TEXT(LARGE('Daily Boulder'!$A$5:$A$800,223),"dd-mmm-yyyy"),"")</f>
        <v/>
      </c>
    </row>
    <row r="225">
      <c r="P225">
        <f>IFERROR(TEXT(LARGE('Daily Boulder'!$A$5:$A$800,224),"dd-mmm-yyyy"),"")</f>
        <v/>
      </c>
    </row>
    <row r="226">
      <c r="P226">
        <f>IFERROR(TEXT(LARGE('Daily Boulder'!$A$5:$A$800,225),"dd-mmm-yyyy"),"")</f>
        <v/>
      </c>
    </row>
    <row r="227">
      <c r="P227">
        <f>IFERROR(TEXT(LARGE('Daily Boulder'!$A$5:$A$800,226),"dd-mmm-yyyy"),"")</f>
        <v/>
      </c>
    </row>
    <row r="228">
      <c r="P228">
        <f>IFERROR(TEXT(LARGE('Daily Boulder'!$A$5:$A$800,227),"dd-mmm-yyyy"),"")</f>
        <v/>
      </c>
    </row>
    <row r="229">
      <c r="P229">
        <f>IFERROR(TEXT(LARGE('Daily Boulder'!$A$5:$A$800,228),"dd-mmm-yyyy"),"")</f>
        <v/>
      </c>
    </row>
    <row r="230">
      <c r="P230">
        <f>IFERROR(TEXT(LARGE('Daily Boulder'!$A$5:$A$800,229),"dd-mmm-yyyy"),"")</f>
        <v/>
      </c>
    </row>
    <row r="231">
      <c r="P231">
        <f>IFERROR(TEXT(LARGE('Daily Boulder'!$A$5:$A$800,230),"dd-mmm-yyyy"),"")</f>
        <v/>
      </c>
    </row>
    <row r="232">
      <c r="P232">
        <f>IFERROR(TEXT(LARGE('Daily Boulder'!$A$5:$A$800,231),"dd-mmm-yyyy"),"")</f>
        <v/>
      </c>
    </row>
    <row r="233">
      <c r="P233">
        <f>IFERROR(TEXT(LARGE('Daily Boulder'!$A$5:$A$800,232),"dd-mmm-yyyy"),"")</f>
        <v/>
      </c>
    </row>
    <row r="234">
      <c r="P234">
        <f>IFERROR(TEXT(LARGE('Daily Boulder'!$A$5:$A$800,233),"dd-mmm-yyyy"),"")</f>
        <v/>
      </c>
    </row>
    <row r="235">
      <c r="P235">
        <f>IFERROR(TEXT(LARGE('Daily Boulder'!$A$5:$A$800,234),"dd-mmm-yyyy"),"")</f>
        <v/>
      </c>
    </row>
    <row r="236">
      <c r="P236">
        <f>IFERROR(TEXT(LARGE('Daily Boulder'!$A$5:$A$800,235),"dd-mmm-yyyy"),"")</f>
        <v/>
      </c>
    </row>
    <row r="237">
      <c r="P237">
        <f>IFERROR(TEXT(LARGE('Daily Boulder'!$A$5:$A$800,236),"dd-mmm-yyyy"),"")</f>
        <v/>
      </c>
    </row>
    <row r="238">
      <c r="P238">
        <f>IFERROR(TEXT(LARGE('Daily Boulder'!$A$5:$A$800,237),"dd-mmm-yyyy"),"")</f>
        <v/>
      </c>
    </row>
    <row r="239">
      <c r="P239">
        <f>IFERROR(TEXT(LARGE('Daily Boulder'!$A$5:$A$800,238),"dd-mmm-yyyy"),"")</f>
        <v/>
      </c>
    </row>
    <row r="240">
      <c r="P240">
        <f>IFERROR(TEXT(LARGE('Daily Boulder'!$A$5:$A$800,239),"dd-mmm-yyyy"),"")</f>
        <v/>
      </c>
    </row>
    <row r="241">
      <c r="P241">
        <f>IFERROR(TEXT(LARGE('Daily Boulder'!$A$5:$A$800,240),"dd-mmm-yyyy"),"")</f>
        <v/>
      </c>
    </row>
    <row r="242">
      <c r="P242">
        <f>IFERROR(TEXT(LARGE('Daily Boulder'!$A$5:$A$800,241),"dd-mmm-yyyy"),"")</f>
        <v/>
      </c>
    </row>
    <row r="243">
      <c r="P243">
        <f>IFERROR(TEXT(LARGE('Daily Boulder'!$A$5:$A$800,242),"dd-mmm-yyyy"),"")</f>
        <v/>
      </c>
    </row>
    <row r="244">
      <c r="P244">
        <f>IFERROR(TEXT(LARGE('Daily Boulder'!$A$5:$A$800,243),"dd-mmm-yyyy"),"")</f>
        <v/>
      </c>
    </row>
    <row r="245">
      <c r="P245">
        <f>IFERROR(TEXT(LARGE('Daily Boulder'!$A$5:$A$800,244),"dd-mmm-yyyy"),"")</f>
        <v/>
      </c>
    </row>
    <row r="246">
      <c r="P246">
        <f>IFERROR(TEXT(LARGE('Daily Boulder'!$A$5:$A$800,245),"dd-mmm-yyyy"),"")</f>
        <v/>
      </c>
    </row>
    <row r="247">
      <c r="P247">
        <f>IFERROR(TEXT(LARGE('Daily Boulder'!$A$5:$A$800,246),"dd-mmm-yyyy"),"")</f>
        <v/>
      </c>
    </row>
    <row r="248">
      <c r="P248">
        <f>IFERROR(TEXT(LARGE('Daily Boulder'!$A$5:$A$800,247),"dd-mmm-yyyy"),"")</f>
        <v/>
      </c>
    </row>
    <row r="249">
      <c r="P249">
        <f>IFERROR(TEXT(LARGE('Daily Boulder'!$A$5:$A$800,248),"dd-mmm-yyyy"),"")</f>
        <v/>
      </c>
    </row>
    <row r="250">
      <c r="P250">
        <f>IFERROR(TEXT(LARGE('Daily Boulder'!$A$5:$A$800,249),"dd-mmm-yyyy"),"")</f>
        <v/>
      </c>
    </row>
    <row r="251">
      <c r="P251">
        <f>IFERROR(TEXT(LARGE('Daily Boulder'!$A$5:$A$800,250),"dd-mmm-yyyy"),"")</f>
        <v/>
      </c>
    </row>
    <row r="252">
      <c r="P252">
        <f>IFERROR(TEXT(LARGE('Daily Boulder'!$A$5:$A$800,251),"dd-mmm-yyyy"),"")</f>
        <v/>
      </c>
    </row>
    <row r="253">
      <c r="P253">
        <f>IFERROR(TEXT(LARGE('Daily Boulder'!$A$5:$A$800,252),"dd-mmm-yyyy"),"")</f>
        <v/>
      </c>
    </row>
    <row r="254">
      <c r="P254">
        <f>IFERROR(TEXT(LARGE('Daily Boulder'!$A$5:$A$800,253),"dd-mmm-yyyy"),"")</f>
        <v/>
      </c>
    </row>
    <row r="255">
      <c r="P255">
        <f>IFERROR(TEXT(LARGE('Daily Boulder'!$A$5:$A$800,254),"dd-mmm-yyyy"),"")</f>
        <v/>
      </c>
    </row>
    <row r="256">
      <c r="P256">
        <f>IFERROR(TEXT(LARGE('Daily Boulder'!$A$5:$A$800,255),"dd-mmm-yyyy"),"")</f>
        <v/>
      </c>
    </row>
    <row r="257">
      <c r="P257">
        <f>IFERROR(TEXT(LARGE('Daily Boulder'!$A$5:$A$800,256),"dd-mmm-yyyy"),"")</f>
        <v/>
      </c>
    </row>
    <row r="258">
      <c r="P258">
        <f>IFERROR(TEXT(LARGE('Daily Boulder'!$A$5:$A$800,257),"dd-mmm-yyyy"),"")</f>
        <v/>
      </c>
    </row>
    <row r="259">
      <c r="P259">
        <f>IFERROR(TEXT(LARGE('Daily Boulder'!$A$5:$A$800,258),"dd-mmm-yyyy"),"")</f>
        <v/>
      </c>
    </row>
    <row r="260">
      <c r="P260">
        <f>IFERROR(TEXT(LARGE('Daily Boulder'!$A$5:$A$800,259),"dd-mmm-yyyy"),"")</f>
        <v/>
      </c>
    </row>
    <row r="261">
      <c r="P261">
        <f>IFERROR(TEXT(LARGE('Daily Boulder'!$A$5:$A$800,260),"dd-mmm-yyyy"),"")</f>
        <v/>
      </c>
    </row>
    <row r="262">
      <c r="P262">
        <f>IFERROR(TEXT(LARGE('Daily Boulder'!$A$5:$A$800,261),"dd-mmm-yyyy"),"")</f>
        <v/>
      </c>
    </row>
    <row r="263">
      <c r="P263">
        <f>IFERROR(TEXT(LARGE('Daily Boulder'!$A$5:$A$800,262),"dd-mmm-yyyy"),"")</f>
        <v/>
      </c>
    </row>
    <row r="264">
      <c r="P264">
        <f>IFERROR(TEXT(LARGE('Daily Boulder'!$A$5:$A$800,263),"dd-mmm-yyyy"),"")</f>
        <v/>
      </c>
    </row>
    <row r="265">
      <c r="P265">
        <f>IFERROR(TEXT(LARGE('Daily Boulder'!$A$5:$A$800,264),"dd-mmm-yyyy"),"")</f>
        <v/>
      </c>
    </row>
    <row r="266">
      <c r="P266">
        <f>IFERROR(TEXT(LARGE('Daily Boulder'!$A$5:$A$800,265),"dd-mmm-yyyy"),"")</f>
        <v/>
      </c>
    </row>
    <row r="267">
      <c r="P267">
        <f>IFERROR(TEXT(LARGE('Daily Boulder'!$A$5:$A$800,266),"dd-mmm-yyyy"),"")</f>
        <v/>
      </c>
    </row>
    <row r="268">
      <c r="P268">
        <f>IFERROR(TEXT(LARGE('Daily Boulder'!$A$5:$A$800,267),"dd-mmm-yyyy"),"")</f>
        <v/>
      </c>
    </row>
    <row r="269">
      <c r="P269">
        <f>IFERROR(TEXT(LARGE('Daily Boulder'!$A$5:$A$800,268),"dd-mmm-yyyy"),"")</f>
        <v/>
      </c>
    </row>
    <row r="270">
      <c r="P270">
        <f>IFERROR(TEXT(LARGE('Daily Boulder'!$A$5:$A$800,269),"dd-mmm-yyyy"),"")</f>
        <v/>
      </c>
    </row>
    <row r="271">
      <c r="P271">
        <f>IFERROR(TEXT(LARGE('Daily Boulder'!$A$5:$A$800,270),"dd-mmm-yyyy"),"")</f>
        <v/>
      </c>
    </row>
    <row r="272">
      <c r="P272">
        <f>IFERROR(TEXT(LARGE('Daily Boulder'!$A$5:$A$800,271),"dd-mmm-yyyy"),"")</f>
        <v/>
      </c>
    </row>
    <row r="273">
      <c r="P273">
        <f>IFERROR(TEXT(LARGE('Daily Boulder'!$A$5:$A$800,272),"dd-mmm-yyyy"),"")</f>
        <v/>
      </c>
    </row>
    <row r="274">
      <c r="P274">
        <f>IFERROR(TEXT(LARGE('Daily Boulder'!$A$5:$A$800,273),"dd-mmm-yyyy"),"")</f>
        <v/>
      </c>
    </row>
    <row r="275">
      <c r="P275">
        <f>IFERROR(TEXT(LARGE('Daily Boulder'!$A$5:$A$800,274),"dd-mmm-yyyy"),"")</f>
        <v/>
      </c>
    </row>
    <row r="276">
      <c r="P276">
        <f>IFERROR(TEXT(LARGE('Daily Boulder'!$A$5:$A$800,275),"dd-mmm-yyyy"),"")</f>
        <v/>
      </c>
    </row>
    <row r="277">
      <c r="P277">
        <f>IFERROR(TEXT(LARGE('Daily Boulder'!$A$5:$A$800,276),"dd-mmm-yyyy"),"")</f>
        <v/>
      </c>
    </row>
    <row r="278">
      <c r="P278">
        <f>IFERROR(TEXT(LARGE('Daily Boulder'!$A$5:$A$800,277),"dd-mmm-yyyy"),"")</f>
        <v/>
      </c>
    </row>
    <row r="279">
      <c r="P279">
        <f>IFERROR(TEXT(LARGE('Daily Boulder'!$A$5:$A$800,278),"dd-mmm-yyyy"),"")</f>
        <v/>
      </c>
    </row>
    <row r="280">
      <c r="P280">
        <f>IFERROR(TEXT(LARGE('Daily Boulder'!$A$5:$A$800,279),"dd-mmm-yyyy"),"")</f>
        <v/>
      </c>
    </row>
    <row r="281">
      <c r="P281">
        <f>IFERROR(TEXT(LARGE('Daily Boulder'!$A$5:$A$800,280),"dd-mmm-yyyy"),"")</f>
        <v/>
      </c>
    </row>
    <row r="282">
      <c r="P282">
        <f>IFERROR(TEXT(LARGE('Daily Boulder'!$A$5:$A$800,281),"dd-mmm-yyyy"),"")</f>
        <v/>
      </c>
    </row>
    <row r="283">
      <c r="P283">
        <f>IFERROR(TEXT(LARGE('Daily Boulder'!$A$5:$A$800,282),"dd-mmm-yyyy"),"")</f>
        <v/>
      </c>
    </row>
    <row r="284">
      <c r="P284">
        <f>IFERROR(TEXT(LARGE('Daily Boulder'!$A$5:$A$800,283),"dd-mmm-yyyy"),"")</f>
        <v/>
      </c>
    </row>
    <row r="285">
      <c r="P285">
        <f>IFERROR(TEXT(LARGE('Daily Boulder'!$A$5:$A$800,284),"dd-mmm-yyyy"),"")</f>
        <v/>
      </c>
    </row>
    <row r="286">
      <c r="P286">
        <f>IFERROR(TEXT(LARGE('Daily Boulder'!$A$5:$A$800,285),"dd-mmm-yyyy"),"")</f>
        <v/>
      </c>
    </row>
    <row r="287">
      <c r="P287">
        <f>IFERROR(TEXT(LARGE('Daily Boulder'!$A$5:$A$800,286),"dd-mmm-yyyy"),"")</f>
        <v/>
      </c>
    </row>
    <row r="288">
      <c r="P288">
        <f>IFERROR(TEXT(LARGE('Daily Boulder'!$A$5:$A$800,287),"dd-mmm-yyyy"),"")</f>
        <v/>
      </c>
    </row>
    <row r="289">
      <c r="P289">
        <f>IFERROR(TEXT(LARGE('Daily Boulder'!$A$5:$A$800,288),"dd-mmm-yyyy"),"")</f>
        <v/>
      </c>
    </row>
    <row r="290">
      <c r="P290">
        <f>IFERROR(TEXT(LARGE('Daily Boulder'!$A$5:$A$800,289),"dd-mmm-yyyy"),"")</f>
        <v/>
      </c>
    </row>
    <row r="291">
      <c r="P291">
        <f>IFERROR(TEXT(LARGE('Daily Boulder'!$A$5:$A$800,290),"dd-mmm-yyyy"),"")</f>
        <v/>
      </c>
    </row>
    <row r="292">
      <c r="P292">
        <f>IFERROR(TEXT(LARGE('Daily Boulder'!$A$5:$A$800,291),"dd-mmm-yyyy"),"")</f>
        <v/>
      </c>
    </row>
    <row r="293">
      <c r="P293">
        <f>IFERROR(TEXT(LARGE('Daily Boulder'!$A$5:$A$800,292),"dd-mmm-yyyy"),"")</f>
        <v/>
      </c>
    </row>
    <row r="294">
      <c r="P294">
        <f>IFERROR(TEXT(LARGE('Daily Boulder'!$A$5:$A$800,293),"dd-mmm-yyyy"),"")</f>
        <v/>
      </c>
    </row>
    <row r="295">
      <c r="P295">
        <f>IFERROR(TEXT(LARGE('Daily Boulder'!$A$5:$A$800,294),"dd-mmm-yyyy"),"")</f>
        <v/>
      </c>
    </row>
    <row r="296">
      <c r="P296">
        <f>IFERROR(TEXT(LARGE('Daily Boulder'!$A$5:$A$800,295),"dd-mmm-yyyy"),"")</f>
        <v/>
      </c>
    </row>
    <row r="297">
      <c r="P297">
        <f>IFERROR(TEXT(LARGE('Daily Boulder'!$A$5:$A$800,296),"dd-mmm-yyyy"),"")</f>
        <v/>
      </c>
    </row>
    <row r="298">
      <c r="P298">
        <f>IFERROR(TEXT(LARGE('Daily Boulder'!$A$5:$A$800,297),"dd-mmm-yyyy"),"")</f>
        <v/>
      </c>
    </row>
    <row r="299">
      <c r="P299">
        <f>IFERROR(TEXT(LARGE('Daily Boulder'!$A$5:$A$800,298),"dd-mmm-yyyy"),"")</f>
        <v/>
      </c>
    </row>
    <row r="300">
      <c r="P300">
        <f>IFERROR(TEXT(LARGE('Daily Boulder'!$A$5:$A$800,299),"dd-mmm-yyyy"),"")</f>
        <v/>
      </c>
    </row>
    <row r="301">
      <c r="P301">
        <f>IFERROR(TEXT(LARGE('Daily Boulder'!$A$5:$A$800,300),"dd-mmm-yyyy"),"")</f>
        <v/>
      </c>
    </row>
    <row r="302">
      <c r="P302">
        <f>IFERROR(TEXT(LARGE('Daily Boulder'!$A$5:$A$800,301),"dd-mmm-yyyy"),"")</f>
        <v/>
      </c>
    </row>
    <row r="303">
      <c r="P303">
        <f>IFERROR(TEXT(LARGE('Daily Boulder'!$A$5:$A$800,302),"dd-mmm-yyyy"),"")</f>
        <v/>
      </c>
    </row>
    <row r="304">
      <c r="P304">
        <f>IFERROR(TEXT(LARGE('Daily Boulder'!$A$5:$A$800,303),"dd-mmm-yyyy"),"")</f>
        <v/>
      </c>
    </row>
    <row r="305">
      <c r="P305">
        <f>IFERROR(TEXT(LARGE('Daily Boulder'!$A$5:$A$800,304),"dd-mmm-yyyy"),"")</f>
        <v/>
      </c>
    </row>
    <row r="306">
      <c r="P306">
        <f>IFERROR(TEXT(LARGE('Daily Boulder'!$A$5:$A$800,305),"dd-mmm-yyyy"),"")</f>
        <v/>
      </c>
    </row>
    <row r="307">
      <c r="P307">
        <f>IFERROR(TEXT(LARGE('Daily Boulder'!$A$5:$A$800,306),"dd-mmm-yyyy"),"")</f>
        <v/>
      </c>
    </row>
    <row r="308">
      <c r="P308">
        <f>IFERROR(TEXT(LARGE('Daily Boulder'!$A$5:$A$800,307),"dd-mmm-yyyy"),"")</f>
        <v/>
      </c>
    </row>
    <row r="309">
      <c r="P309">
        <f>IFERROR(TEXT(LARGE('Daily Boulder'!$A$5:$A$800,308),"dd-mmm-yyyy"),"")</f>
        <v/>
      </c>
    </row>
    <row r="310">
      <c r="P310">
        <f>IFERROR(TEXT(LARGE('Daily Boulder'!$A$5:$A$800,309),"dd-mmm-yyyy"),"")</f>
        <v/>
      </c>
    </row>
    <row r="311">
      <c r="P311">
        <f>IFERROR(TEXT(LARGE('Daily Boulder'!$A$5:$A$800,310),"dd-mmm-yyyy"),"")</f>
        <v/>
      </c>
    </row>
    <row r="312">
      <c r="P312">
        <f>IFERROR(TEXT(LARGE('Daily Boulder'!$A$5:$A$800,311),"dd-mmm-yyyy"),"")</f>
        <v/>
      </c>
    </row>
    <row r="313">
      <c r="P313">
        <f>IFERROR(TEXT(LARGE('Daily Boulder'!$A$5:$A$800,312),"dd-mmm-yyyy"),"")</f>
        <v/>
      </c>
    </row>
    <row r="314">
      <c r="P314">
        <f>IFERROR(TEXT(LARGE('Daily Boulder'!$A$5:$A$800,313),"dd-mmm-yyyy"),"")</f>
        <v/>
      </c>
    </row>
    <row r="315">
      <c r="P315">
        <f>IFERROR(TEXT(LARGE('Daily Boulder'!$A$5:$A$800,314),"dd-mmm-yyyy"),"")</f>
        <v/>
      </c>
    </row>
    <row r="316">
      <c r="P316">
        <f>IFERROR(TEXT(LARGE('Daily Boulder'!$A$5:$A$800,315),"dd-mmm-yyyy"),"")</f>
        <v/>
      </c>
    </row>
    <row r="317">
      <c r="P317">
        <f>IFERROR(TEXT(LARGE('Daily Boulder'!$A$5:$A$800,316),"dd-mmm-yyyy"),"")</f>
        <v/>
      </c>
    </row>
    <row r="318">
      <c r="P318">
        <f>IFERROR(TEXT(LARGE('Daily Boulder'!$A$5:$A$800,317),"dd-mmm-yyyy"),"")</f>
        <v/>
      </c>
    </row>
    <row r="319">
      <c r="P319">
        <f>IFERROR(TEXT(LARGE('Daily Boulder'!$A$5:$A$800,318),"dd-mmm-yyyy"),"")</f>
        <v/>
      </c>
    </row>
    <row r="320">
      <c r="P320">
        <f>IFERROR(TEXT(LARGE('Daily Boulder'!$A$5:$A$800,319),"dd-mmm-yyyy"),"")</f>
        <v/>
      </c>
    </row>
    <row r="321">
      <c r="P321">
        <f>IFERROR(TEXT(LARGE('Daily Boulder'!$A$5:$A$800,320),"dd-mmm-yyyy"),"")</f>
        <v/>
      </c>
    </row>
    <row r="322">
      <c r="P322">
        <f>IFERROR(TEXT(LARGE('Daily Boulder'!$A$5:$A$800,321),"dd-mmm-yyyy"),"")</f>
        <v/>
      </c>
    </row>
    <row r="323">
      <c r="P323">
        <f>IFERROR(TEXT(LARGE('Daily Boulder'!$A$5:$A$800,322),"dd-mmm-yyyy"),"")</f>
        <v/>
      </c>
    </row>
    <row r="324">
      <c r="P324">
        <f>IFERROR(TEXT(LARGE('Daily Boulder'!$A$5:$A$800,323),"dd-mmm-yyyy"),"")</f>
        <v/>
      </c>
    </row>
    <row r="325">
      <c r="P325">
        <f>IFERROR(TEXT(LARGE('Daily Boulder'!$A$5:$A$800,324),"dd-mmm-yyyy"),"")</f>
        <v/>
      </c>
    </row>
    <row r="326">
      <c r="P326">
        <f>IFERROR(TEXT(LARGE('Daily Boulder'!$A$5:$A$800,325),"dd-mmm-yyyy"),"")</f>
        <v/>
      </c>
    </row>
    <row r="327">
      <c r="P327">
        <f>IFERROR(TEXT(LARGE('Daily Boulder'!$A$5:$A$800,326),"dd-mmm-yyyy"),"")</f>
        <v/>
      </c>
    </row>
    <row r="328">
      <c r="P328">
        <f>IFERROR(TEXT(LARGE('Daily Boulder'!$A$5:$A$800,327),"dd-mmm-yyyy"),"")</f>
        <v/>
      </c>
    </row>
    <row r="329">
      <c r="P329">
        <f>IFERROR(TEXT(LARGE('Daily Boulder'!$A$5:$A$800,328),"dd-mmm-yyyy"),"")</f>
        <v/>
      </c>
    </row>
    <row r="330">
      <c r="P330">
        <f>IFERROR(TEXT(LARGE('Daily Boulder'!$A$5:$A$800,329),"dd-mmm-yyyy"),"")</f>
        <v/>
      </c>
    </row>
    <row r="331">
      <c r="P331">
        <f>IFERROR(TEXT(LARGE('Daily Boulder'!$A$5:$A$800,330),"dd-mmm-yyyy"),"")</f>
        <v/>
      </c>
    </row>
    <row r="332">
      <c r="P332">
        <f>IFERROR(TEXT(LARGE('Daily Boulder'!$A$5:$A$800,331),"dd-mmm-yyyy"),"")</f>
        <v/>
      </c>
    </row>
    <row r="333">
      <c r="P333">
        <f>IFERROR(TEXT(LARGE('Daily Boulder'!$A$5:$A$800,332),"dd-mmm-yyyy"),"")</f>
        <v/>
      </c>
    </row>
    <row r="334">
      <c r="P334">
        <f>IFERROR(TEXT(LARGE('Daily Boulder'!$A$5:$A$800,333),"dd-mmm-yyyy"),"")</f>
        <v/>
      </c>
    </row>
    <row r="335">
      <c r="P335">
        <f>IFERROR(TEXT(LARGE('Daily Boulder'!$A$5:$A$800,334),"dd-mmm-yyyy"),"")</f>
        <v/>
      </c>
    </row>
    <row r="336">
      <c r="P336">
        <f>IFERROR(TEXT(LARGE('Daily Boulder'!$A$5:$A$800,335),"dd-mmm-yyyy"),"")</f>
        <v/>
      </c>
    </row>
    <row r="337">
      <c r="P337">
        <f>IFERROR(TEXT(LARGE('Daily Boulder'!$A$5:$A$800,336),"dd-mmm-yyyy"),"")</f>
        <v/>
      </c>
    </row>
    <row r="338">
      <c r="P338">
        <f>IFERROR(TEXT(LARGE('Daily Boulder'!$A$5:$A$800,337),"dd-mmm-yyyy"),"")</f>
        <v/>
      </c>
    </row>
    <row r="339">
      <c r="P339">
        <f>IFERROR(TEXT(LARGE('Daily Boulder'!$A$5:$A$800,338),"dd-mmm-yyyy"),"")</f>
        <v/>
      </c>
    </row>
    <row r="340">
      <c r="P340">
        <f>IFERROR(TEXT(LARGE('Daily Boulder'!$A$5:$A$800,339),"dd-mmm-yyyy"),"")</f>
        <v/>
      </c>
    </row>
    <row r="341">
      <c r="P341">
        <f>IFERROR(TEXT(LARGE('Daily Boulder'!$A$5:$A$800,340),"dd-mmm-yyyy"),"")</f>
        <v/>
      </c>
    </row>
    <row r="342">
      <c r="P342">
        <f>IFERROR(TEXT(LARGE('Daily Boulder'!$A$5:$A$800,341),"dd-mmm-yyyy"),"")</f>
        <v/>
      </c>
    </row>
    <row r="343">
      <c r="P343">
        <f>IFERROR(TEXT(LARGE('Daily Boulder'!$A$5:$A$800,342),"dd-mmm-yyyy"),"")</f>
        <v/>
      </c>
    </row>
    <row r="344">
      <c r="P344">
        <f>IFERROR(TEXT(LARGE('Daily Boulder'!$A$5:$A$800,343),"dd-mmm-yyyy"),"")</f>
        <v/>
      </c>
    </row>
    <row r="345">
      <c r="P345">
        <f>IFERROR(TEXT(LARGE('Daily Boulder'!$A$5:$A$800,344),"dd-mmm-yyyy"),"")</f>
        <v/>
      </c>
    </row>
    <row r="346">
      <c r="P346">
        <f>IFERROR(TEXT(LARGE('Daily Boulder'!$A$5:$A$800,345),"dd-mmm-yyyy"),"")</f>
        <v/>
      </c>
    </row>
    <row r="347">
      <c r="P347">
        <f>IFERROR(TEXT(LARGE('Daily Boulder'!$A$5:$A$800,346),"dd-mmm-yyyy"),"")</f>
        <v/>
      </c>
    </row>
    <row r="348">
      <c r="P348">
        <f>IFERROR(TEXT(LARGE('Daily Boulder'!$A$5:$A$800,347),"dd-mmm-yyyy"),"")</f>
        <v/>
      </c>
    </row>
    <row r="349">
      <c r="P349">
        <f>IFERROR(TEXT(LARGE('Daily Boulder'!$A$5:$A$800,348),"dd-mmm-yyyy"),"")</f>
        <v/>
      </c>
    </row>
    <row r="350">
      <c r="P350">
        <f>IFERROR(TEXT(LARGE('Daily Boulder'!$A$5:$A$800,349),"dd-mmm-yyyy"),"")</f>
        <v/>
      </c>
    </row>
    <row r="351">
      <c r="P351">
        <f>IFERROR(TEXT(LARGE('Daily Boulder'!$A$5:$A$800,350),"dd-mmm-yyyy"),"")</f>
        <v/>
      </c>
    </row>
    <row r="352">
      <c r="P352">
        <f>IFERROR(TEXT(LARGE('Daily Boulder'!$A$5:$A$800,351),"dd-mmm-yyyy"),"")</f>
        <v/>
      </c>
    </row>
    <row r="353">
      <c r="P353">
        <f>IFERROR(TEXT(LARGE('Daily Boulder'!$A$5:$A$800,352),"dd-mmm-yyyy"),"")</f>
        <v/>
      </c>
    </row>
    <row r="354">
      <c r="P354">
        <f>IFERROR(TEXT(LARGE('Daily Boulder'!$A$5:$A$800,353),"dd-mmm-yyyy"),"")</f>
        <v/>
      </c>
    </row>
    <row r="355">
      <c r="P355">
        <f>IFERROR(TEXT(LARGE('Daily Boulder'!$A$5:$A$800,354),"dd-mmm-yyyy"),"")</f>
        <v/>
      </c>
    </row>
    <row r="356">
      <c r="P356">
        <f>IFERROR(TEXT(LARGE('Daily Boulder'!$A$5:$A$800,355),"dd-mmm-yyyy"),"")</f>
        <v/>
      </c>
    </row>
    <row r="357">
      <c r="P357">
        <f>IFERROR(TEXT(LARGE('Daily Boulder'!$A$5:$A$800,356),"dd-mmm-yyyy"),"")</f>
        <v/>
      </c>
    </row>
    <row r="358">
      <c r="P358">
        <f>IFERROR(TEXT(LARGE('Daily Boulder'!$A$5:$A$800,357),"dd-mmm-yyyy"),"")</f>
        <v/>
      </c>
    </row>
    <row r="359">
      <c r="P359">
        <f>IFERROR(TEXT(LARGE('Daily Boulder'!$A$5:$A$800,358),"dd-mmm-yyyy"),"")</f>
        <v/>
      </c>
    </row>
    <row r="360">
      <c r="P360">
        <f>IFERROR(TEXT(LARGE('Daily Boulder'!$A$5:$A$800,359),"dd-mmm-yyyy"),"")</f>
        <v/>
      </c>
    </row>
    <row r="361">
      <c r="P361">
        <f>IFERROR(TEXT(LARGE('Daily Boulder'!$A$5:$A$800,360),"dd-mmm-yyyy"),"")</f>
        <v/>
      </c>
    </row>
    <row r="362">
      <c r="P362">
        <f>IFERROR(TEXT(LARGE('Daily Boulder'!$A$5:$A$800,361),"dd-mmm-yyyy"),"")</f>
        <v/>
      </c>
    </row>
    <row r="363">
      <c r="P363">
        <f>IFERROR(TEXT(LARGE('Daily Boulder'!$A$5:$A$800,362),"dd-mmm-yyyy"),"")</f>
        <v/>
      </c>
    </row>
    <row r="364">
      <c r="P364">
        <f>IFERROR(TEXT(LARGE('Daily Boulder'!$A$5:$A$800,363),"dd-mmm-yyyy"),"")</f>
        <v/>
      </c>
    </row>
    <row r="365">
      <c r="P365">
        <f>IFERROR(TEXT(LARGE('Daily Boulder'!$A$5:$A$800,364),"dd-mmm-yyyy"),"")</f>
        <v/>
      </c>
    </row>
    <row r="366">
      <c r="P366">
        <f>IFERROR(TEXT(LARGE('Daily Boulder'!$A$5:$A$800,365),"dd-mmm-yyyy"),"")</f>
        <v/>
      </c>
    </row>
    <row r="367">
      <c r="P367">
        <f>IFERROR(TEXT(LARGE('Daily Boulder'!$A$5:$A$800,366),"dd-mmm-yyyy"),"")</f>
        <v/>
      </c>
    </row>
    <row r="368">
      <c r="P368">
        <f>IFERROR(TEXT(LARGE('Daily Boulder'!$A$5:$A$800,367),"dd-mmm-yyyy"),"")</f>
        <v/>
      </c>
    </row>
    <row r="369">
      <c r="P369">
        <f>IFERROR(TEXT(LARGE('Daily Boulder'!$A$5:$A$800,368),"dd-mmm-yyyy"),"")</f>
        <v/>
      </c>
    </row>
    <row r="370">
      <c r="P370">
        <f>IFERROR(TEXT(LARGE('Daily Boulder'!$A$5:$A$800,369),"dd-mmm-yyyy"),"")</f>
        <v/>
      </c>
    </row>
    <row r="371">
      <c r="P371">
        <f>IFERROR(TEXT(LARGE('Daily Boulder'!$A$5:$A$800,370),"dd-mmm-yyyy"),"")</f>
        <v/>
      </c>
    </row>
    <row r="372">
      <c r="P372">
        <f>IFERROR(TEXT(LARGE('Daily Boulder'!$A$5:$A$800,371),"dd-mmm-yyyy"),"")</f>
        <v/>
      </c>
    </row>
    <row r="373">
      <c r="P373">
        <f>IFERROR(TEXT(LARGE('Daily Boulder'!$A$5:$A$800,372),"dd-mmm-yyyy"),"")</f>
        <v/>
      </c>
    </row>
    <row r="374">
      <c r="P374">
        <f>IFERROR(TEXT(LARGE('Daily Boulder'!$A$5:$A$800,373),"dd-mmm-yyyy"),"")</f>
        <v/>
      </c>
    </row>
    <row r="375">
      <c r="P375">
        <f>IFERROR(TEXT(LARGE('Daily Boulder'!$A$5:$A$800,374),"dd-mmm-yyyy"),"")</f>
        <v/>
      </c>
    </row>
    <row r="376">
      <c r="P376">
        <f>IFERROR(TEXT(LARGE('Daily Boulder'!$A$5:$A$800,375),"dd-mmm-yyyy"),"")</f>
        <v/>
      </c>
    </row>
    <row r="377">
      <c r="P377">
        <f>IFERROR(TEXT(LARGE('Daily Boulder'!$A$5:$A$800,376),"dd-mmm-yyyy"),"")</f>
        <v/>
      </c>
    </row>
    <row r="378">
      <c r="P378">
        <f>IFERROR(TEXT(LARGE('Daily Boulder'!$A$5:$A$800,377),"dd-mmm-yyyy"),"")</f>
        <v/>
      </c>
    </row>
    <row r="379">
      <c r="P379">
        <f>IFERROR(TEXT(LARGE('Daily Boulder'!$A$5:$A$800,378),"dd-mmm-yyyy"),"")</f>
        <v/>
      </c>
    </row>
    <row r="380">
      <c r="P380">
        <f>IFERROR(TEXT(LARGE('Daily Boulder'!$A$5:$A$800,379),"dd-mmm-yyyy"),"")</f>
        <v/>
      </c>
    </row>
    <row r="381">
      <c r="P381">
        <f>IFERROR(TEXT(LARGE('Daily Boulder'!$A$5:$A$800,380),"dd-mmm-yyyy"),"")</f>
        <v/>
      </c>
    </row>
    <row r="382">
      <c r="P382">
        <f>IFERROR(TEXT(LARGE('Daily Boulder'!$A$5:$A$800,381),"dd-mmm-yyyy"),"")</f>
        <v/>
      </c>
    </row>
    <row r="383">
      <c r="P383">
        <f>IFERROR(TEXT(LARGE('Daily Boulder'!$A$5:$A$800,382),"dd-mmm-yyyy"),"")</f>
        <v/>
      </c>
    </row>
    <row r="384">
      <c r="P384">
        <f>IFERROR(TEXT(LARGE('Daily Boulder'!$A$5:$A$800,383),"dd-mmm-yyyy"),"")</f>
        <v/>
      </c>
    </row>
    <row r="385">
      <c r="P385">
        <f>IFERROR(TEXT(LARGE('Daily Boulder'!$A$5:$A$800,384),"dd-mmm-yyyy"),"")</f>
        <v/>
      </c>
    </row>
    <row r="386">
      <c r="P386">
        <f>IFERROR(TEXT(LARGE('Daily Boulder'!$A$5:$A$800,385),"dd-mmm-yyyy"),"")</f>
        <v/>
      </c>
    </row>
    <row r="387">
      <c r="P387">
        <f>IFERROR(TEXT(LARGE('Daily Boulder'!$A$5:$A$800,386),"dd-mmm-yyyy"),"")</f>
        <v/>
      </c>
    </row>
    <row r="388">
      <c r="P388">
        <f>IFERROR(TEXT(LARGE('Daily Boulder'!$A$5:$A$800,387),"dd-mmm-yyyy"),"")</f>
        <v/>
      </c>
    </row>
    <row r="389">
      <c r="P389">
        <f>IFERROR(TEXT(LARGE('Daily Boulder'!$A$5:$A$800,388),"dd-mmm-yyyy"),"")</f>
        <v/>
      </c>
    </row>
    <row r="390">
      <c r="P390">
        <f>IFERROR(TEXT(LARGE('Daily Boulder'!$A$5:$A$800,389),"dd-mmm-yyyy"),"")</f>
        <v/>
      </c>
    </row>
    <row r="391">
      <c r="P391">
        <f>IFERROR(TEXT(LARGE('Daily Boulder'!$A$5:$A$800,390),"dd-mmm-yyyy"),"")</f>
        <v/>
      </c>
    </row>
    <row r="392">
      <c r="P392">
        <f>IFERROR(TEXT(LARGE('Daily Boulder'!$A$5:$A$800,391),"dd-mmm-yyyy"),"")</f>
        <v/>
      </c>
    </row>
    <row r="393">
      <c r="P393">
        <f>IFERROR(TEXT(LARGE('Daily Boulder'!$A$5:$A$800,392),"dd-mmm-yyyy"),"")</f>
        <v/>
      </c>
    </row>
    <row r="394">
      <c r="P394">
        <f>IFERROR(TEXT(LARGE('Daily Boulder'!$A$5:$A$800,393),"dd-mmm-yyyy"),"")</f>
        <v/>
      </c>
    </row>
    <row r="395">
      <c r="P395">
        <f>IFERROR(TEXT(LARGE('Daily Boulder'!$A$5:$A$800,394),"dd-mmm-yyyy"),"")</f>
        <v/>
      </c>
    </row>
    <row r="396">
      <c r="P396">
        <f>IFERROR(TEXT(LARGE('Daily Boulder'!$A$5:$A$800,395),"dd-mmm-yyyy"),"")</f>
        <v/>
      </c>
    </row>
    <row r="397">
      <c r="P397">
        <f>IFERROR(TEXT(LARGE('Daily Boulder'!$A$5:$A$800,396),"dd-mmm-yyyy"),"")</f>
        <v/>
      </c>
    </row>
    <row r="398">
      <c r="P398">
        <f>IFERROR(TEXT(LARGE('Daily Boulder'!$A$5:$A$800,397),"dd-mmm-yyyy"),"")</f>
        <v/>
      </c>
    </row>
    <row r="399">
      <c r="P399">
        <f>IFERROR(TEXT(LARGE('Daily Boulder'!$A$5:$A$800,398),"dd-mmm-yyyy"),"")</f>
        <v/>
      </c>
    </row>
    <row r="400">
      <c r="P400">
        <f>IFERROR(TEXT(LARGE('Daily Boulder'!$A$5:$A$800,399),"dd-mmm-yyyy"),"")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2026-10-24T15:29:47Z</dcterms:created>
  <dcterms:modified xmlns:dcterms="http://purl.org/dc/terms/" xmlns:xsi="http://www.w3.org/2001/XMLSchema-instance" xsi:type="dcterms:W3CDTF">2026-10-24T15:29:48Z</dcterms:modified>
</cp:coreProperties>
</file>